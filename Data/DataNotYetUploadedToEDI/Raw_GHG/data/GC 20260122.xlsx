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6 season misc analyses\GC 2026\"/>
    </mc:Choice>
  </mc:AlternateContent>
  <xr:revisionPtr revIDLastSave="0" documentId="13_ncr:1_{A62AEA12-1714-46E7-9504-7DBA7593742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5" i="1" l="1"/>
  <c r="AU15" i="1"/>
  <c r="AW15" i="1"/>
  <c r="AX15" i="1"/>
  <c r="AZ15" i="1"/>
  <c r="BA15" i="1"/>
  <c r="BC15" i="1"/>
  <c r="BD15" i="1"/>
  <c r="BF15" i="1"/>
  <c r="BG15" i="1"/>
  <c r="AT16" i="1"/>
  <c r="AU16" i="1"/>
  <c r="AW16" i="1"/>
  <c r="AX16" i="1"/>
  <c r="AZ16" i="1"/>
  <c r="BA16" i="1"/>
  <c r="BC16" i="1"/>
  <c r="BD16" i="1"/>
  <c r="BF16" i="1"/>
  <c r="BG16" i="1"/>
  <c r="AT17" i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9" i="1"/>
  <c r="AU9" i="1"/>
  <c r="AW9" i="1"/>
  <c r="AX9" i="1"/>
  <c r="AZ9" i="1"/>
  <c r="BA9" i="1"/>
  <c r="BC9" i="1"/>
  <c r="BD9" i="1"/>
  <c r="BF9" i="1"/>
  <c r="BG9" i="1"/>
  <c r="AT10" i="1"/>
  <c r="AU10" i="1"/>
  <c r="AW10" i="1"/>
  <c r="AX10" i="1"/>
  <c r="AZ10" i="1"/>
  <c r="BA10" i="1"/>
  <c r="BC10" i="1"/>
  <c r="BD10" i="1"/>
  <c r="BF10" i="1"/>
  <c r="BG10" i="1"/>
  <c r="AT11" i="1"/>
  <c r="AU11" i="1"/>
  <c r="AW11" i="1"/>
  <c r="AX11" i="1"/>
  <c r="AZ11" i="1"/>
  <c r="BA11" i="1"/>
  <c r="BC11" i="1"/>
  <c r="BD11" i="1"/>
  <c r="BF11" i="1"/>
  <c r="BG11" i="1"/>
  <c r="AT12" i="1"/>
  <c r="AU12" i="1"/>
  <c r="AW12" i="1"/>
  <c r="AX12" i="1"/>
  <c r="AZ12" i="1"/>
  <c r="BA12" i="1"/>
  <c r="BC12" i="1"/>
  <c r="BD12" i="1"/>
  <c r="BF12" i="1"/>
  <c r="BG12" i="1"/>
  <c r="AT13" i="1"/>
  <c r="AU13" i="1"/>
  <c r="AW13" i="1"/>
  <c r="AX13" i="1"/>
  <c r="AZ13" i="1"/>
  <c r="BA13" i="1"/>
  <c r="BC13" i="1"/>
  <c r="BD13" i="1"/>
  <c r="BF13" i="1"/>
  <c r="BG13" i="1"/>
  <c r="AT14" i="1"/>
  <c r="AU14" i="1"/>
  <c r="AW14" i="1"/>
  <c r="AX14" i="1"/>
  <c r="AZ14" i="1"/>
  <c r="BA14" i="1"/>
  <c r="BC14" i="1"/>
  <c r="BD14" i="1"/>
  <c r="BF14" i="1"/>
  <c r="BG14" i="1"/>
</calcChain>
</file>

<file path=xl/sharedStrings.xml><?xml version="1.0" encoding="utf-8"?>
<sst xmlns="http://schemas.openxmlformats.org/spreadsheetml/2006/main" count="550" uniqueCount="54">
  <si>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</si>
  <si>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</si>
  <si>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</si>
  <si>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</si>
  <si>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</si>
  <si>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</si>
  <si>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</si>
  <si>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</si>
  <si>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</si>
  <si>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</si>
  <si>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</si>
  <si>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</si>
  <si>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</si>
  <si>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</si>
  <si>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</si>
  <si>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</si>
  <si>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</si>
  <si>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</si>
  <si>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</si>
  <si>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</si>
  <si>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</si>
  <si>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</si>
  <si>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</si>
  <si>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</si>
  <si>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</si>
  <si>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2022 ranged CAL Measured headspace CH4  in ppm from GC in ppm</t>
  </si>
  <si>
    <t>2022 CAL Measured headspace CO2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</si>
  <si>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</si>
  <si>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</si>
  <si>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</si>
  <si>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</si>
  <si>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</si>
  <si>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</si>
  <si>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</si>
  <si>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</si>
  <si>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FMI20260122_001.gcd</t>
  </si>
  <si>
    <t>FMI20260122_002.gcd</t>
  </si>
  <si>
    <t>FMI20260122_003.gcd</t>
  </si>
  <si>
    <t>FMI20260122_004.gcd</t>
  </si>
  <si>
    <t>FMI20260122_005.gcd</t>
  </si>
  <si>
    <t>FMI20260122_006.gcd</t>
  </si>
  <si>
    <t>FMI20260122_007.gcd</t>
  </si>
  <si>
    <t>FMI20260122_008.gcd</t>
  </si>
  <si>
    <t>FMI20260122_009.gcd</t>
  </si>
  <si>
    <t>FMI20260122_010.gcd</t>
  </si>
  <si>
    <t>FMI20260122_011.gcd</t>
  </si>
  <si>
    <t>FMI20260122_012.gcd</t>
  </si>
  <si>
    <t>FMI20260122_013.gcd</t>
  </si>
  <si>
    <t>FMI20260122_014.gcd</t>
  </si>
  <si>
    <t>FMI20260122_015.gcd</t>
  </si>
  <si>
    <t>FMI20260122_016.gcd</t>
  </si>
  <si>
    <t>FMI20260122_017.gcd</t>
  </si>
  <si>
    <t>Interference. Do not use CO2. Use CH4.</t>
  </si>
  <si>
    <t>Interference, but tried to reintegrate. If dups don't match for CO2 discard this 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</si>
</sst>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2" fontId="0" fillId="33" borderId="0" xfId="0" applyNumberFormat="1" applyFill="1"/>
    <xf numFmtId="1" fontId="0" fillId="33" borderId="0" xfId="0" applyNumberFormat="1" applyFill="1"/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4" borderId="0" xfId="0" applyNumberFormat="1" applyFill="1"/>
    <xf numFmtId="3" fontId="0" fillId="34" borderId="0" xfId="0" applyNumberFormat="1" applyFill="1"/>
    <xf numFmtId="2" fontId="0" fillId="35" borderId="0" xfId="0" applyNumberFormat="1" applyFill="1"/>
    <xf numFmtId="3" fontId="0" fillId="35" borderId="0" xfId="0" applyNumberFormat="1" applyFill="1"/>
    <xf numFmtId="4" fontId="0" fillId="0" borderId="0" xfId="0" applyNumberFormat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99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N6" workbookViewId="0">
      <selection activeCell="AU15" sqref="AU15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1796875" customWidth="1"/>
    <col min="46" max="46" width="9.81640625" customWidth="1"/>
    <col min="47" max="47" width="10" customWidth="1"/>
    <col min="49" max="49" width="9.7265625" customWidth="1"/>
    <col min="50" max="50" width="10" customWidth="1"/>
    <col min="52" max="53" width="9.54296875" customWidth="1"/>
    <col min="55" max="56" width="9.54296875" customWidth="1"/>
    <col min="57" max="57" width="8.7265625" style="9"/>
    <col min="58" max="59" width="9.8164062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29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25</v>
      </c>
      <c r="AX8" s="5" t="s">
        <v>26</v>
      </c>
      <c r="AZ8" s="5" t="s">
        <v>22</v>
      </c>
      <c r="BA8" s="5" t="s">
        <v>23</v>
      </c>
      <c r="BC8" s="5" t="s">
        <v>27</v>
      </c>
      <c r="BD8" s="5" t="s">
        <v>32</v>
      </c>
      <c r="BE8" s="8"/>
      <c r="BF8" s="5" t="s">
        <v>30</v>
      </c>
      <c r="BG8" s="5" t="s">
        <v>31</v>
      </c>
      <c r="BH8" s="5"/>
      <c r="BI8" s="8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46044.560532407406</v>
      </c>
      <c r="D9" t="s">
        <v>33</v>
      </c>
      <c r="E9" t="s">
        <v>13</v>
      </c>
      <c r="F9">
        <v>0</v>
      </c>
      <c r="G9">
        <v>6.1449999999999996</v>
      </c>
      <c r="H9" s="3">
        <v>1980</v>
      </c>
      <c r="I9">
        <v>5.0000000000000001E-3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46044.560532407406</v>
      </c>
      <c r="R9" t="s">
        <v>33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46044.560532407406</v>
      </c>
      <c r="AF9" t="s">
        <v>33</v>
      </c>
      <c r="AG9" t="s">
        <v>13</v>
      </c>
      <c r="AH9">
        <v>0</v>
      </c>
      <c r="AI9">
        <v>12.438000000000001</v>
      </c>
      <c r="AJ9" s="3">
        <v>2398</v>
      </c>
      <c r="AK9">
        <v>0.43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10">
        <v>45</v>
      </c>
      <c r="AT9" s="16">
        <f t="shared" ref="AT9:AT14" si="0">IF(H9&lt;10000,((H9^2*0.000000008493)+(H9*0.003482)+(-3.269)),(IF(H9&lt;200000,((H9^2*-0.000000000263)+(H9*0.002682)+(3.179)),(IF(H9&lt;8000000,((H9^2*-0.000000000005099)+(H9*0.002054)+(174.8)),((V9^2*-0.00000001014)+(V9*0.2415)+(1123)))))))</f>
        <v>3.6586559571999997</v>
      </c>
      <c r="AU9" s="17">
        <f t="shared" ref="AU9:AU14" si="1">IF(AJ9&lt;45000,((-0.00000004907*AJ9^2)+(0.2277*AJ9)+(-134)),((-0.00000001062*AJ9^2)+(0.2147*AJ9)+(590.6)))</f>
        <v>411.74242767572002</v>
      </c>
      <c r="AW9" s="6">
        <f t="shared" ref="AW9:AW14" si="2">IF(H9&lt;10000,((0.0000001453*H9^2)+(0.0008349*H9)+(-1.805)),(IF(H9&lt;700000,((-0.00000000008054*H9^2)+(0.002348*H9)+(-2.47)), ((-0.00000001938*V9^2)+(0.2471*V9)+(226.8)))))</f>
        <v>0.41773612000000004</v>
      </c>
      <c r="AX9" s="7">
        <f t="shared" ref="AX9:AX14" si="3">(-0.00000002552*AJ9^2)+(0.2067*AJ9)+(-103.7)</f>
        <v>391.81984968991998</v>
      </c>
      <c r="AZ9" s="11">
        <f t="shared" ref="AZ9:AZ14" si="4">IF(H9&lt;10000,((H9^2*0.00000054)+(H9*-0.004765)+(12.72)),(IF(H9&lt;200000,((H9^2*-0.000000001577)+(H9*0.003043)+(-10.42)),(IF(H9&lt;8000000,((H9^2*-0.0000000000186)+(H9*0.00194)+(154.1)),((V9^2*-0.00000002)+(V9*0.2565)+(-1032)))))))</f>
        <v>5.4023160000000008</v>
      </c>
      <c r="BA9" s="12">
        <f t="shared" ref="BA9:BA14" si="5">IF(AJ9&lt;45000,((-0.0000004561*AJ9^2)+(0.244*AJ9)+(-21.72)),((-0.0000000409*AJ9^2)+(0.2477*AJ9)+(-1777)))</f>
        <v>560.76924073559996</v>
      </c>
      <c r="BC9" s="13">
        <f t="shared" ref="BC9:BC14" si="6">IF(H9&lt;10000,((H9^2*0.00000005714)+(H9*0.002453)+(-3.811)),(IF(H9&lt;200000,((H9^2*-0.0000000002888)+(H9*0.002899)+(-4.321)),(IF(H9&lt;8000000,((H9^2*-0.0000000000062)+(H9*0.002143)+(157)),((V9^2*-0.000000031)+(V9*0.2771)+(-709.5)))))))</f>
        <v>1.2699516559999999</v>
      </c>
      <c r="BD9" s="14">
        <f t="shared" ref="BD9:BD14" si="7">IF(AJ9&lt;45000,((-0.0000000598*AJ9^2)+(0.205*AJ9)+(34.1)),((-0.00000002403*AJ9^2)+(0.2063*AJ9)+(-550.7)))</f>
        <v>525.34612584079991</v>
      </c>
      <c r="BF9" s="16">
        <f t="shared" ref="BF9:BF14" si="8">IF(H9&lt;10000,((H9^2*0.000000008493)+(H9*0.003482)+(-3.269)),(IF(H9&lt;200000,((H9^2*-0.000000000263)+(H9*0.002682)+(3.179)),(IF(H9&lt;8000000,((H9^2*-0.000000000005099)+(H9*0.002054)+(174.8)),((V9^2*-0.00000001014)+(V9*0.2415)+(1123)))))))</f>
        <v>3.6586559571999997</v>
      </c>
      <c r="BG9" s="17">
        <f t="shared" ref="BG9:BG14" si="9">IF(AJ9&lt;45000,((-0.00000004907*AJ9^2)+(0.2277*AJ9)+(-134)),((-0.00000001062*AJ9^2)+(0.2147*AJ9)+(590.6)))</f>
        <v>411.74242767572002</v>
      </c>
      <c r="BI9">
        <v>45</v>
      </c>
      <c r="BJ9" t="s">
        <v>35</v>
      </c>
      <c r="BK9" s="2">
        <v>46044.560532407406</v>
      </c>
      <c r="BL9" t="s">
        <v>33</v>
      </c>
      <c r="BM9" t="s">
        <v>13</v>
      </c>
      <c r="BN9">
        <v>0</v>
      </c>
      <c r="BO9">
        <v>2.7429999999999999</v>
      </c>
      <c r="BP9" s="3">
        <v>4877750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46044.581759259258</v>
      </c>
      <c r="D10" t="s">
        <v>34</v>
      </c>
      <c r="E10" t="s">
        <v>13</v>
      </c>
      <c r="F10">
        <v>0</v>
      </c>
      <c r="G10">
        <v>6.0730000000000004</v>
      </c>
      <c r="H10" s="3">
        <v>711181</v>
      </c>
      <c r="I10">
        <v>1.6060000000000001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46044.581759259258</v>
      </c>
      <c r="R10" t="s">
        <v>34</v>
      </c>
      <c r="S10" t="s">
        <v>13</v>
      </c>
      <c r="T10">
        <v>0</v>
      </c>
      <c r="U10">
        <v>6.0250000000000004</v>
      </c>
      <c r="V10" s="3">
        <v>5647</v>
      </c>
      <c r="W10">
        <v>1.4870000000000001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46044.581759259258</v>
      </c>
      <c r="AF10" t="s">
        <v>34</v>
      </c>
      <c r="AG10" t="s">
        <v>13</v>
      </c>
      <c r="AH10">
        <v>0</v>
      </c>
      <c r="AI10">
        <v>12.398</v>
      </c>
      <c r="AJ10" s="3">
        <v>6772</v>
      </c>
      <c r="AK10">
        <v>1.389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10">
        <v>46</v>
      </c>
      <c r="AT10" s="16">
        <f t="shared" si="0"/>
        <v>1632.9868098631337</v>
      </c>
      <c r="AU10" s="17">
        <f t="shared" si="1"/>
        <v>1405.73405058512</v>
      </c>
      <c r="AW10" s="6">
        <f t="shared" si="2"/>
        <v>1621.5556987575799</v>
      </c>
      <c r="AX10" s="7">
        <f t="shared" si="3"/>
        <v>1294.90205320832</v>
      </c>
      <c r="AZ10" s="11">
        <f t="shared" si="4"/>
        <v>1524.3836614854454</v>
      </c>
      <c r="BA10" s="12">
        <f t="shared" si="5"/>
        <v>1609.7312612976</v>
      </c>
      <c r="BC10" s="13">
        <f t="shared" si="6"/>
        <v>1677.9250568284817</v>
      </c>
      <c r="BD10" s="14">
        <f t="shared" si="7"/>
        <v>1419.6175729567999</v>
      </c>
      <c r="BF10" s="16">
        <f t="shared" si="8"/>
        <v>1632.9868098631337</v>
      </c>
      <c r="BG10" s="17">
        <f t="shared" si="9"/>
        <v>1405.73405058512</v>
      </c>
      <c r="BI10">
        <v>46</v>
      </c>
      <c r="BJ10" t="s">
        <v>36</v>
      </c>
      <c r="BK10" s="2">
        <v>46044.581759259258</v>
      </c>
      <c r="BL10" t="s">
        <v>34</v>
      </c>
      <c r="BM10" t="s">
        <v>13</v>
      </c>
      <c r="BN10">
        <v>0</v>
      </c>
      <c r="BO10">
        <v>2.734</v>
      </c>
      <c r="BP10" s="3">
        <v>5004987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46044.60297453704</v>
      </c>
      <c r="D11" t="s">
        <v>28</v>
      </c>
      <c r="E11" t="s">
        <v>13</v>
      </c>
      <c r="F11">
        <v>0</v>
      </c>
      <c r="G11">
        <v>6.1050000000000004</v>
      </c>
      <c r="H11" s="3">
        <v>3097</v>
      </c>
      <c r="I11">
        <v>7.0000000000000001E-3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46044.60297453704</v>
      </c>
      <c r="R11" t="s">
        <v>28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46044.60297453704</v>
      </c>
      <c r="AF11" t="s">
        <v>28</v>
      </c>
      <c r="AG11" t="s">
        <v>13</v>
      </c>
      <c r="AH11">
        <v>0</v>
      </c>
      <c r="AI11">
        <v>12.396000000000001</v>
      </c>
      <c r="AJ11" s="3">
        <v>1508</v>
      </c>
      <c r="AK11">
        <v>0.23400000000000001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10">
        <v>47</v>
      </c>
      <c r="AT11" s="16">
        <f t="shared" si="0"/>
        <v>7.5962138366370002</v>
      </c>
      <c r="AU11" s="17">
        <f t="shared" si="1"/>
        <v>209.26001167952001</v>
      </c>
      <c r="AW11" s="6">
        <f t="shared" si="2"/>
        <v>2.1743170276999999</v>
      </c>
      <c r="AX11" s="7">
        <f t="shared" si="3"/>
        <v>207.94556588672003</v>
      </c>
      <c r="AZ11" s="11">
        <f t="shared" si="4"/>
        <v>3.1421558600000008</v>
      </c>
      <c r="BA11" s="12">
        <f t="shared" si="5"/>
        <v>345.19479940960002</v>
      </c>
      <c r="BC11" s="13">
        <f t="shared" si="6"/>
        <v>4.333994110259999</v>
      </c>
      <c r="BD11" s="14">
        <f t="shared" si="7"/>
        <v>343.10401097279998</v>
      </c>
      <c r="BF11" s="16">
        <f t="shared" si="8"/>
        <v>7.5962138366370002</v>
      </c>
      <c r="BG11" s="17">
        <f t="shared" si="9"/>
        <v>209.26001167952001</v>
      </c>
      <c r="BI11">
        <v>47</v>
      </c>
      <c r="BJ11" t="s">
        <v>37</v>
      </c>
      <c r="BK11" s="2">
        <v>46044.60297453704</v>
      </c>
      <c r="BL11" t="s">
        <v>28</v>
      </c>
      <c r="BM11" t="s">
        <v>13</v>
      </c>
      <c r="BN11">
        <v>0</v>
      </c>
      <c r="BO11">
        <v>2.7349999999999999</v>
      </c>
      <c r="BP11" s="3">
        <v>5006515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46044.624189814815</v>
      </c>
      <c r="D12">
        <v>367</v>
      </c>
      <c r="E12" t="s">
        <v>13</v>
      </c>
      <c r="F12">
        <v>0</v>
      </c>
      <c r="G12">
        <v>6.0819999999999999</v>
      </c>
      <c r="H12" s="3">
        <v>12920</v>
      </c>
      <c r="I12">
        <v>0.03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46044.624189814815</v>
      </c>
      <c r="R12">
        <v>367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46044.624189814815</v>
      </c>
      <c r="AF12">
        <v>367</v>
      </c>
      <c r="AG12" t="s">
        <v>13</v>
      </c>
      <c r="AH12">
        <v>0</v>
      </c>
      <c r="AI12">
        <v>12.342000000000001</v>
      </c>
      <c r="AJ12" s="3">
        <v>10970</v>
      </c>
      <c r="AK12">
        <v>2.3090000000000002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10">
        <v>48</v>
      </c>
      <c r="AT12" s="16">
        <f t="shared" si="0"/>
        <v>37.786538356800001</v>
      </c>
      <c r="AU12" s="17">
        <f t="shared" si="1"/>
        <v>2357.9638720370003</v>
      </c>
      <c r="AW12" s="6">
        <f t="shared" si="2"/>
        <v>27.852715747743996</v>
      </c>
      <c r="AX12" s="7">
        <f t="shared" si="3"/>
        <v>2160.7279002320001</v>
      </c>
      <c r="AZ12" s="11">
        <f t="shared" si="4"/>
        <v>28.632317067200006</v>
      </c>
      <c r="BA12" s="12">
        <f t="shared" si="5"/>
        <v>2600.0725155099999</v>
      </c>
      <c r="BC12" s="13">
        <f t="shared" si="6"/>
        <v>33.085871655680002</v>
      </c>
      <c r="BD12" s="14">
        <f t="shared" si="7"/>
        <v>2275.7536141799997</v>
      </c>
      <c r="BF12" s="16">
        <f t="shared" si="8"/>
        <v>37.786538356800001</v>
      </c>
      <c r="BG12" s="17">
        <f t="shared" si="9"/>
        <v>2357.9638720370003</v>
      </c>
      <c r="BI12">
        <v>48</v>
      </c>
      <c r="BJ12" t="s">
        <v>38</v>
      </c>
      <c r="BK12" s="2">
        <v>46044.624189814815</v>
      </c>
      <c r="BL12">
        <v>367</v>
      </c>
      <c r="BM12" t="s">
        <v>13</v>
      </c>
      <c r="BN12">
        <v>0</v>
      </c>
      <c r="BO12">
        <v>2.8929999999999998</v>
      </c>
      <c r="BP12" s="3">
        <v>783888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46044.64539351852</v>
      </c>
      <c r="D13">
        <v>69</v>
      </c>
      <c r="E13" t="s">
        <v>13</v>
      </c>
      <c r="F13">
        <v>0</v>
      </c>
      <c r="G13">
        <v>6.0819999999999999</v>
      </c>
      <c r="H13" s="3">
        <v>12196</v>
      </c>
      <c r="I13">
        <v>2.8000000000000001E-2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46044.64539351852</v>
      </c>
      <c r="R13">
        <v>69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46044.64539351852</v>
      </c>
      <c r="AF13">
        <v>69</v>
      </c>
      <c r="AG13" t="s">
        <v>13</v>
      </c>
      <c r="AH13">
        <v>0</v>
      </c>
      <c r="AI13">
        <v>12.353</v>
      </c>
      <c r="AJ13" s="3">
        <v>12035</v>
      </c>
      <c r="AK13">
        <v>2.5419999999999998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10">
        <v>49</v>
      </c>
      <c r="AT13" s="16">
        <f t="shared" si="0"/>
        <v>35.849552744591996</v>
      </c>
      <c r="AU13" s="17">
        <f t="shared" si="1"/>
        <v>2599.2621410892502</v>
      </c>
      <c r="AW13" s="6">
        <f t="shared" si="2"/>
        <v>26.154228285815357</v>
      </c>
      <c r="AX13" s="7">
        <f t="shared" si="3"/>
        <v>2380.2381519380001</v>
      </c>
      <c r="AZ13" s="11">
        <f t="shared" si="4"/>
        <v>26.457861209968002</v>
      </c>
      <c r="BA13" s="12">
        <f t="shared" si="5"/>
        <v>2848.7579172774999</v>
      </c>
      <c r="BC13" s="13">
        <f t="shared" si="6"/>
        <v>30.992247190259199</v>
      </c>
      <c r="BD13" s="14">
        <f t="shared" si="7"/>
        <v>2492.6134947449996</v>
      </c>
      <c r="BF13" s="16">
        <f t="shared" si="8"/>
        <v>35.849552744591996</v>
      </c>
      <c r="BG13" s="17">
        <f t="shared" si="9"/>
        <v>2599.2621410892502</v>
      </c>
      <c r="BI13">
        <v>49</v>
      </c>
      <c r="BJ13" t="s">
        <v>39</v>
      </c>
      <c r="BK13" s="2">
        <v>46044.64539351852</v>
      </c>
      <c r="BL13">
        <v>69</v>
      </c>
      <c r="BM13" t="s">
        <v>13</v>
      </c>
      <c r="BN13">
        <v>0</v>
      </c>
      <c r="BO13">
        <v>2.8879999999999999</v>
      </c>
      <c r="BP13" s="3">
        <v>873032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46044.666620370372</v>
      </c>
      <c r="D14">
        <v>167</v>
      </c>
      <c r="E14" t="s">
        <v>13</v>
      </c>
      <c r="F14">
        <v>0</v>
      </c>
      <c r="G14">
        <v>6.0839999999999996</v>
      </c>
      <c r="H14" s="3">
        <v>11693</v>
      </c>
      <c r="I14">
        <v>2.7E-2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46044.666620370372</v>
      </c>
      <c r="R14">
        <v>167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46044.666620370372</v>
      </c>
      <c r="AF14">
        <v>167</v>
      </c>
      <c r="AG14" t="s">
        <v>13</v>
      </c>
      <c r="AH14">
        <v>0</v>
      </c>
      <c r="AI14" t="s">
        <v>14</v>
      </c>
      <c r="AJ14" s="3" t="s">
        <v>14</v>
      </c>
      <c r="AK14" t="s">
        <v>14</v>
      </c>
      <c r="AL14" t="s">
        <v>14</v>
      </c>
      <c r="AM14" t="s">
        <v>14</v>
      </c>
      <c r="AN14" t="s">
        <v>14</v>
      </c>
      <c r="AO14" t="s">
        <v>14</v>
      </c>
      <c r="AQ14">
        <v>2</v>
      </c>
      <c r="AR14" t="s">
        <v>52</v>
      </c>
      <c r="AS14" s="10">
        <v>50</v>
      </c>
      <c r="AT14" s="16">
        <f t="shared" si="0"/>
        <v>34.503666996512997</v>
      </c>
      <c r="AU14" s="17" t="e">
        <f t="shared" si="1"/>
        <v>#VALUE!</v>
      </c>
      <c r="AW14" s="6">
        <f t="shared" si="2"/>
        <v>24.974152067905539</v>
      </c>
      <c r="AX14" s="7" t="e">
        <f t="shared" si="3"/>
        <v>#VALUE!</v>
      </c>
      <c r="AZ14" s="11">
        <f t="shared" si="4"/>
        <v>24.946181705327</v>
      </c>
      <c r="BA14" s="12" t="e">
        <f t="shared" si="5"/>
        <v>#VALUE!</v>
      </c>
      <c r="BC14" s="13">
        <f t="shared" si="6"/>
        <v>29.5375204592888</v>
      </c>
      <c r="BD14" s="14" t="e">
        <f t="shared" si="7"/>
        <v>#VALUE!</v>
      </c>
      <c r="BF14" s="16">
        <f t="shared" si="8"/>
        <v>34.503666996512997</v>
      </c>
      <c r="BG14" s="17" t="e">
        <f t="shared" si="9"/>
        <v>#VALUE!</v>
      </c>
      <c r="BI14">
        <v>50</v>
      </c>
      <c r="BJ14" t="s">
        <v>40</v>
      </c>
      <c r="BK14" s="2">
        <v>46044.666620370372</v>
      </c>
      <c r="BL14">
        <v>167</v>
      </c>
      <c r="BM14" t="s">
        <v>13</v>
      </c>
      <c r="BN14">
        <v>0</v>
      </c>
      <c r="BO14">
        <v>2.8980000000000001</v>
      </c>
      <c r="BP14" s="3">
        <v>748103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46044.687847222223</v>
      </c>
      <c r="D15">
        <v>171</v>
      </c>
      <c r="E15" t="s">
        <v>13</v>
      </c>
      <c r="F15">
        <v>0</v>
      </c>
      <c r="G15">
        <v>6.0869999999999997</v>
      </c>
      <c r="H15" s="3">
        <v>11546</v>
      </c>
      <c r="I15">
        <v>2.5999999999999999E-2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46044.687847222223</v>
      </c>
      <c r="R15">
        <v>171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46044.687847222223</v>
      </c>
      <c r="AF15">
        <v>171</v>
      </c>
      <c r="AG15" t="s">
        <v>13</v>
      </c>
      <c r="AH15">
        <v>0</v>
      </c>
      <c r="AI15">
        <v>12.148999999999999</v>
      </c>
      <c r="AJ15" s="3">
        <v>8147</v>
      </c>
      <c r="AK15">
        <v>1.69</v>
      </c>
      <c r="AL15" t="s">
        <v>14</v>
      </c>
      <c r="AM15" t="s">
        <v>14</v>
      </c>
      <c r="AN15" t="s">
        <v>14</v>
      </c>
      <c r="AO15" t="s">
        <v>14</v>
      </c>
      <c r="AQ15">
        <v>2</v>
      </c>
      <c r="AR15" t="s">
        <v>53</v>
      </c>
      <c r="AS15" s="10">
        <v>51</v>
      </c>
      <c r="AT15" s="16">
        <f t="shared" ref="AT15:AT25" si="10">IF(H15&lt;10000,((H15^2*0.000000008493)+(H15*0.003482)+(-3.269)),(IF(H15&lt;200000,((H15^2*-0.000000000263)+(H15*0.002682)+(3.179)),(IF(H15&lt;8000000,((H15^2*-0.000000000005099)+(H15*0.002054)+(174.8)),((V15^2*-0.00000001014)+(V15*0.2415)+(1123)))))))</f>
        <v>34.110311439492001</v>
      </c>
      <c r="AU15" s="17">
        <f t="shared" ref="AU15:AU25" si="11">IF(AJ15&lt;45000,((-0.00000004907*AJ15^2)+(0.2277*AJ15)+(-134)),((-0.00000001062*AJ15^2)+(0.2147*AJ15)+(590.6)))</f>
        <v>1717.8149470063702</v>
      </c>
      <c r="AW15" s="6">
        <f t="shared" ref="AW15:AW25" si="12">IF(H15&lt;10000,((0.0000001453*H15^2)+(0.0008349*H15)+(-1.805)),(IF(H15&lt;700000,((-0.00000000008054*H15^2)+(0.002348*H15)+(-2.47)), ((-0.00000001938*V15^2)+(0.2471*V15)+(226.8)))))</f>
        <v>24.629271203257357</v>
      </c>
      <c r="AX15" s="7">
        <f t="shared" ref="AX15:AX25" si="13">(-0.00000002552*AJ15^2)+(0.2067*AJ15)+(-103.7)</f>
        <v>1578.5910454983198</v>
      </c>
      <c r="AZ15" s="11">
        <f t="shared" ref="AZ15:AZ25" si="14">IF(H15&lt;10000,((H15^2*0.00000054)+(H15*-0.004765)+(12.72)),(IF(H15&lt;200000,((H15^2*-0.000000001577)+(H15*0.003043)+(-10.42)),(IF(H15&lt;8000000,((H15^2*-0.0000000000186)+(H15*0.00194)+(154.1)),((V15^2*-0.00000002)+(V15*0.2565)+(-1032)))))))</f>
        <v>24.504247947068002</v>
      </c>
      <c r="BA15" s="12">
        <f t="shared" ref="BA15:BA25" si="15">IF(AJ15&lt;45000,((-0.0000004561*AJ15^2)+(0.244*AJ15)+(-21.72)),((-0.0000000409*AJ15^2)+(0.2477*AJ15)+(-1777)))</f>
        <v>1935.8749969350999</v>
      </c>
      <c r="BC15" s="13">
        <f t="shared" ref="BC15:BC25" si="16">IF(H15&lt;10000,((H15^2*0.00000005714)+(H15*0.002453)+(-3.811)),(IF(H15&lt;200000,((H15^2*-0.0000000002888)+(H15*0.002899)+(-4.321)),(IF(H15&lt;8000000,((H15^2*-0.0000000000062)+(H15*0.002143)+(157)),((V15^2*-0.000000031)+(V15*0.2771)+(-709.5)))))))</f>
        <v>29.112354038499205</v>
      </c>
      <c r="BD15" s="14">
        <f t="shared" ref="BD15:BD25" si="17">IF(AJ15&lt;45000,((-0.0000000598*AJ15^2)+(0.205*AJ15)+(34.1)),((-0.00000002403*AJ15^2)+(0.2063*AJ15)+(-550.7)))</f>
        <v>1700.2658581818</v>
      </c>
      <c r="BF15" s="16">
        <f t="shared" ref="BF15:BF25" si="18">IF(H15&lt;10000,((H15^2*0.000000008493)+(H15*0.003482)+(-3.269)),(IF(H15&lt;200000,((H15^2*-0.000000000263)+(H15*0.002682)+(3.179)),(IF(H15&lt;8000000,((H15^2*-0.000000000005099)+(H15*0.002054)+(174.8)),((V15^2*-0.00000001014)+(V15*0.2415)+(1123)))))))</f>
        <v>34.110311439492001</v>
      </c>
      <c r="BG15" s="17">
        <f t="shared" ref="BG15:BG25" si="19">IF(AJ15&lt;45000,((-0.00000004907*AJ15^2)+(0.2277*AJ15)+(-134)),((-0.00000001062*AJ15^2)+(0.2147*AJ15)+(590.6)))</f>
        <v>1717.8149470063702</v>
      </c>
      <c r="BI15">
        <v>51</v>
      </c>
      <c r="BJ15" t="s">
        <v>41</v>
      </c>
      <c r="BK15" s="2">
        <v>46044.687847222223</v>
      </c>
      <c r="BL15">
        <v>171</v>
      </c>
      <c r="BM15" t="s">
        <v>13</v>
      </c>
      <c r="BN15">
        <v>0</v>
      </c>
      <c r="BO15">
        <v>2.9</v>
      </c>
      <c r="BP15" s="3">
        <v>728603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46044.709085648145</v>
      </c>
      <c r="D16">
        <v>388</v>
      </c>
      <c r="E16" t="s">
        <v>13</v>
      </c>
      <c r="F16">
        <v>0</v>
      </c>
      <c r="G16">
        <v>6.08</v>
      </c>
      <c r="H16" s="3">
        <v>11169</v>
      </c>
      <c r="I16">
        <v>2.5999999999999999E-2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46044.709085648145</v>
      </c>
      <c r="R16">
        <v>388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46044.709085648145</v>
      </c>
      <c r="AF16">
        <v>388</v>
      </c>
      <c r="AG16" t="s">
        <v>13</v>
      </c>
      <c r="AH16">
        <v>0</v>
      </c>
      <c r="AI16">
        <v>12.273</v>
      </c>
      <c r="AJ16" s="3">
        <v>9701</v>
      </c>
      <c r="AK16">
        <v>2.0310000000000001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10">
        <v>52</v>
      </c>
      <c r="AT16" s="16">
        <f t="shared" si="10"/>
        <v>33.101449654456999</v>
      </c>
      <c r="AU16" s="17">
        <f t="shared" si="11"/>
        <v>2070.2997516929299</v>
      </c>
      <c r="AW16" s="6">
        <f t="shared" si="12"/>
        <v>23.744764911977057</v>
      </c>
      <c r="AX16" s="7">
        <f t="shared" si="13"/>
        <v>1899.0950280864799</v>
      </c>
      <c r="AZ16" s="11">
        <f t="shared" si="14"/>
        <v>23.370541673303002</v>
      </c>
      <c r="BA16" s="12">
        <f t="shared" si="15"/>
        <v>2302.4007022039</v>
      </c>
      <c r="BC16" s="13">
        <f t="shared" si="16"/>
        <v>28.021904193183204</v>
      </c>
      <c r="BD16" s="14">
        <f t="shared" si="17"/>
        <v>2017.1772578201999</v>
      </c>
      <c r="BF16" s="16">
        <f t="shared" si="18"/>
        <v>33.101449654456999</v>
      </c>
      <c r="BG16" s="17">
        <f t="shared" si="19"/>
        <v>2070.2997516929299</v>
      </c>
      <c r="BI16">
        <v>52</v>
      </c>
      <c r="BJ16" t="s">
        <v>42</v>
      </c>
      <c r="BK16" s="2">
        <v>46044.709085648145</v>
      </c>
      <c r="BL16">
        <v>388</v>
      </c>
      <c r="BM16" t="s">
        <v>13</v>
      </c>
      <c r="BN16">
        <v>0</v>
      </c>
      <c r="BO16">
        <v>2.8940000000000001</v>
      </c>
      <c r="BP16" s="3">
        <v>766004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46044.73028935185</v>
      </c>
      <c r="D17">
        <v>115</v>
      </c>
      <c r="E17" t="s">
        <v>13</v>
      </c>
      <c r="F17">
        <v>0</v>
      </c>
      <c r="G17">
        <v>6.0789999999999997</v>
      </c>
      <c r="H17" s="3">
        <v>12305</v>
      </c>
      <c r="I17">
        <v>2.8000000000000001E-2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46044.73028935185</v>
      </c>
      <c r="R17">
        <v>115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46044.73028935185</v>
      </c>
      <c r="AF17">
        <v>115</v>
      </c>
      <c r="AG17" t="s">
        <v>13</v>
      </c>
      <c r="AH17">
        <v>0</v>
      </c>
      <c r="AI17">
        <v>12.339</v>
      </c>
      <c r="AJ17" s="3">
        <v>10651</v>
      </c>
      <c r="AK17">
        <v>2.2389999999999999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10">
        <v>53</v>
      </c>
      <c r="AT17" s="16">
        <f t="shared" si="10"/>
        <v>36.141188374424999</v>
      </c>
      <c r="AU17" s="17">
        <f t="shared" si="11"/>
        <v>2285.6660126849301</v>
      </c>
      <c r="AW17" s="6">
        <f t="shared" si="12"/>
        <v>26.4099451949665</v>
      </c>
      <c r="AX17" s="7">
        <f t="shared" si="13"/>
        <v>2094.9666141984799</v>
      </c>
      <c r="AZ17" s="11">
        <f t="shared" si="14"/>
        <v>26.785336659575002</v>
      </c>
      <c r="BA17" s="12">
        <f t="shared" si="15"/>
        <v>2525.3822823639002</v>
      </c>
      <c r="BC17" s="13">
        <f t="shared" si="16"/>
        <v>31.307466918380001</v>
      </c>
      <c r="BD17" s="14">
        <f t="shared" si="17"/>
        <v>2210.7710607002</v>
      </c>
      <c r="BF17" s="16">
        <f t="shared" si="18"/>
        <v>36.141188374424999</v>
      </c>
      <c r="BG17" s="17">
        <f t="shared" si="19"/>
        <v>2285.6660126849301</v>
      </c>
      <c r="BI17">
        <v>53</v>
      </c>
      <c r="BJ17" t="s">
        <v>43</v>
      </c>
      <c r="BK17" s="2">
        <v>46044.73028935185</v>
      </c>
      <c r="BL17">
        <v>115</v>
      </c>
      <c r="BM17" t="s">
        <v>13</v>
      </c>
      <c r="BN17">
        <v>0</v>
      </c>
      <c r="BO17">
        <v>2.8889999999999998</v>
      </c>
      <c r="BP17" s="3">
        <v>850802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46044.751504629632</v>
      </c>
      <c r="D18">
        <v>192</v>
      </c>
      <c r="E18" t="s">
        <v>13</v>
      </c>
      <c r="F18">
        <v>0</v>
      </c>
      <c r="G18">
        <v>6.08</v>
      </c>
      <c r="H18" s="3">
        <v>13702</v>
      </c>
      <c r="I18">
        <v>3.1E-2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46044.751504629632</v>
      </c>
      <c r="R18">
        <v>192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46044.751504629632</v>
      </c>
      <c r="AF18">
        <v>192</v>
      </c>
      <c r="AG18" t="s">
        <v>13</v>
      </c>
      <c r="AH18">
        <v>0</v>
      </c>
      <c r="AI18">
        <v>12.332000000000001</v>
      </c>
      <c r="AJ18" s="3">
        <v>11174</v>
      </c>
      <c r="AK18">
        <v>2.3540000000000001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10">
        <v>54</v>
      </c>
      <c r="AT18" s="16">
        <f t="shared" si="10"/>
        <v>39.878387116548005</v>
      </c>
      <c r="AU18" s="17">
        <f t="shared" si="11"/>
        <v>2404.1930043966804</v>
      </c>
      <c r="AW18" s="6">
        <f t="shared" si="12"/>
        <v>29.687175033485836</v>
      </c>
      <c r="AX18" s="7">
        <f t="shared" si="13"/>
        <v>2202.7794167964798</v>
      </c>
      <c r="AZ18" s="11">
        <f t="shared" si="14"/>
        <v>30.979112444091996</v>
      </c>
      <c r="BA18" s="12">
        <f t="shared" si="15"/>
        <v>2647.7881403164001</v>
      </c>
      <c r="BC18" s="13">
        <f t="shared" si="16"/>
        <v>35.346877300604802</v>
      </c>
      <c r="BD18" s="14">
        <f t="shared" si="17"/>
        <v>2317.3034750952002</v>
      </c>
      <c r="BF18" s="16">
        <f t="shared" si="18"/>
        <v>39.878387116548005</v>
      </c>
      <c r="BG18" s="17">
        <f t="shared" si="19"/>
        <v>2404.1930043966804</v>
      </c>
      <c r="BI18">
        <v>54</v>
      </c>
      <c r="BJ18" t="s">
        <v>44</v>
      </c>
      <c r="BK18" s="2">
        <v>46044.751504629632</v>
      </c>
      <c r="BL18">
        <v>192</v>
      </c>
      <c r="BM18" t="s">
        <v>13</v>
      </c>
      <c r="BN18">
        <v>0</v>
      </c>
      <c r="BO18">
        <v>2.887</v>
      </c>
      <c r="BP18" s="3">
        <v>880754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46044.772719907407</v>
      </c>
      <c r="D19">
        <v>152</v>
      </c>
      <c r="E19" t="s">
        <v>13</v>
      </c>
      <c r="F19">
        <v>0</v>
      </c>
      <c r="G19">
        <v>6.0860000000000003</v>
      </c>
      <c r="H19" s="3">
        <v>14050</v>
      </c>
      <c r="I19">
        <v>3.2000000000000001E-2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46044.772719907407</v>
      </c>
      <c r="R19">
        <v>152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46044.772719907407</v>
      </c>
      <c r="AF19">
        <v>152</v>
      </c>
      <c r="AG19" t="s">
        <v>13</v>
      </c>
      <c r="AH19">
        <v>0</v>
      </c>
      <c r="AI19" t="s">
        <v>14</v>
      </c>
      <c r="AJ19" s="3" t="s">
        <v>14</v>
      </c>
      <c r="AK19" t="s">
        <v>14</v>
      </c>
      <c r="AL19" t="s">
        <v>14</v>
      </c>
      <c r="AM19" t="s">
        <v>14</v>
      </c>
      <c r="AN19" t="s">
        <v>14</v>
      </c>
      <c r="AO19" t="s">
        <v>14</v>
      </c>
      <c r="AQ19">
        <v>2</v>
      </c>
      <c r="AR19" t="s">
        <v>52</v>
      </c>
      <c r="AS19" s="10">
        <v>55</v>
      </c>
      <c r="AT19" s="16">
        <f t="shared" si="10"/>
        <v>40.809183142500004</v>
      </c>
      <c r="AU19" s="17" t="e">
        <f t="shared" si="11"/>
        <v>#VALUE!</v>
      </c>
      <c r="AW19" s="6">
        <f t="shared" si="12"/>
        <v>30.50350120265</v>
      </c>
      <c r="AX19" s="7" t="e">
        <f t="shared" si="13"/>
        <v>#VALUE!</v>
      </c>
      <c r="AZ19" s="11">
        <f t="shared" si="14"/>
        <v>32.022846257499999</v>
      </c>
      <c r="BA19" s="12" t="e">
        <f t="shared" si="15"/>
        <v>#VALUE!</v>
      </c>
      <c r="BC19" s="13">
        <f t="shared" si="16"/>
        <v>36.352940158000003</v>
      </c>
      <c r="BD19" s="14" t="e">
        <f t="shared" si="17"/>
        <v>#VALUE!</v>
      </c>
      <c r="BF19" s="16">
        <f t="shared" si="18"/>
        <v>40.809183142500004</v>
      </c>
      <c r="BG19" s="17" t="e">
        <f t="shared" si="19"/>
        <v>#VALUE!</v>
      </c>
      <c r="BI19">
        <v>55</v>
      </c>
      <c r="BJ19" t="s">
        <v>45</v>
      </c>
      <c r="BK19" s="2">
        <v>46044.772719907407</v>
      </c>
      <c r="BL19">
        <v>152</v>
      </c>
      <c r="BM19" t="s">
        <v>13</v>
      </c>
      <c r="BN19">
        <v>0</v>
      </c>
      <c r="BO19">
        <v>2.899</v>
      </c>
      <c r="BP19" s="3">
        <v>783359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46044.793946759259</v>
      </c>
      <c r="D20">
        <v>94</v>
      </c>
      <c r="E20" t="s">
        <v>13</v>
      </c>
      <c r="F20">
        <v>0</v>
      </c>
      <c r="G20">
        <v>6.08</v>
      </c>
      <c r="H20" s="3">
        <v>14578</v>
      </c>
      <c r="I20">
        <v>3.3000000000000002E-2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46044.793946759259</v>
      </c>
      <c r="R20">
        <v>94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46044.793946759259</v>
      </c>
      <c r="AF20">
        <v>94</v>
      </c>
      <c r="AG20" t="s">
        <v>13</v>
      </c>
      <c r="AH20">
        <v>0</v>
      </c>
      <c r="AI20" t="s">
        <v>14</v>
      </c>
      <c r="AJ20" s="3" t="s">
        <v>14</v>
      </c>
      <c r="AK20" t="s">
        <v>14</v>
      </c>
      <c r="AL20" t="s">
        <v>14</v>
      </c>
      <c r="AM20" t="s">
        <v>14</v>
      </c>
      <c r="AN20" t="s">
        <v>14</v>
      </c>
      <c r="AO20" t="s">
        <v>14</v>
      </c>
      <c r="AQ20">
        <v>2</v>
      </c>
      <c r="AR20" t="s">
        <v>52</v>
      </c>
      <c r="AS20" s="10">
        <v>56</v>
      </c>
      <c r="AT20" s="16">
        <f t="shared" si="10"/>
        <v>42.221303743908003</v>
      </c>
      <c r="AU20" s="17" t="e">
        <f t="shared" si="11"/>
        <v>#VALUE!</v>
      </c>
      <c r="AW20" s="6">
        <f t="shared" si="12"/>
        <v>31.742027793514637</v>
      </c>
      <c r="AX20" s="7" t="e">
        <f t="shared" si="13"/>
        <v>#VALUE!</v>
      </c>
      <c r="AZ20" s="11">
        <f t="shared" si="14"/>
        <v>33.605712981532001</v>
      </c>
      <c r="BA20" s="12" t="e">
        <f t="shared" si="15"/>
        <v>#VALUE!</v>
      </c>
      <c r="BC20" s="13">
        <f t="shared" si="16"/>
        <v>37.879246777340803</v>
      </c>
      <c r="BD20" s="14" t="e">
        <f t="shared" si="17"/>
        <v>#VALUE!</v>
      </c>
      <c r="BF20" s="16">
        <f t="shared" si="18"/>
        <v>42.221303743908003</v>
      </c>
      <c r="BG20" s="17" t="e">
        <f t="shared" si="19"/>
        <v>#VALUE!</v>
      </c>
      <c r="BI20">
        <v>56</v>
      </c>
      <c r="BJ20" t="s">
        <v>46</v>
      </c>
      <c r="BK20" s="2">
        <v>46044.793946759259</v>
      </c>
      <c r="BL20">
        <v>94</v>
      </c>
      <c r="BM20" t="s">
        <v>13</v>
      </c>
      <c r="BN20">
        <v>0</v>
      </c>
      <c r="BO20">
        <v>2.8889999999999998</v>
      </c>
      <c r="BP20" s="3">
        <v>830717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46044.81517361111</v>
      </c>
      <c r="D21">
        <v>132</v>
      </c>
      <c r="E21" t="s">
        <v>13</v>
      </c>
      <c r="F21">
        <v>0</v>
      </c>
      <c r="G21">
        <v>6.08</v>
      </c>
      <c r="H21" s="3">
        <v>14456</v>
      </c>
      <c r="I21">
        <v>3.3000000000000002E-2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46044.81517361111</v>
      </c>
      <c r="R21">
        <v>132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46044.81517361111</v>
      </c>
      <c r="AF21">
        <v>132</v>
      </c>
      <c r="AG21" t="s">
        <v>13</v>
      </c>
      <c r="AH21">
        <v>0</v>
      </c>
      <c r="AI21">
        <v>12.201000000000001</v>
      </c>
      <c r="AJ21" s="3">
        <v>11266</v>
      </c>
      <c r="AK21">
        <v>2.3740000000000001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10">
        <v>57</v>
      </c>
      <c r="AT21" s="16">
        <f t="shared" si="10"/>
        <v>41.895031328832005</v>
      </c>
      <c r="AU21" s="17">
        <f t="shared" si="11"/>
        <v>2425.04010036308</v>
      </c>
      <c r="AW21" s="6">
        <f t="shared" si="12"/>
        <v>31.455857078114555</v>
      </c>
      <c r="AX21" s="7">
        <f t="shared" si="13"/>
        <v>2221.74313126688</v>
      </c>
      <c r="AZ21" s="11">
        <f t="shared" si="14"/>
        <v>33.240052948928003</v>
      </c>
      <c r="BA21" s="12">
        <f t="shared" si="15"/>
        <v>2669.2945309884003</v>
      </c>
      <c r="BC21" s="13">
        <f t="shared" si="16"/>
        <v>37.526591749683206</v>
      </c>
      <c r="BD21" s="14">
        <f t="shared" si="17"/>
        <v>2336.0400191911995</v>
      </c>
      <c r="BF21" s="16">
        <f t="shared" si="18"/>
        <v>41.895031328832005</v>
      </c>
      <c r="BG21" s="17">
        <f t="shared" si="19"/>
        <v>2425.04010036308</v>
      </c>
      <c r="BI21">
        <v>57</v>
      </c>
      <c r="BJ21" t="s">
        <v>47</v>
      </c>
      <c r="BK21" s="2">
        <v>46044.81517361111</v>
      </c>
      <c r="BL21">
        <v>132</v>
      </c>
      <c r="BM21" t="s">
        <v>13</v>
      </c>
      <c r="BN21">
        <v>0</v>
      </c>
      <c r="BO21">
        <v>2.887</v>
      </c>
      <c r="BP21" s="3">
        <v>896350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48</v>
      </c>
      <c r="C22" s="2">
        <v>46044.836400462962</v>
      </c>
      <c r="D22">
        <v>205</v>
      </c>
      <c r="E22" t="s">
        <v>13</v>
      </c>
      <c r="F22">
        <v>0</v>
      </c>
      <c r="G22">
        <v>6.0869999999999997</v>
      </c>
      <c r="H22" s="3">
        <v>14490</v>
      </c>
      <c r="I22">
        <v>3.3000000000000002E-2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48</v>
      </c>
      <c r="Q22" s="2">
        <v>46044.836400462962</v>
      </c>
      <c r="R22">
        <v>205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48</v>
      </c>
      <c r="AE22" s="2">
        <v>46044.836400462962</v>
      </c>
      <c r="AF22">
        <v>205</v>
      </c>
      <c r="AG22" t="s">
        <v>13</v>
      </c>
      <c r="AH22">
        <v>0</v>
      </c>
      <c r="AI22">
        <v>12.316000000000001</v>
      </c>
      <c r="AJ22" s="3">
        <v>11727</v>
      </c>
      <c r="AK22">
        <v>2.4750000000000001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10">
        <v>58</v>
      </c>
      <c r="AT22" s="16">
        <f t="shared" si="10"/>
        <v>41.985960493700006</v>
      </c>
      <c r="AU22" s="17">
        <f t="shared" si="11"/>
        <v>2529.4896695019702</v>
      </c>
      <c r="AW22" s="6">
        <f t="shared" si="12"/>
        <v>31.535609813546003</v>
      </c>
      <c r="AX22" s="7">
        <f t="shared" si="13"/>
        <v>2316.7613250599202</v>
      </c>
      <c r="AZ22" s="11">
        <f t="shared" si="14"/>
        <v>33.341962922300006</v>
      </c>
      <c r="BA22" s="12">
        <f t="shared" si="15"/>
        <v>2776.9439745231002</v>
      </c>
      <c r="BC22" s="13">
        <f t="shared" si="16"/>
        <v>37.624873523120002</v>
      </c>
      <c r="BD22" s="14">
        <f t="shared" si="17"/>
        <v>2429.9111527657997</v>
      </c>
      <c r="BF22" s="16">
        <f t="shared" si="18"/>
        <v>41.985960493700006</v>
      </c>
      <c r="BG22" s="17">
        <f t="shared" si="19"/>
        <v>2529.4896695019702</v>
      </c>
      <c r="BI22">
        <v>58</v>
      </c>
      <c r="BJ22" t="s">
        <v>48</v>
      </c>
      <c r="BK22" s="2">
        <v>46044.836400462962</v>
      </c>
      <c r="BL22">
        <v>205</v>
      </c>
      <c r="BM22" t="s">
        <v>13</v>
      </c>
      <c r="BN22">
        <v>0</v>
      </c>
      <c r="BO22">
        <v>2.8969999999999998</v>
      </c>
      <c r="BP22" s="3">
        <v>844476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59</v>
      </c>
      <c r="B23" t="s">
        <v>49</v>
      </c>
      <c r="C23" s="2">
        <v>46044.857615740744</v>
      </c>
      <c r="D23">
        <v>312</v>
      </c>
      <c r="E23" t="s">
        <v>13</v>
      </c>
      <c r="F23">
        <v>0</v>
      </c>
      <c r="G23">
        <v>6.0810000000000004</v>
      </c>
      <c r="H23" s="3">
        <v>14171</v>
      </c>
      <c r="I23">
        <v>3.2000000000000001E-2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49</v>
      </c>
      <c r="Q23" s="2">
        <v>46044.857615740744</v>
      </c>
      <c r="R23">
        <v>312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49</v>
      </c>
      <c r="AE23" s="2">
        <v>46044.857615740744</v>
      </c>
      <c r="AF23">
        <v>312</v>
      </c>
      <c r="AG23" t="s">
        <v>13</v>
      </c>
      <c r="AH23">
        <v>0</v>
      </c>
      <c r="AI23">
        <v>12.321</v>
      </c>
      <c r="AJ23" s="3">
        <v>8583</v>
      </c>
      <c r="AK23">
        <v>1.786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10">
        <v>59</v>
      </c>
      <c r="AT23" s="16">
        <f t="shared" si="10"/>
        <v>41.132807065617001</v>
      </c>
      <c r="AU23" s="17">
        <f t="shared" si="11"/>
        <v>1816.7342166867702</v>
      </c>
      <c r="AW23" s="6">
        <f t="shared" si="12"/>
        <v>30.787334179409861</v>
      </c>
      <c r="AX23" s="7">
        <f t="shared" si="13"/>
        <v>1668.5260954727198</v>
      </c>
      <c r="AZ23" s="11">
        <f t="shared" si="14"/>
        <v>32.385664210943006</v>
      </c>
      <c r="BA23" s="12">
        <f t="shared" si="15"/>
        <v>2038.9320758270999</v>
      </c>
      <c r="BC23" s="13">
        <f t="shared" si="16"/>
        <v>36.702732980799205</v>
      </c>
      <c r="BD23" s="14">
        <f t="shared" si="17"/>
        <v>1789.2096602377999</v>
      </c>
      <c r="BF23" s="16">
        <f t="shared" si="18"/>
        <v>41.132807065617001</v>
      </c>
      <c r="BG23" s="17">
        <f t="shared" si="19"/>
        <v>1816.7342166867702</v>
      </c>
      <c r="BI23">
        <v>59</v>
      </c>
      <c r="BJ23" t="s">
        <v>49</v>
      </c>
      <c r="BK23" s="2">
        <v>46044.857615740744</v>
      </c>
      <c r="BL23">
        <v>312</v>
      </c>
      <c r="BM23" t="s">
        <v>13</v>
      </c>
      <c r="BN23">
        <v>0</v>
      </c>
      <c r="BO23">
        <v>2.8849999999999998</v>
      </c>
      <c r="BP23" s="3">
        <v>927364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A24">
        <v>60</v>
      </c>
      <c r="B24" t="s">
        <v>50</v>
      </c>
      <c r="C24" s="2">
        <v>46044.878831018519</v>
      </c>
      <c r="D24">
        <v>374</v>
      </c>
      <c r="E24" t="s">
        <v>13</v>
      </c>
      <c r="F24">
        <v>0</v>
      </c>
      <c r="G24">
        <v>6.0890000000000004</v>
      </c>
      <c r="H24" s="3">
        <v>13226</v>
      </c>
      <c r="I24">
        <v>0.03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50</v>
      </c>
      <c r="Q24" s="2">
        <v>46044.878831018519</v>
      </c>
      <c r="R24">
        <v>374</v>
      </c>
      <c r="S24" t="s">
        <v>13</v>
      </c>
      <c r="T24">
        <v>0</v>
      </c>
      <c r="U24" t="s">
        <v>14</v>
      </c>
      <c r="V24" s="3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50</v>
      </c>
      <c r="AE24" s="2">
        <v>46044.878831018519</v>
      </c>
      <c r="AF24">
        <v>374</v>
      </c>
      <c r="AG24" t="s">
        <v>13</v>
      </c>
      <c r="AH24">
        <v>0</v>
      </c>
      <c r="AI24">
        <v>12.315</v>
      </c>
      <c r="AJ24" s="3">
        <v>8446</v>
      </c>
      <c r="AK24">
        <v>1.756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10">
        <v>60</v>
      </c>
      <c r="AT24" s="16">
        <f t="shared" si="10"/>
        <v>38.605126179012004</v>
      </c>
      <c r="AU24" s="17">
        <f t="shared" si="11"/>
        <v>1785.6537956718801</v>
      </c>
      <c r="AW24" s="6">
        <f t="shared" si="12"/>
        <v>28.570559373298959</v>
      </c>
      <c r="AX24" s="7">
        <f t="shared" si="13"/>
        <v>1640.2677329436799</v>
      </c>
      <c r="AZ24" s="11">
        <f t="shared" si="14"/>
        <v>29.550858001148001</v>
      </c>
      <c r="BA24" s="12">
        <f t="shared" si="15"/>
        <v>2006.5681448124001</v>
      </c>
      <c r="BC24" s="13">
        <f t="shared" si="16"/>
        <v>33.9706550604512</v>
      </c>
      <c r="BD24" s="14">
        <f t="shared" si="17"/>
        <v>1761.2641720231998</v>
      </c>
      <c r="BF24" s="16">
        <f t="shared" si="18"/>
        <v>38.605126179012004</v>
      </c>
      <c r="BG24" s="17">
        <f t="shared" si="19"/>
        <v>1785.6537956718801</v>
      </c>
      <c r="BI24">
        <v>60</v>
      </c>
      <c r="BJ24" t="s">
        <v>50</v>
      </c>
      <c r="BK24" s="2">
        <v>46044.878831018519</v>
      </c>
      <c r="BL24">
        <v>374</v>
      </c>
      <c r="BM24" t="s">
        <v>13</v>
      </c>
      <c r="BN24">
        <v>0</v>
      </c>
      <c r="BO24">
        <v>2.88</v>
      </c>
      <c r="BP24" s="3">
        <v>1139965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35">
      <c r="A25">
        <v>61</v>
      </c>
      <c r="B25" t="s">
        <v>51</v>
      </c>
      <c r="C25" s="2">
        <v>46044.900069444448</v>
      </c>
      <c r="D25">
        <v>209</v>
      </c>
      <c r="E25" t="s">
        <v>13</v>
      </c>
      <c r="F25">
        <v>0</v>
      </c>
      <c r="G25">
        <v>6.0789999999999997</v>
      </c>
      <c r="H25" s="3">
        <v>16161</v>
      </c>
      <c r="I25">
        <v>3.6999999999999998E-2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51</v>
      </c>
      <c r="Q25" s="2">
        <v>46044.900069444448</v>
      </c>
      <c r="R25">
        <v>209</v>
      </c>
      <c r="S25" t="s">
        <v>13</v>
      </c>
      <c r="T25">
        <v>0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51</v>
      </c>
      <c r="AE25" s="2">
        <v>46044.900069444448</v>
      </c>
      <c r="AF25">
        <v>209</v>
      </c>
      <c r="AG25" t="s">
        <v>13</v>
      </c>
      <c r="AH25">
        <v>0</v>
      </c>
      <c r="AI25">
        <v>12.32</v>
      </c>
      <c r="AJ25" s="3">
        <v>13677</v>
      </c>
      <c r="AK25">
        <v>2.9020000000000001</v>
      </c>
      <c r="AL25" t="s">
        <v>14</v>
      </c>
      <c r="AM25" t="s">
        <v>14</v>
      </c>
      <c r="AN25" t="s">
        <v>14</v>
      </c>
      <c r="AO25" t="s">
        <v>14</v>
      </c>
      <c r="AQ25">
        <v>1</v>
      </c>
      <c r="AS25" s="10">
        <v>61</v>
      </c>
      <c r="AT25" s="16">
        <f t="shared" si="10"/>
        <v>46.454112206776998</v>
      </c>
      <c r="AU25" s="17">
        <f t="shared" si="11"/>
        <v>2971.0738496559702</v>
      </c>
      <c r="AW25" s="6">
        <f t="shared" si="12"/>
        <v>35.454992730242658</v>
      </c>
      <c r="AX25" s="7">
        <f t="shared" si="13"/>
        <v>2718.5621204039198</v>
      </c>
      <c r="AZ25" s="11">
        <f t="shared" si="14"/>
        <v>38.346045418582996</v>
      </c>
      <c r="BA25" s="12">
        <f t="shared" si="15"/>
        <v>3230.1497839431004</v>
      </c>
      <c r="BC25" s="13">
        <f t="shared" si="16"/>
        <v>42.454310816415209</v>
      </c>
      <c r="BD25" s="14">
        <f t="shared" si="17"/>
        <v>2826.6987923257998</v>
      </c>
      <c r="BF25" s="16">
        <f t="shared" si="18"/>
        <v>46.454112206776998</v>
      </c>
      <c r="BG25" s="17">
        <f t="shared" si="19"/>
        <v>2971.0738496559702</v>
      </c>
      <c r="BI25">
        <v>61</v>
      </c>
      <c r="BJ25" t="s">
        <v>51</v>
      </c>
      <c r="BK25" s="2">
        <v>46044.900069444448</v>
      </c>
      <c r="BL25">
        <v>209</v>
      </c>
      <c r="BM25" t="s">
        <v>13</v>
      </c>
      <c r="BN25">
        <v>0</v>
      </c>
      <c r="BO25">
        <v>2.8839999999999999</v>
      </c>
      <c r="BP25" s="3">
        <v>936521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35">
      <c r="C26" s="2"/>
      <c r="H26" s="3"/>
      <c r="Q26" s="2"/>
      <c r="V26" s="3"/>
      <c r="AE26" s="2"/>
      <c r="AJ26" s="3"/>
      <c r="AS26" s="10"/>
      <c r="AT26" s="16"/>
      <c r="AU26" s="17"/>
      <c r="AW26" s="6"/>
      <c r="AX26" s="7"/>
      <c r="AZ26" s="11"/>
      <c r="BA26" s="12"/>
      <c r="BC26" s="13"/>
      <c r="BD26" s="14"/>
      <c r="BF26" s="16"/>
      <c r="BG26" s="17"/>
      <c r="BK26" s="2"/>
      <c r="BP26" s="3"/>
    </row>
    <row r="27" spans="1:73" x14ac:dyDescent="0.35">
      <c r="C27" s="2"/>
      <c r="H27" s="3"/>
      <c r="Q27" s="2"/>
      <c r="AE27" s="2"/>
      <c r="AJ27" s="3"/>
      <c r="AS27" s="10"/>
      <c r="AT27" s="16"/>
      <c r="AU27" s="17"/>
      <c r="AW27" s="6"/>
      <c r="AX27" s="7"/>
      <c r="AZ27" s="11"/>
      <c r="BA27" s="12"/>
      <c r="BC27" s="13"/>
      <c r="BD27" s="14"/>
      <c r="BF27" s="16"/>
      <c r="BG27" s="17"/>
      <c r="BK27" s="2"/>
      <c r="BP27" s="3"/>
    </row>
    <row r="28" spans="1:73" x14ac:dyDescent="0.35">
      <c r="C28" s="2"/>
      <c r="H28" s="3"/>
      <c r="Q28" s="2"/>
      <c r="AE28" s="2"/>
      <c r="AJ28" s="3"/>
      <c r="AS28" s="10"/>
      <c r="AT28" s="16"/>
      <c r="AU28" s="17"/>
      <c r="AW28" s="6"/>
      <c r="AX28" s="7"/>
      <c r="AZ28" s="11"/>
      <c r="BA28" s="12"/>
      <c r="BC28" s="13"/>
      <c r="BD28" s="14"/>
      <c r="BF28" s="16"/>
      <c r="BG28" s="17"/>
      <c r="BK28" s="2"/>
      <c r="BP28" s="3"/>
    </row>
    <row r="29" spans="1:73" x14ac:dyDescent="0.35">
      <c r="C29" s="2"/>
      <c r="H29" s="3"/>
      <c r="Q29" s="2"/>
      <c r="V29" s="3"/>
      <c r="AE29" s="2"/>
      <c r="AJ29" s="3"/>
      <c r="AK29" s="15"/>
      <c r="AS29" s="10"/>
      <c r="AT29" s="16"/>
      <c r="AU29" s="17"/>
      <c r="AW29" s="6"/>
      <c r="AX29" s="7"/>
      <c r="AZ29" s="11"/>
      <c r="BA29" s="12"/>
      <c r="BC29" s="13"/>
      <c r="BD29" s="14"/>
      <c r="BF29" s="16"/>
      <c r="BG29" s="17"/>
      <c r="BK29" s="2"/>
      <c r="BP29" s="3"/>
    </row>
    <row r="30" spans="1:73" x14ac:dyDescent="0.35">
      <c r="C30" s="2"/>
      <c r="H30" s="3"/>
      <c r="Q30" s="2"/>
      <c r="AE30" s="2"/>
      <c r="AJ30" s="3"/>
      <c r="AS30" s="10"/>
      <c r="AT30" s="16"/>
      <c r="AU30" s="17"/>
      <c r="AW30" s="6"/>
      <c r="AX30" s="7"/>
      <c r="AZ30" s="11"/>
      <c r="BA30" s="12"/>
      <c r="BC30" s="13"/>
      <c r="BD30" s="14"/>
      <c r="BF30" s="16"/>
      <c r="BG30" s="17"/>
      <c r="BK30" s="2"/>
      <c r="BP30" s="3"/>
    </row>
    <row r="31" spans="1:73" x14ac:dyDescent="0.35">
      <c r="C31" s="2"/>
      <c r="H31" s="3"/>
      <c r="Q31" s="2"/>
      <c r="AE31" s="2"/>
      <c r="AJ31" s="3"/>
      <c r="AS31" s="10"/>
      <c r="AT31" s="16"/>
      <c r="AU31" s="17"/>
      <c r="AW31" s="6"/>
      <c r="AX31" s="7"/>
      <c r="AZ31" s="11"/>
      <c r="BA31" s="12"/>
      <c r="BC31" s="13"/>
      <c r="BD31" s="14"/>
      <c r="BF31" s="16"/>
      <c r="BG31" s="17"/>
      <c r="BK31" s="2"/>
      <c r="BP31" s="3"/>
    </row>
    <row r="32" spans="1:73" x14ac:dyDescent="0.35">
      <c r="C32" s="2"/>
      <c r="H32" s="3"/>
      <c r="Q32" s="2"/>
      <c r="V32" s="3"/>
      <c r="AE32" s="2"/>
      <c r="AJ32" s="3"/>
      <c r="AS32" s="10"/>
      <c r="AT32" s="16"/>
      <c r="AU32" s="17"/>
      <c r="AW32" s="6"/>
      <c r="AX32" s="7"/>
      <c r="AZ32" s="11"/>
      <c r="BA32" s="12"/>
      <c r="BC32" s="13"/>
      <c r="BD32" s="14"/>
      <c r="BF32" s="16"/>
      <c r="BG32" s="17"/>
      <c r="BK32" s="2"/>
      <c r="BP32" s="3"/>
    </row>
    <row r="33" spans="3:68" x14ac:dyDescent="0.35">
      <c r="C33" s="2"/>
      <c r="H33" s="3"/>
      <c r="Q33" s="2"/>
      <c r="V33" s="3"/>
      <c r="AE33" s="2"/>
      <c r="AJ33" s="3"/>
      <c r="AS33" s="10"/>
      <c r="AT33" s="16"/>
      <c r="AU33" s="17"/>
      <c r="AW33" s="6"/>
      <c r="AX33" s="7"/>
      <c r="AZ33" s="11"/>
      <c r="BA33" s="12"/>
      <c r="BC33" s="13"/>
      <c r="BD33" s="14"/>
      <c r="BF33" s="16"/>
      <c r="BG33" s="17"/>
      <c r="BK33" s="2"/>
      <c r="BP33" s="3"/>
    </row>
    <row r="34" spans="3:68" x14ac:dyDescent="0.35">
      <c r="C34" s="2"/>
      <c r="H34" s="3"/>
      <c r="Q34" s="2"/>
      <c r="AE34" s="2"/>
      <c r="AJ34" s="3"/>
      <c r="AS34" s="10"/>
      <c r="AT34" s="16"/>
      <c r="AU34" s="17"/>
      <c r="AW34" s="6"/>
      <c r="AX34" s="7"/>
      <c r="AZ34" s="11"/>
      <c r="BA34" s="12"/>
      <c r="BC34" s="13"/>
      <c r="BD34" s="14"/>
      <c r="BF34" s="16"/>
      <c r="BG34" s="17"/>
      <c r="BK34" s="2"/>
      <c r="BP34" s="3"/>
    </row>
    <row r="35" spans="3:68" x14ac:dyDescent="0.35">
      <c r="C35" s="2"/>
      <c r="H35" s="3"/>
      <c r="Q35" s="2"/>
      <c r="AE35" s="2"/>
      <c r="AS35" s="10"/>
      <c r="AT35" s="16"/>
      <c r="AU35" s="17"/>
      <c r="AW35" s="6"/>
      <c r="AX35" s="7"/>
      <c r="AZ35" s="11"/>
      <c r="BA35" s="12"/>
      <c r="BC35" s="13"/>
      <c r="BD35" s="14"/>
      <c r="BF35" s="16"/>
      <c r="BG35" s="17"/>
      <c r="BK35" s="2"/>
      <c r="BP35" s="3"/>
    </row>
    <row r="36" spans="3:68" x14ac:dyDescent="0.35">
      <c r="C36" s="2"/>
      <c r="H36" s="3"/>
      <c r="Q36" s="2"/>
      <c r="V36" s="3"/>
      <c r="AE36" s="2"/>
      <c r="AJ36" s="3"/>
      <c r="AS36" s="10"/>
      <c r="AT36" s="16"/>
      <c r="AU36" s="17"/>
      <c r="AW36" s="6"/>
      <c r="AX36" s="7"/>
      <c r="AZ36" s="11"/>
      <c r="BA36" s="12"/>
      <c r="BC36" s="13"/>
      <c r="BD36" s="14"/>
      <c r="BF36" s="16"/>
      <c r="BG36" s="17"/>
      <c r="BK36" s="2"/>
      <c r="BP36" s="3"/>
    </row>
    <row r="37" spans="3:68" x14ac:dyDescent="0.35">
      <c r="C37" s="2"/>
      <c r="H37" s="3"/>
      <c r="Q37" s="2"/>
      <c r="V37" s="3"/>
      <c r="AE37" s="2"/>
      <c r="AJ37" s="3"/>
      <c r="AS37" s="10"/>
      <c r="AT37" s="16"/>
      <c r="AU37" s="17"/>
      <c r="AW37" s="6"/>
      <c r="AX37" s="7"/>
      <c r="AZ37" s="11"/>
      <c r="BA37" s="12"/>
      <c r="BC37" s="13"/>
      <c r="BD37" s="14"/>
      <c r="BF37" s="16"/>
      <c r="BG37" s="17"/>
      <c r="BK37" s="2"/>
      <c r="BP37" s="3"/>
    </row>
    <row r="38" spans="3:68" x14ac:dyDescent="0.35">
      <c r="C38" s="2"/>
      <c r="H38" s="3"/>
      <c r="Q38" s="2"/>
      <c r="AE38" s="2"/>
      <c r="AJ38" s="3"/>
      <c r="AS38" s="10"/>
      <c r="AT38" s="16"/>
      <c r="AU38" s="17"/>
      <c r="AW38" s="6"/>
      <c r="AX38" s="7"/>
      <c r="AZ38" s="11"/>
      <c r="BA38" s="12"/>
      <c r="BC38" s="13"/>
      <c r="BD38" s="14"/>
      <c r="BF38" s="16"/>
      <c r="BG38" s="17"/>
      <c r="BK38" s="2"/>
      <c r="BP38" s="3"/>
    </row>
    <row r="39" spans="3:68" x14ac:dyDescent="0.35">
      <c r="C39" s="2"/>
      <c r="H39" s="3"/>
      <c r="Q39" s="2"/>
      <c r="V39" s="3"/>
      <c r="AE39" s="2"/>
      <c r="AJ39" s="3"/>
      <c r="AS39" s="10"/>
      <c r="AT39" s="16"/>
      <c r="AU39" s="17"/>
      <c r="AW39" s="6"/>
      <c r="AX39" s="7"/>
      <c r="AZ39" s="11"/>
      <c r="BA39" s="12"/>
      <c r="BC39" s="13"/>
      <c r="BD39" s="14"/>
      <c r="BF39" s="16"/>
      <c r="BG39" s="17"/>
      <c r="BK39" s="2"/>
      <c r="BP39" s="3"/>
    </row>
    <row r="40" spans="3:68" x14ac:dyDescent="0.35">
      <c r="C40" s="2"/>
      <c r="H40" s="3"/>
      <c r="Q40" s="2"/>
      <c r="AE40" s="2"/>
      <c r="AJ40" s="3"/>
      <c r="AS40" s="10"/>
      <c r="AT40" s="16"/>
      <c r="AU40" s="17"/>
      <c r="AW40" s="6"/>
      <c r="AX40" s="7"/>
      <c r="AZ40" s="11"/>
      <c r="BA40" s="12"/>
      <c r="BC40" s="13"/>
      <c r="BD40" s="14"/>
      <c r="BF40" s="16"/>
      <c r="BG40" s="17"/>
      <c r="BK40" s="2"/>
      <c r="BP40" s="3"/>
    </row>
    <row r="41" spans="3:68" x14ac:dyDescent="0.35">
      <c r="C41" s="2"/>
      <c r="H41" s="3"/>
      <c r="Q41" s="2"/>
      <c r="AE41" s="2"/>
      <c r="AJ41" s="3"/>
      <c r="AS41" s="10"/>
      <c r="AT41" s="16"/>
      <c r="AU41" s="17"/>
      <c r="AW41" s="6"/>
      <c r="AX41" s="7"/>
      <c r="AZ41" s="11"/>
      <c r="BA41" s="12"/>
      <c r="BC41" s="13"/>
      <c r="BD41" s="14"/>
      <c r="BF41" s="16"/>
      <c r="BG41" s="17"/>
      <c r="BK41" s="2"/>
      <c r="BP41" s="3"/>
    </row>
    <row r="42" spans="3:68" x14ac:dyDescent="0.35">
      <c r="C42" s="2"/>
      <c r="H42" s="3"/>
      <c r="Q42" s="2"/>
      <c r="AE42" s="2"/>
      <c r="AS42" s="10"/>
      <c r="AT42" s="16"/>
      <c r="AU42" s="17"/>
      <c r="AW42" s="6"/>
      <c r="AX42" s="7"/>
      <c r="AZ42" s="11"/>
      <c r="BA42" s="12"/>
      <c r="BC42" s="13"/>
      <c r="BD42" s="14"/>
      <c r="BF42" s="16"/>
      <c r="BG42" s="17"/>
      <c r="BK42" s="2"/>
      <c r="BP42" s="3"/>
    </row>
    <row r="43" spans="3:68" x14ac:dyDescent="0.35">
      <c r="C43" s="2"/>
      <c r="H43" s="3"/>
      <c r="Q43" s="2"/>
      <c r="AE43" s="2"/>
      <c r="AS43" s="10"/>
      <c r="AT43" s="16"/>
      <c r="AU43" s="17"/>
      <c r="AW43" s="6"/>
      <c r="AX43" s="7"/>
      <c r="AZ43" s="11"/>
      <c r="BA43" s="12"/>
      <c r="BC43" s="13"/>
      <c r="BD43" s="14"/>
      <c r="BF43" s="16"/>
      <c r="BG43" s="17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2026-01-27T18:45:26Z</dcterms:modified>
</cp:coreProperties>
</file>