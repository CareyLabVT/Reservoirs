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501AF453-CED5-45DE-B152-415F096E54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1" i="1" l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<sst xmlns="http://schemas.openxmlformats.org/spreadsheetml/2006/main" count="567" uniqueCount="56">
  <si>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</si>
  <si>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</si>
  <si>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</si>
  <si>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</si>
  <si>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</si>
  <si>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</si>
  <si>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</si>
  <si>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</si>
  <si>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</si>
  <si>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</si>
  <si>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</si>
  <si>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</si>
  <si>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</si>
  <si>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</si>
  <si>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</si>
  <si>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</si>
  <si>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</si>
  <si>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</si>
  <si>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</si>
  <si>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</si>
  <si>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</si>
  <si>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</si>
  <si>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</si>
  <si>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</si>
  <si>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</si>
  <si>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</si>
  <si>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</si>
  <si>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</si>
  <si>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</si>
  <si>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</si>
  <si>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</si>
  <si>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</si>
  <si>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</si>
  <si>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</si>
  <si>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</si>
  <si>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FMI20260209_001.gcd</t>
  </si>
  <si>
    <t>FMI20260209_002.gcd</t>
  </si>
  <si>
    <t>FMI20260209_003.gcd</t>
  </si>
  <si>
    <t>QC spiked air NEW</t>
  </si>
  <si>
    <t>FMI20260209_004.gcd</t>
  </si>
  <si>
    <t>FMI20260209_005.gcd</t>
  </si>
  <si>
    <t>FMI20260209_006.gcd</t>
  </si>
  <si>
    <t>FMI20260209_007.gcd</t>
  </si>
  <si>
    <t>FMI20260209_008.gcd</t>
  </si>
  <si>
    <t>FMI20260209_009.gcd</t>
  </si>
  <si>
    <t>FMI20260209_010.gcd</t>
  </si>
  <si>
    <t>FMI20260209_011.gcd</t>
  </si>
  <si>
    <t>FMI20260209_012.gcd</t>
  </si>
  <si>
    <t>FMI20260209_013.gcd</t>
  </si>
  <si>
    <t>FMI20260209_014.gcd</t>
  </si>
  <si>
    <t>FMI20260209_015.gcd</t>
  </si>
  <si>
    <t>FMI20260209_016.gcd</t>
  </si>
  <si>
    <t>FMI20260209_017.gcd</t>
  </si>
  <si>
    <t>FMI20260209_018.gcd</t>
  </si>
  <si>
    <t>Leaked out syringe when creating headspace. Estimated 2mL volume. If dups don't match discard this one.</t>
  </si>
  <si>
    <t>Small bubble in vial.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</si>
</sst>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C1" workbookViewId="0">
      <selection activeCell="AQ17" sqref="AQ1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46062.545960648145</v>
      </c>
      <c r="D9" t="s">
        <v>33</v>
      </c>
      <c r="E9" t="s">
        <v>13</v>
      </c>
      <c r="F9">
        <v>0</v>
      </c>
      <c r="G9">
        <v>6.1449999999999996</v>
      </c>
      <c r="H9" s="3">
        <v>1703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46062.545960648145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46062.545960648145</v>
      </c>
      <c r="AF9" t="s">
        <v>33</v>
      </c>
      <c r="AG9" t="s">
        <v>13</v>
      </c>
      <c r="AH9">
        <v>0</v>
      </c>
      <c r="AI9">
        <v>12.457000000000001</v>
      </c>
      <c r="AJ9" s="3">
        <v>2341</v>
      </c>
      <c r="AK9">
        <v>0.41699999999999998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2.6854774750369996</v>
      </c>
      <c r="AU9" s="17">
        <f t="shared" ref="AU9:AU14" si="1">IF(AJ9&lt;45000,((-0.00000004907*AJ9^2)+(0.2277*AJ9)+(-134)),((-0.00000001062*AJ9^2)+(0.2147*AJ9)+(590.6)))</f>
        <v>398.77678261132996</v>
      </c>
      <c r="AW9" s="6">
        <f t="shared" ref="AW9:AW14" si="2">IF(H9&lt;10000,((0.0000001453*H9^2)+(0.0008349*H9)+(-1.805)),(IF(H9&lt;700000,((-0.00000000008054*H9^2)+(0.002348*H9)+(-2.47)), ((-0.00000001938*V9^2)+(0.2471*V9)+(226.8)))))</f>
        <v>3.8235067700000069E-2</v>
      </c>
      <c r="AX9" s="7">
        <f t="shared" ref="AX9:AX14" si="3">(-0.00000002552*AJ9^2)+(0.2067*AJ9)+(-103.7)</f>
        <v>380.04484322888004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6.1713178600000003</v>
      </c>
      <c r="BA9" s="12">
        <f t="shared" ref="BA9:BA14" si="5">IF(AJ9&lt;45000,((-0.0000004561*AJ9^2)+(0.244*AJ9)+(-21.72)),((-0.0000000409*AJ9^2)+(0.2477*AJ9)+(-1777)))</f>
        <v>546.98444383589992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0.53217694225999956</v>
      </c>
      <c r="BD9" s="14">
        <f t="shared" ref="BD9:BD14" si="7">IF(AJ9&lt;45000,((-0.0000000598*AJ9^2)+(0.205*AJ9)+(34.1)),((-0.00000002403*AJ9^2)+(0.2063*AJ9)+(-550.7)))</f>
        <v>513.67727919619995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2.6854774750369996</v>
      </c>
      <c r="BG9" s="17">
        <f t="shared" ref="BG9:BG14" si="9">IF(AJ9&lt;45000,((-0.00000004907*AJ9^2)+(0.2277*AJ9)+(-134)),((-0.00000001062*AJ9^2)+(0.2147*AJ9)+(590.6)))</f>
        <v>398.77678261132996</v>
      </c>
      <c r="BI9">
        <v>45</v>
      </c>
      <c r="BJ9" t="s">
        <v>35</v>
      </c>
      <c r="BK9" s="2">
        <v>46062.545960648145</v>
      </c>
      <c r="BL9" t="s">
        <v>33</v>
      </c>
      <c r="BM9" t="s">
        <v>13</v>
      </c>
      <c r="BN9">
        <v>0</v>
      </c>
      <c r="BO9">
        <v>2.7410000000000001</v>
      </c>
      <c r="BP9" s="3">
        <v>4983975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46062.567187499997</v>
      </c>
      <c r="D10" t="s">
        <v>34</v>
      </c>
      <c r="E10" t="s">
        <v>13</v>
      </c>
      <c r="F10">
        <v>0</v>
      </c>
      <c r="G10">
        <v>6.0869999999999997</v>
      </c>
      <c r="H10" s="3">
        <v>719980</v>
      </c>
      <c r="I10">
        <v>1.6259999999999999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46062.567187499997</v>
      </c>
      <c r="R10" t="s">
        <v>34</v>
      </c>
      <c r="S10" t="s">
        <v>13</v>
      </c>
      <c r="T10">
        <v>0</v>
      </c>
      <c r="U10">
        <v>6.0430000000000001</v>
      </c>
      <c r="V10" s="3">
        <v>6062</v>
      </c>
      <c r="W10">
        <v>1.59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46062.567187499997</v>
      </c>
      <c r="AF10" t="s">
        <v>34</v>
      </c>
      <c r="AG10" t="s">
        <v>13</v>
      </c>
      <c r="AH10">
        <v>0</v>
      </c>
      <c r="AI10">
        <v>12.43</v>
      </c>
      <c r="AJ10" s="3">
        <v>6685</v>
      </c>
      <c r="AK10">
        <v>1.37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1650.9957452491603</v>
      </c>
      <c r="AU10" s="17">
        <f t="shared" si="1"/>
        <v>1385.9815997292501</v>
      </c>
      <c r="AW10" s="6">
        <f t="shared" si="2"/>
        <v>1724.00802678328</v>
      </c>
      <c r="AX10" s="7">
        <f t="shared" si="3"/>
        <v>1276.9490309779999</v>
      </c>
      <c r="AZ10" s="11">
        <f t="shared" si="4"/>
        <v>1541.21949567256</v>
      </c>
      <c r="BA10" s="12">
        <f t="shared" si="5"/>
        <v>1589.0372444774998</v>
      </c>
      <c r="BC10" s="13">
        <f t="shared" si="6"/>
        <v>1696.7032385575201</v>
      </c>
      <c r="BD10" s="14">
        <f t="shared" si="7"/>
        <v>1401.852584345</v>
      </c>
      <c r="BF10" s="16">
        <f t="shared" si="8"/>
        <v>1650.9957452491603</v>
      </c>
      <c r="BG10" s="17">
        <f t="shared" si="9"/>
        <v>1385.9815997292501</v>
      </c>
      <c r="BI10">
        <v>46</v>
      </c>
      <c r="BJ10" t="s">
        <v>36</v>
      </c>
      <c r="BK10" s="2">
        <v>46062.567187499997</v>
      </c>
      <c r="BL10" t="s">
        <v>34</v>
      </c>
      <c r="BM10" t="s">
        <v>13</v>
      </c>
      <c r="BN10">
        <v>0</v>
      </c>
      <c r="BO10">
        <v>2.738</v>
      </c>
      <c r="BP10" s="3">
        <v>5068458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46062.588425925926</v>
      </c>
      <c r="D11" t="s">
        <v>38</v>
      </c>
      <c r="E11" t="s">
        <v>13</v>
      </c>
      <c r="F11">
        <v>0</v>
      </c>
      <c r="G11">
        <v>6.0860000000000003</v>
      </c>
      <c r="H11" s="3">
        <v>1024798</v>
      </c>
      <c r="I11">
        <v>2.3149999999999999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46062.588425925926</v>
      </c>
      <c r="R11" t="s">
        <v>38</v>
      </c>
      <c r="S11" t="s">
        <v>13</v>
      </c>
      <c r="T11">
        <v>0</v>
      </c>
      <c r="U11">
        <v>6.04</v>
      </c>
      <c r="V11" s="3">
        <v>7672</v>
      </c>
      <c r="W11">
        <v>1.988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46062.588425925926</v>
      </c>
      <c r="AF11" t="s">
        <v>38</v>
      </c>
      <c r="AG11" t="s">
        <v>13</v>
      </c>
      <c r="AH11">
        <v>0</v>
      </c>
      <c r="AI11">
        <v>12.429</v>
      </c>
      <c r="AJ11" s="3">
        <v>9429</v>
      </c>
      <c r="AK11">
        <v>1.9710000000000001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2274.3800664128403</v>
      </c>
      <c r="AU11" s="17">
        <f t="shared" si="1"/>
        <v>2008.6206805681304</v>
      </c>
      <c r="AW11" s="6">
        <f t="shared" si="2"/>
        <v>2121.4105012620798</v>
      </c>
      <c r="AX11" s="7">
        <f t="shared" si="3"/>
        <v>1843.0054178336798</v>
      </c>
      <c r="AZ11" s="11">
        <f t="shared" si="4"/>
        <v>2122.6741965010456</v>
      </c>
      <c r="BA11" s="12">
        <f t="shared" si="5"/>
        <v>2238.4059546999001</v>
      </c>
      <c r="BC11" s="13">
        <f t="shared" si="6"/>
        <v>2346.6308061670152</v>
      </c>
      <c r="BD11" s="14">
        <f t="shared" si="7"/>
        <v>1961.7284187481998</v>
      </c>
      <c r="BF11" s="16">
        <f t="shared" si="8"/>
        <v>2274.3800664128403</v>
      </c>
      <c r="BG11" s="17">
        <f t="shared" si="9"/>
        <v>2008.6206805681304</v>
      </c>
      <c r="BI11">
        <v>47</v>
      </c>
      <c r="BJ11" t="s">
        <v>37</v>
      </c>
      <c r="BK11" s="2">
        <v>46062.588425925926</v>
      </c>
      <c r="BL11" t="s">
        <v>38</v>
      </c>
      <c r="BM11" t="s">
        <v>13</v>
      </c>
      <c r="BN11">
        <v>0</v>
      </c>
      <c r="BO11">
        <v>2.738</v>
      </c>
      <c r="BP11" s="3">
        <v>5090690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39</v>
      </c>
      <c r="C12" s="2">
        <v>46062.609664351854</v>
      </c>
      <c r="D12" t="s">
        <v>28</v>
      </c>
      <c r="E12" t="s">
        <v>13</v>
      </c>
      <c r="F12">
        <v>0</v>
      </c>
      <c r="G12">
        <v>6.1159999999999997</v>
      </c>
      <c r="H12" s="3">
        <v>3146</v>
      </c>
      <c r="I12">
        <v>7.0000000000000001E-3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39</v>
      </c>
      <c r="Q12" s="2">
        <v>46062.609664351854</v>
      </c>
      <c r="R12" t="s">
        <v>28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39</v>
      </c>
      <c r="AE12" s="2">
        <v>46062.609664351854</v>
      </c>
      <c r="AF12" t="s">
        <v>28</v>
      </c>
      <c r="AG12" t="s">
        <v>13</v>
      </c>
      <c r="AH12">
        <v>0</v>
      </c>
      <c r="AI12">
        <v>12.438000000000001</v>
      </c>
      <c r="AJ12" s="3">
        <v>2278</v>
      </c>
      <c r="AK12">
        <v>0.40300000000000002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7.7694299047879998</v>
      </c>
      <c r="AU12" s="17">
        <f t="shared" si="1"/>
        <v>384.44596183412</v>
      </c>
      <c r="AW12" s="6">
        <f t="shared" si="2"/>
        <v>2.2596754148000002</v>
      </c>
      <c r="AX12" s="7">
        <f t="shared" si="3"/>
        <v>367.03016947231998</v>
      </c>
      <c r="AZ12" s="11">
        <f t="shared" si="4"/>
        <v>3.0738606400000013</v>
      </c>
      <c r="BA12" s="12">
        <f t="shared" si="5"/>
        <v>531.74516756759999</v>
      </c>
      <c r="BC12" s="13">
        <f t="shared" si="6"/>
        <v>4.4716706362399989</v>
      </c>
      <c r="BD12" s="14">
        <f t="shared" si="7"/>
        <v>500.77968081679995</v>
      </c>
      <c r="BF12" s="16">
        <f t="shared" si="8"/>
        <v>7.7694299047879998</v>
      </c>
      <c r="BG12" s="17">
        <f t="shared" si="9"/>
        <v>384.44596183412</v>
      </c>
      <c r="BI12">
        <v>48</v>
      </c>
      <c r="BJ12" t="s">
        <v>39</v>
      </c>
      <c r="BK12" s="2">
        <v>46062.609664351854</v>
      </c>
      <c r="BL12" t="s">
        <v>28</v>
      </c>
      <c r="BM12" t="s">
        <v>13</v>
      </c>
      <c r="BN12">
        <v>0</v>
      </c>
      <c r="BO12">
        <v>2.738</v>
      </c>
      <c r="BP12" s="3">
        <v>5111599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40</v>
      </c>
      <c r="C13" s="2">
        <v>46062.630914351852</v>
      </c>
      <c r="D13">
        <v>294</v>
      </c>
      <c r="E13" t="s">
        <v>13</v>
      </c>
      <c r="F13">
        <v>0</v>
      </c>
      <c r="G13">
        <v>6.09</v>
      </c>
      <c r="H13" s="3">
        <v>41025</v>
      </c>
      <c r="I13">
        <v>9.2999999999999999E-2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46062.630914351852</v>
      </c>
      <c r="R13">
        <v>294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46062.630914351852</v>
      </c>
      <c r="AF13">
        <v>294</v>
      </c>
      <c r="AG13" t="s">
        <v>13</v>
      </c>
      <c r="AH13">
        <v>0</v>
      </c>
      <c r="AI13">
        <v>12.355</v>
      </c>
      <c r="AJ13" s="3">
        <v>33552</v>
      </c>
      <c r="AK13">
        <v>7.2489999999999997</v>
      </c>
      <c r="AL13" t="s">
        <v>14</v>
      </c>
      <c r="AM13" t="s">
        <v>14</v>
      </c>
      <c r="AN13" t="s">
        <v>14</v>
      </c>
      <c r="AO13" t="s">
        <v>14</v>
      </c>
      <c r="AQ13">
        <v>2</v>
      </c>
      <c r="AR13" t="s">
        <v>54</v>
      </c>
      <c r="AS13" s="10">
        <v>49</v>
      </c>
      <c r="AT13" s="16">
        <f t="shared" si="0"/>
        <v>112.76540768562501</v>
      </c>
      <c r="AU13" s="17">
        <f t="shared" si="1"/>
        <v>7450.5504999347204</v>
      </c>
      <c r="AW13" s="6">
        <f t="shared" si="2"/>
        <v>93.721147102662485</v>
      </c>
      <c r="AX13" s="7">
        <f t="shared" si="3"/>
        <v>6802.7695993139205</v>
      </c>
      <c r="AZ13" s="11">
        <f t="shared" si="4"/>
        <v>111.76490416437501</v>
      </c>
      <c r="BA13" s="12">
        <f t="shared" si="5"/>
        <v>7651.5194893055996</v>
      </c>
      <c r="BC13" s="13">
        <f t="shared" si="6"/>
        <v>114.1244099795</v>
      </c>
      <c r="BD13" s="14">
        <f t="shared" si="7"/>
        <v>6844.9409451008005</v>
      </c>
      <c r="BF13" s="16">
        <f t="shared" si="8"/>
        <v>112.76540768562501</v>
      </c>
      <c r="BG13" s="17">
        <f t="shared" si="9"/>
        <v>7450.5504999347204</v>
      </c>
      <c r="BI13">
        <v>49</v>
      </c>
      <c r="BJ13" t="s">
        <v>40</v>
      </c>
      <c r="BK13" s="2">
        <v>46062.630914351852</v>
      </c>
      <c r="BL13">
        <v>294</v>
      </c>
      <c r="BM13" t="s">
        <v>13</v>
      </c>
      <c r="BN13">
        <v>0</v>
      </c>
      <c r="BO13">
        <v>2.8490000000000002</v>
      </c>
      <c r="BP13" s="3">
        <v>1753517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41</v>
      </c>
      <c r="C14" s="2">
        <v>46062.65216435185</v>
      </c>
      <c r="D14">
        <v>37</v>
      </c>
      <c r="E14" t="s">
        <v>13</v>
      </c>
      <c r="F14">
        <v>0</v>
      </c>
      <c r="G14">
        <v>6.093</v>
      </c>
      <c r="H14" s="3">
        <v>19527</v>
      </c>
      <c r="I14">
        <v>4.3999999999999997E-2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41</v>
      </c>
      <c r="Q14" s="2">
        <v>46062.65216435185</v>
      </c>
      <c r="R14">
        <v>37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41</v>
      </c>
      <c r="AE14" s="2">
        <v>46062.65216435185</v>
      </c>
      <c r="AF14">
        <v>37</v>
      </c>
      <c r="AG14" t="s">
        <v>13</v>
      </c>
      <c r="AH14">
        <v>0</v>
      </c>
      <c r="AI14">
        <v>12.367000000000001</v>
      </c>
      <c r="AJ14" s="3">
        <v>20116</v>
      </c>
      <c r="AK14">
        <v>4.3120000000000003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55.450131119273003</v>
      </c>
      <c r="AU14" s="17">
        <f t="shared" si="1"/>
        <v>4426.5568549140798</v>
      </c>
      <c r="AW14" s="6">
        <f t="shared" si="2"/>
        <v>43.348685797666342</v>
      </c>
      <c r="AX14" s="7">
        <f t="shared" si="3"/>
        <v>4043.9504438028807</v>
      </c>
      <c r="AZ14" s="11">
        <f t="shared" si="4"/>
        <v>48.399345019367004</v>
      </c>
      <c r="BA14" s="12">
        <f t="shared" si="5"/>
        <v>4702.0215587184002</v>
      </c>
      <c r="BC14" s="13">
        <f t="shared" si="6"/>
        <v>52.177652483064804</v>
      </c>
      <c r="BD14" s="14">
        <f t="shared" si="7"/>
        <v>4133.6817233312004</v>
      </c>
      <c r="BF14" s="16">
        <f t="shared" si="8"/>
        <v>55.450131119273003</v>
      </c>
      <c r="BG14" s="17">
        <f t="shared" si="9"/>
        <v>4426.5568549140798</v>
      </c>
      <c r="BI14">
        <v>50</v>
      </c>
      <c r="BJ14" t="s">
        <v>41</v>
      </c>
      <c r="BK14" s="2">
        <v>46062.65216435185</v>
      </c>
      <c r="BL14">
        <v>37</v>
      </c>
      <c r="BM14" t="s">
        <v>13</v>
      </c>
      <c r="BN14">
        <v>0</v>
      </c>
      <c r="BO14">
        <v>2.8929999999999998</v>
      </c>
      <c r="BP14" s="3">
        <v>877904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42</v>
      </c>
      <c r="C15" s="2">
        <v>46062.673391203702</v>
      </c>
      <c r="D15">
        <v>29</v>
      </c>
      <c r="E15" t="s">
        <v>13</v>
      </c>
      <c r="F15">
        <v>0</v>
      </c>
      <c r="G15">
        <v>6.0940000000000003</v>
      </c>
      <c r="H15" s="3">
        <v>20137</v>
      </c>
      <c r="I15">
        <v>4.5999999999999999E-2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42</v>
      </c>
      <c r="Q15" s="2">
        <v>46062.673391203702</v>
      </c>
      <c r="R15">
        <v>29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42</v>
      </c>
      <c r="AE15" s="2">
        <v>46062.673391203702</v>
      </c>
      <c r="AF15">
        <v>29</v>
      </c>
      <c r="AG15" t="s">
        <v>13</v>
      </c>
      <c r="AH15">
        <v>0</v>
      </c>
      <c r="AI15">
        <v>12.369</v>
      </c>
      <c r="AJ15" s="3">
        <v>23909</v>
      </c>
      <c r="AK15">
        <v>5.1420000000000003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0" si="10">IF(H15&lt;10000,((H15^2*0.000000008493)+(H15*0.003482)+(-3.269)),(IF(H15&lt;200000,((H15^2*-0.000000000263)+(H15*0.002682)+(3.179)),(IF(H15&lt;8000000,((H15^2*-0.000000000005099)+(H15*0.002054)+(174.8)),((V15^2*-0.00000001014)+(V15*0.2415)+(1123)))))))</f>
        <v>57.079787823753001</v>
      </c>
      <c r="AU15" s="17">
        <f t="shared" ref="AU15:AU20" si="11">IF(AJ15&lt;45000,((-0.00000004907*AJ15^2)+(0.2277*AJ15)+(-134)),((-0.00000001062*AJ15^2)+(0.2147*AJ15)+(590.6)))</f>
        <v>5282.0289114113302</v>
      </c>
      <c r="AW15" s="6">
        <f t="shared" ref="AW15:AW20" si="12">IF(H15&lt;10000,((0.0000001453*H15^2)+(0.0008349*H15)+(-1.805)),(IF(H15&lt;700000,((-0.00000000008054*H15^2)+(0.002348*H15)+(-2.47)), ((-0.00000001938*V15^2)+(0.2471*V15)+(226.8)))))</f>
        <v>44.779017129144741</v>
      </c>
      <c r="AX15" s="7">
        <f t="shared" ref="AX15:AX20" si="13">(-0.00000002552*AJ15^2)+(0.2067*AJ15)+(-103.7)</f>
        <v>4823.7020400288793</v>
      </c>
      <c r="AZ15" s="11">
        <f t="shared" ref="AZ15:AZ20" si="14">IF(H15&lt;10000,((H15^2*0.00000054)+(H15*-0.004765)+(12.72)),(IF(H15&lt;200000,((H15^2*-0.000000001577)+(H15*0.003043)+(-10.42)),(IF(H15&lt;8000000,((H15^2*-0.0000000000186)+(H15*0.00194)+(154.1)),((V15^2*-0.00000002)+(V15*0.2565)+(-1032)))))))</f>
        <v>50.217419441286999</v>
      </c>
      <c r="BA15" s="12">
        <f t="shared" ref="BA15:BA20" si="15">IF(AJ15&lt;45000,((-0.0000004561*AJ15^2)+(0.244*AJ15)+(-21.72)),((-0.0000000409*AJ15^2)+(0.2477*AJ15)+(-1777)))</f>
        <v>5551.3508678359003</v>
      </c>
      <c r="BC15" s="13">
        <f t="shared" ref="BC15:BC20" si="16">IF(H15&lt;10000,((H15^2*0.00000005714)+(H15*0.002453)+(-3.811)),(IF(H15&lt;200000,((H15^2*-0.0000000002888)+(H15*0.002899)+(-4.321)),(IF(H15&lt;8000000,((H15^2*-0.0000000000062)+(H15*0.002143)+(157)),((V15^2*-0.000000031)+(V15*0.2771)+(-709.5)))))))</f>
        <v>53.939054955512802</v>
      </c>
      <c r="BD15" s="14">
        <f t="shared" ref="BD15:BD20" si="17">IF(AJ15&lt;45000,((-0.0000000598*AJ15^2)+(0.205*AJ15)+(34.1)),((-0.00000002403*AJ15^2)+(0.2063*AJ15)+(-550.7)))</f>
        <v>4901.2609111962001</v>
      </c>
      <c r="BF15" s="16">
        <f t="shared" ref="BF15:BF20" si="18">IF(H15&lt;10000,((H15^2*0.000000008493)+(H15*0.003482)+(-3.269)),(IF(H15&lt;200000,((H15^2*-0.000000000263)+(H15*0.002682)+(3.179)),(IF(H15&lt;8000000,((H15^2*-0.000000000005099)+(H15*0.002054)+(174.8)),((V15^2*-0.00000001014)+(V15*0.2415)+(1123)))))))</f>
        <v>57.079787823753001</v>
      </c>
      <c r="BG15" s="17">
        <f t="shared" ref="BG15:BG20" si="19">IF(AJ15&lt;45000,((-0.00000004907*AJ15^2)+(0.2277*AJ15)+(-134)),((-0.00000001062*AJ15^2)+(0.2147*AJ15)+(590.6)))</f>
        <v>5282.0289114113302</v>
      </c>
      <c r="BI15">
        <v>51</v>
      </c>
      <c r="BJ15" t="s">
        <v>42</v>
      </c>
      <c r="BK15" s="2">
        <v>46062.673391203702</v>
      </c>
      <c r="BL15">
        <v>29</v>
      </c>
      <c r="BM15" t="s">
        <v>13</v>
      </c>
      <c r="BN15">
        <v>0</v>
      </c>
      <c r="BO15">
        <v>2.903</v>
      </c>
      <c r="BP15" s="3">
        <v>738758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43</v>
      </c>
      <c r="C16" s="2">
        <v>46062.694641203707</v>
      </c>
      <c r="D16">
        <v>39</v>
      </c>
      <c r="E16" t="s">
        <v>13</v>
      </c>
      <c r="F16">
        <v>0</v>
      </c>
      <c r="G16">
        <v>6.0880000000000001</v>
      </c>
      <c r="H16" s="3">
        <v>47112</v>
      </c>
      <c r="I16">
        <v>0.107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43</v>
      </c>
      <c r="Q16" s="2">
        <v>46062.694641203707</v>
      </c>
      <c r="R16">
        <v>39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43</v>
      </c>
      <c r="AE16" s="2">
        <v>46062.694641203707</v>
      </c>
      <c r="AF16">
        <v>39</v>
      </c>
      <c r="AG16" t="s">
        <v>13</v>
      </c>
      <c r="AH16">
        <v>0</v>
      </c>
      <c r="AI16">
        <v>12.349</v>
      </c>
      <c r="AJ16" s="3">
        <v>34157</v>
      </c>
      <c r="AK16">
        <v>7.3810000000000002</v>
      </c>
      <c r="AL16" t="s">
        <v>14</v>
      </c>
      <c r="AM16" t="s">
        <v>14</v>
      </c>
      <c r="AN16" t="s">
        <v>14</v>
      </c>
      <c r="AO16" t="s">
        <v>14</v>
      </c>
      <c r="AQ16">
        <v>2</v>
      </c>
      <c r="AR16" t="s">
        <v>55</v>
      </c>
      <c r="AS16" s="10">
        <v>52</v>
      </c>
      <c r="AT16" s="16">
        <f t="shared" si="10"/>
        <v>128.949644836928</v>
      </c>
      <c r="AU16" s="17">
        <f t="shared" si="11"/>
        <v>7586.2988991535703</v>
      </c>
      <c r="AW16" s="6">
        <f t="shared" si="12"/>
        <v>107.97021420458623</v>
      </c>
      <c r="AX16" s="7">
        <f t="shared" si="13"/>
        <v>6926.7776994375208</v>
      </c>
      <c r="AZ16" s="11">
        <f t="shared" si="14"/>
        <v>129.44160056211203</v>
      </c>
      <c r="BA16" s="12">
        <f t="shared" si="15"/>
        <v>7780.4558339910991</v>
      </c>
      <c r="BC16" s="13">
        <f t="shared" si="16"/>
        <v>131.61568469089281</v>
      </c>
      <c r="BD16" s="14">
        <f t="shared" si="17"/>
        <v>6966.5163011898003</v>
      </c>
      <c r="BF16" s="16">
        <f t="shared" si="18"/>
        <v>128.949644836928</v>
      </c>
      <c r="BG16" s="17">
        <f t="shared" si="19"/>
        <v>7586.2988991535703</v>
      </c>
      <c r="BI16">
        <v>52</v>
      </c>
      <c r="BJ16" t="s">
        <v>43</v>
      </c>
      <c r="BK16" s="2">
        <v>46062.694641203707</v>
      </c>
      <c r="BL16">
        <v>39</v>
      </c>
      <c r="BM16" t="s">
        <v>13</v>
      </c>
      <c r="BN16">
        <v>0</v>
      </c>
      <c r="BO16">
        <v>2.8660000000000001</v>
      </c>
      <c r="BP16" s="3">
        <v>1366386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44</v>
      </c>
      <c r="C17" s="2">
        <v>46062.715902777774</v>
      </c>
      <c r="D17">
        <v>410</v>
      </c>
      <c r="E17" t="s">
        <v>13</v>
      </c>
      <c r="F17">
        <v>0</v>
      </c>
      <c r="G17">
        <v>6.0910000000000002</v>
      </c>
      <c r="H17" s="3">
        <v>23906</v>
      </c>
      <c r="I17">
        <v>5.3999999999999999E-2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44</v>
      </c>
      <c r="Q17" s="2">
        <v>46062.715902777774</v>
      </c>
      <c r="R17">
        <v>410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44</v>
      </c>
      <c r="AE17" s="2">
        <v>46062.715902777774</v>
      </c>
      <c r="AF17">
        <v>410</v>
      </c>
      <c r="AG17" t="s">
        <v>13</v>
      </c>
      <c r="AH17">
        <v>0</v>
      </c>
      <c r="AI17">
        <v>12.362</v>
      </c>
      <c r="AJ17" s="3">
        <v>21326</v>
      </c>
      <c r="AK17">
        <v>4.577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67.144588332132003</v>
      </c>
      <c r="AU17" s="17">
        <f t="shared" si="11"/>
        <v>4699.6132485966809</v>
      </c>
      <c r="AW17" s="6">
        <f t="shared" si="12"/>
        <v>53.615259644828562</v>
      </c>
      <c r="AX17" s="7">
        <f t="shared" si="13"/>
        <v>4292.7777479964807</v>
      </c>
      <c r="AZ17" s="11">
        <f t="shared" si="14"/>
        <v>61.424707489628005</v>
      </c>
      <c r="BA17" s="12">
        <f t="shared" si="15"/>
        <v>4974.3905063163993</v>
      </c>
      <c r="BC17" s="13">
        <f t="shared" si="16"/>
        <v>64.817445713763206</v>
      </c>
      <c r="BD17" s="14">
        <f t="shared" si="17"/>
        <v>4378.7330630952001</v>
      </c>
      <c r="BF17" s="16">
        <f t="shared" si="18"/>
        <v>67.144588332132003</v>
      </c>
      <c r="BG17" s="17">
        <f t="shared" si="19"/>
        <v>4699.6132485966809</v>
      </c>
      <c r="BI17">
        <v>53</v>
      </c>
      <c r="BJ17" t="s">
        <v>44</v>
      </c>
      <c r="BK17" s="2">
        <v>46062.715902777774</v>
      </c>
      <c r="BL17">
        <v>410</v>
      </c>
      <c r="BM17" t="s">
        <v>13</v>
      </c>
      <c r="BN17">
        <v>0</v>
      </c>
      <c r="BO17">
        <v>2.8929999999999998</v>
      </c>
      <c r="BP17" s="3">
        <v>879652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45</v>
      </c>
      <c r="C18" s="2">
        <v>46062.73715277778</v>
      </c>
      <c r="D18">
        <v>346</v>
      </c>
      <c r="E18" t="s">
        <v>13</v>
      </c>
      <c r="F18">
        <v>0</v>
      </c>
      <c r="G18">
        <v>6.0890000000000004</v>
      </c>
      <c r="H18" s="3">
        <v>28694</v>
      </c>
      <c r="I18">
        <v>6.5000000000000002E-2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45</v>
      </c>
      <c r="Q18" s="2">
        <v>46062.73715277778</v>
      </c>
      <c r="R18">
        <v>346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45</v>
      </c>
      <c r="AE18" s="2">
        <v>46062.73715277778</v>
      </c>
      <c r="AF18">
        <v>346</v>
      </c>
      <c r="AG18" t="s">
        <v>13</v>
      </c>
      <c r="AH18">
        <v>0</v>
      </c>
      <c r="AI18">
        <v>12.372999999999999</v>
      </c>
      <c r="AJ18" s="3">
        <v>6727</v>
      </c>
      <c r="AK18">
        <v>1.379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79.919768097732003</v>
      </c>
      <c r="AU18" s="17">
        <f t="shared" si="11"/>
        <v>1395.5173584019701</v>
      </c>
      <c r="AW18" s="6">
        <f t="shared" si="12"/>
        <v>64.837199742476557</v>
      </c>
      <c r="AX18" s="7">
        <f t="shared" si="13"/>
        <v>1285.6160554599201</v>
      </c>
      <c r="AZ18" s="11">
        <f t="shared" si="14"/>
        <v>75.597425932028003</v>
      </c>
      <c r="BA18" s="12">
        <f t="shared" si="15"/>
        <v>1599.0283215231</v>
      </c>
      <c r="BC18" s="13">
        <f t="shared" si="16"/>
        <v>78.625123780323207</v>
      </c>
      <c r="BD18" s="14">
        <f t="shared" si="17"/>
        <v>1410.4288987657997</v>
      </c>
      <c r="BF18" s="16">
        <f t="shared" si="18"/>
        <v>79.919768097732003</v>
      </c>
      <c r="BG18" s="17">
        <f t="shared" si="19"/>
        <v>1395.5173584019701</v>
      </c>
      <c r="BI18">
        <v>54</v>
      </c>
      <c r="BJ18" t="s">
        <v>45</v>
      </c>
      <c r="BK18" s="2">
        <v>46062.73715277778</v>
      </c>
      <c r="BL18">
        <v>346</v>
      </c>
      <c r="BM18" t="s">
        <v>13</v>
      </c>
      <c r="BN18">
        <v>0</v>
      </c>
      <c r="BO18">
        <v>2.8820000000000001</v>
      </c>
      <c r="BP18" s="3">
        <v>1088961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46</v>
      </c>
      <c r="C19" s="2">
        <v>46062.758368055554</v>
      </c>
      <c r="D19">
        <v>199</v>
      </c>
      <c r="E19" t="s">
        <v>13</v>
      </c>
      <c r="F19">
        <v>0</v>
      </c>
      <c r="G19">
        <v>6.0880000000000001</v>
      </c>
      <c r="H19" s="3">
        <v>42710</v>
      </c>
      <c r="I19">
        <v>9.7000000000000003E-2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46</v>
      </c>
      <c r="Q19" s="2">
        <v>46062.758368055554</v>
      </c>
      <c r="R19">
        <v>199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46</v>
      </c>
      <c r="AE19" s="2">
        <v>46062.758368055554</v>
      </c>
      <c r="AF19">
        <v>199</v>
      </c>
      <c r="AG19" t="s">
        <v>13</v>
      </c>
      <c r="AH19">
        <v>0</v>
      </c>
      <c r="AI19">
        <v>12.348000000000001</v>
      </c>
      <c r="AJ19" s="3">
        <v>32029</v>
      </c>
      <c r="AK19">
        <v>6.9169999999999998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117.2474701017</v>
      </c>
      <c r="AU19" s="17">
        <f t="shared" si="11"/>
        <v>7108.66450481213</v>
      </c>
      <c r="AW19" s="6">
        <f t="shared" si="12"/>
        <v>97.666163434186004</v>
      </c>
      <c r="AX19" s="7">
        <f t="shared" si="13"/>
        <v>6490.5144334176803</v>
      </c>
      <c r="AZ19" s="11">
        <f t="shared" si="14"/>
        <v>116.6698547543</v>
      </c>
      <c r="BA19" s="12">
        <f t="shared" si="15"/>
        <v>7325.4626948198993</v>
      </c>
      <c r="BC19" s="13">
        <f t="shared" si="16"/>
        <v>118.96847718392002</v>
      </c>
      <c r="BD19" s="14">
        <f t="shared" si="17"/>
        <v>6538.6987609081998</v>
      </c>
      <c r="BF19" s="16">
        <f t="shared" si="18"/>
        <v>117.2474701017</v>
      </c>
      <c r="BG19" s="17">
        <f t="shared" si="19"/>
        <v>7108.66450481213</v>
      </c>
      <c r="BI19">
        <v>55</v>
      </c>
      <c r="BJ19" t="s">
        <v>46</v>
      </c>
      <c r="BK19" s="2">
        <v>46062.758368055554</v>
      </c>
      <c r="BL19">
        <v>199</v>
      </c>
      <c r="BM19" t="s">
        <v>13</v>
      </c>
      <c r="BN19">
        <v>0</v>
      </c>
      <c r="BO19">
        <v>2.88</v>
      </c>
      <c r="BP19" s="3">
        <v>1093277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47</v>
      </c>
      <c r="C20" s="2">
        <v>46062.779606481483</v>
      </c>
      <c r="D20">
        <v>299</v>
      </c>
      <c r="E20" t="s">
        <v>13</v>
      </c>
      <c r="F20">
        <v>0</v>
      </c>
      <c r="G20">
        <v>6.09</v>
      </c>
      <c r="H20" s="3">
        <v>19285</v>
      </c>
      <c r="I20">
        <v>4.3999999999999997E-2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47</v>
      </c>
      <c r="Q20" s="2">
        <v>46062.779606481483</v>
      </c>
      <c r="R20">
        <v>299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47</v>
      </c>
      <c r="AE20" s="2">
        <v>46062.779606481483</v>
      </c>
      <c r="AF20">
        <v>299</v>
      </c>
      <c r="AG20" t="s">
        <v>13</v>
      </c>
      <c r="AH20">
        <v>0</v>
      </c>
      <c r="AI20">
        <v>12.374000000000001</v>
      </c>
      <c r="AJ20" s="3">
        <v>11852</v>
      </c>
      <c r="AK20">
        <v>2.5019999999999998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54.803557347824999</v>
      </c>
      <c r="AU20" s="17">
        <f t="shared" si="11"/>
        <v>2557.8075418107201</v>
      </c>
      <c r="AW20" s="6">
        <f t="shared" si="12"/>
        <v>42.7812262699385</v>
      </c>
      <c r="AX20" s="7">
        <f t="shared" si="13"/>
        <v>2342.5236080499199</v>
      </c>
      <c r="AZ20" s="11">
        <f t="shared" si="14"/>
        <v>47.677750998175</v>
      </c>
      <c r="BA20" s="12">
        <f t="shared" si="15"/>
        <v>2806.0996767856</v>
      </c>
      <c r="BC20" s="13">
        <f t="shared" si="16"/>
        <v>51.478807038220005</v>
      </c>
      <c r="BD20" s="14">
        <f t="shared" si="17"/>
        <v>2455.3598997407998</v>
      </c>
      <c r="BF20" s="16">
        <f t="shared" si="18"/>
        <v>54.803557347824999</v>
      </c>
      <c r="BG20" s="17">
        <f t="shared" si="19"/>
        <v>2557.8075418107201</v>
      </c>
      <c r="BI20">
        <v>56</v>
      </c>
      <c r="BJ20" t="s">
        <v>47</v>
      </c>
      <c r="BK20" s="2">
        <v>46062.779606481483</v>
      </c>
      <c r="BL20">
        <v>299</v>
      </c>
      <c r="BM20" t="s">
        <v>13</v>
      </c>
      <c r="BN20">
        <v>0</v>
      </c>
      <c r="BO20">
        <v>2.8889999999999998</v>
      </c>
      <c r="BP20" s="3">
        <v>938894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48</v>
      </c>
      <c r="C21" s="2">
        <v>46062.800844907404</v>
      </c>
      <c r="D21">
        <v>80</v>
      </c>
      <c r="E21" t="s">
        <v>13</v>
      </c>
      <c r="F21">
        <v>0</v>
      </c>
      <c r="G21">
        <v>6.0960000000000001</v>
      </c>
      <c r="H21" s="3">
        <v>18700</v>
      </c>
      <c r="I21">
        <v>4.2999999999999997E-2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48</v>
      </c>
      <c r="Q21" s="2">
        <v>46062.800844907404</v>
      </c>
      <c r="R21">
        <v>80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48</v>
      </c>
      <c r="AE21" s="2">
        <v>46062.800844907404</v>
      </c>
      <c r="AF21">
        <v>80</v>
      </c>
      <c r="AG21" t="s">
        <v>13</v>
      </c>
      <c r="AH21">
        <v>0</v>
      </c>
      <c r="AI21">
        <v>12.382999999999999</v>
      </c>
      <c r="AJ21" s="3">
        <v>12154</v>
      </c>
      <c r="AK21">
        <v>2.569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ref="AT21:AT26" si="20">IF(H21&lt;10000,((H21^2*0.000000008493)+(H21*0.003482)+(-3.269)),(IF(H21&lt;200000,((H21^2*-0.000000000263)+(H21*0.002682)+(3.179)),(IF(H21&lt;8000000,((H21^2*-0.000000000005099)+(H21*0.002054)+(174.8)),((V21^2*-0.00000001014)+(V21*0.2415)+(1123)))))))</f>
        <v>53.240431530000002</v>
      </c>
      <c r="AU21" s="17">
        <f t="shared" ref="AU21:AU26" si="21">IF(AJ21&lt;45000,((-0.00000004907*AJ21^2)+(0.2277*AJ21)+(-134)),((-0.00000001062*AJ21^2)+(0.2147*AJ21)+(590.6)))</f>
        <v>2626.2171935358801</v>
      </c>
      <c r="AW21" s="6">
        <f t="shared" ref="AW21:AW26" si="22">IF(H21&lt;10000,((0.0000001453*H21^2)+(0.0008349*H21)+(-1.805)),(IF(H21&lt;700000,((-0.00000000008054*H21^2)+(0.002348*H21)+(-2.47)), ((-0.00000001938*V21^2)+(0.2471*V21)+(226.8)))))</f>
        <v>41.409435967399993</v>
      </c>
      <c r="AX21" s="7">
        <f t="shared" ref="AX21:AX26" si="23">(-0.00000002552*AJ21^2)+(0.2067*AJ21)+(-103.7)</f>
        <v>2404.7619928476802</v>
      </c>
      <c r="AZ21" s="11">
        <f t="shared" ref="AZ21:AZ26" si="24">IF(H21&lt;10000,((H21^2*0.00000054)+(H21*-0.004765)+(12.72)),(IF(H21&lt;200000,((H21^2*-0.000000001577)+(H21*0.003043)+(-10.42)),(IF(H21&lt;8000000,((H21^2*-0.0000000000186)+(H21*0.00194)+(154.1)),((V21^2*-0.00000002)+(V21*0.2565)+(-1032)))))))</f>
        <v>45.932638869999998</v>
      </c>
      <c r="BA21" s="12">
        <f t="shared" ref="BA21:BA26" si="25">IF(AJ21&lt;45000,((-0.0000004561*AJ21^2)+(0.244*AJ21)+(-21.72)),((-0.0000000409*AJ21^2)+(0.2477*AJ21)+(-1777)))</f>
        <v>2876.4810375324</v>
      </c>
      <c r="BC21" s="13">
        <f t="shared" ref="BC21:BC26" si="26">IF(H21&lt;10000,((H21^2*0.00000005714)+(H21*0.002453)+(-3.811)),(IF(H21&lt;200000,((H21^2*-0.0000000002888)+(H21*0.002899)+(-4.321)),(IF(H21&lt;8000000,((H21^2*-0.0000000000062)+(H21*0.002143)+(157)),((V21^2*-0.000000031)+(V21*0.2771)+(-709.5)))))))</f>
        <v>49.789309528000004</v>
      </c>
      <c r="BD21" s="14">
        <f t="shared" ref="BD21:BD26" si="27">IF(AJ21&lt;45000,((-0.0000000598*AJ21^2)+(0.205*AJ21)+(34.1)),((-0.00000002403*AJ21^2)+(0.2063*AJ21)+(-550.7)))</f>
        <v>2516.8363609831995</v>
      </c>
      <c r="BF21" s="16">
        <f t="shared" ref="BF21:BF26" si="28">IF(H21&lt;10000,((H21^2*0.000000008493)+(H21*0.003482)+(-3.269)),(IF(H21&lt;200000,((H21^2*-0.000000000263)+(H21*0.002682)+(3.179)),(IF(H21&lt;8000000,((H21^2*-0.000000000005099)+(H21*0.002054)+(174.8)),((V21^2*-0.00000001014)+(V21*0.2415)+(1123)))))))</f>
        <v>53.240431530000002</v>
      </c>
      <c r="BG21" s="17">
        <f t="shared" ref="BG21:BG26" si="29">IF(AJ21&lt;45000,((-0.00000004907*AJ21^2)+(0.2277*AJ21)+(-134)),((-0.00000001062*AJ21^2)+(0.2147*AJ21)+(590.6)))</f>
        <v>2626.2171935358801</v>
      </c>
      <c r="BI21">
        <v>57</v>
      </c>
      <c r="BJ21" t="s">
        <v>48</v>
      </c>
      <c r="BK21" s="2">
        <v>46062.800844907404</v>
      </c>
      <c r="BL21">
        <v>80</v>
      </c>
      <c r="BM21" t="s">
        <v>13</v>
      </c>
      <c r="BN21">
        <v>0</v>
      </c>
      <c r="BO21">
        <v>2.8969999999999998</v>
      </c>
      <c r="BP21" s="3">
        <v>912484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49</v>
      </c>
      <c r="C22" s="2">
        <v>46062.822094907409</v>
      </c>
      <c r="D22">
        <v>208</v>
      </c>
      <c r="E22" t="s">
        <v>13</v>
      </c>
      <c r="F22">
        <v>0</v>
      </c>
      <c r="G22">
        <v>6.0890000000000004</v>
      </c>
      <c r="H22" s="3">
        <v>17111</v>
      </c>
      <c r="I22">
        <v>3.9E-2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49</v>
      </c>
      <c r="Q22" s="2">
        <v>46062.822094907409</v>
      </c>
      <c r="R22">
        <v>208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49</v>
      </c>
      <c r="AE22" s="2">
        <v>46062.822094907409</v>
      </c>
      <c r="AF22">
        <v>208</v>
      </c>
      <c r="AG22" t="s">
        <v>13</v>
      </c>
      <c r="AH22">
        <v>0</v>
      </c>
      <c r="AI22">
        <v>12.366</v>
      </c>
      <c r="AJ22" s="3">
        <v>15399</v>
      </c>
      <c r="AK22">
        <v>3.2789999999999999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20"/>
        <v>48.993699197577001</v>
      </c>
      <c r="AU22" s="17">
        <f t="shared" si="21"/>
        <v>3360.7163701069298</v>
      </c>
      <c r="AW22" s="6">
        <f t="shared" si="22"/>
        <v>37.683046989706654</v>
      </c>
      <c r="AX22" s="7">
        <f t="shared" si="23"/>
        <v>3073.2217627904802</v>
      </c>
      <c r="AZ22" s="11">
        <f t="shared" si="24"/>
        <v>41.187048971783</v>
      </c>
      <c r="BA22" s="12">
        <f t="shared" si="25"/>
        <v>3627.4813714238999</v>
      </c>
      <c r="BC22" s="13">
        <f t="shared" si="26"/>
        <v>45.199232310495205</v>
      </c>
      <c r="BD22" s="14">
        <f t="shared" si="27"/>
        <v>3176.7146737801995</v>
      </c>
      <c r="BF22" s="16">
        <f t="shared" si="28"/>
        <v>48.993699197577001</v>
      </c>
      <c r="BG22" s="17">
        <f t="shared" si="29"/>
        <v>3360.7163701069298</v>
      </c>
      <c r="BI22">
        <v>58</v>
      </c>
      <c r="BJ22" t="s">
        <v>49</v>
      </c>
      <c r="BK22" s="2">
        <v>46062.822094907409</v>
      </c>
      <c r="BL22">
        <v>208</v>
      </c>
      <c r="BM22" t="s">
        <v>13</v>
      </c>
      <c r="BN22">
        <v>0</v>
      </c>
      <c r="BO22">
        <v>2.89</v>
      </c>
      <c r="BP22" s="3">
        <v>913896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50</v>
      </c>
      <c r="C23" s="2">
        <v>46062.843333333331</v>
      </c>
      <c r="D23">
        <v>245</v>
      </c>
      <c r="E23" t="s">
        <v>13</v>
      </c>
      <c r="F23">
        <v>0</v>
      </c>
      <c r="G23">
        <v>6.0890000000000004</v>
      </c>
      <c r="H23" s="3">
        <v>21523</v>
      </c>
      <c r="I23">
        <v>4.9000000000000002E-2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50</v>
      </c>
      <c r="Q23" s="2">
        <v>46062.843333333331</v>
      </c>
      <c r="R23">
        <v>245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50</v>
      </c>
      <c r="AE23" s="2">
        <v>46062.843333333331</v>
      </c>
      <c r="AF23">
        <v>245</v>
      </c>
      <c r="AG23" t="s">
        <v>13</v>
      </c>
      <c r="AH23">
        <v>0</v>
      </c>
      <c r="AI23">
        <v>12.362</v>
      </c>
      <c r="AJ23" s="3">
        <v>20448</v>
      </c>
      <c r="AK23">
        <v>4.3849999999999998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20"/>
        <v>60.781854003873001</v>
      </c>
      <c r="AU23" s="17">
        <f t="shared" si="21"/>
        <v>4501.4924170547201</v>
      </c>
      <c r="AW23" s="6">
        <f t="shared" si="22"/>
        <v>48.02869468833434</v>
      </c>
      <c r="AX23" s="7">
        <f t="shared" si="23"/>
        <v>4112.2311596339205</v>
      </c>
      <c r="AZ23" s="11">
        <f t="shared" si="24"/>
        <v>54.343960262766998</v>
      </c>
      <c r="BA23" s="12">
        <f t="shared" si="25"/>
        <v>4776.8871469055994</v>
      </c>
      <c r="BC23" s="13">
        <f t="shared" si="26"/>
        <v>57.940393424024805</v>
      </c>
      <c r="BD23" s="14">
        <f t="shared" si="27"/>
        <v>4200.9363819008004</v>
      </c>
      <c r="BF23" s="16">
        <f t="shared" si="28"/>
        <v>60.781854003873001</v>
      </c>
      <c r="BG23" s="17">
        <f t="shared" si="29"/>
        <v>4501.4924170547201</v>
      </c>
      <c r="BI23">
        <v>59</v>
      </c>
      <c r="BJ23" t="s">
        <v>50</v>
      </c>
      <c r="BK23" s="2">
        <v>46062.843333333331</v>
      </c>
      <c r="BL23">
        <v>245</v>
      </c>
      <c r="BM23" t="s">
        <v>13</v>
      </c>
      <c r="BN23">
        <v>0</v>
      </c>
      <c r="BO23">
        <v>2.8849999999999998</v>
      </c>
      <c r="BP23" s="3">
        <v>992968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51</v>
      </c>
      <c r="C24" s="2">
        <v>46062.864571759259</v>
      </c>
      <c r="D24">
        <v>363</v>
      </c>
      <c r="E24" t="s">
        <v>13</v>
      </c>
      <c r="F24">
        <v>0</v>
      </c>
      <c r="G24">
        <v>6.085</v>
      </c>
      <c r="H24" s="3">
        <v>42389</v>
      </c>
      <c r="I24">
        <v>9.6000000000000002E-2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51</v>
      </c>
      <c r="Q24" s="2">
        <v>46062.864571759259</v>
      </c>
      <c r="R24">
        <v>363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51</v>
      </c>
      <c r="AE24" s="2">
        <v>46062.864571759259</v>
      </c>
      <c r="AF24">
        <v>363</v>
      </c>
      <c r="AG24" t="s">
        <v>13</v>
      </c>
      <c r="AH24">
        <v>0</v>
      </c>
      <c r="AI24">
        <v>12.337999999999999</v>
      </c>
      <c r="AJ24" s="3">
        <v>33663</v>
      </c>
      <c r="AK24">
        <v>7.2729999999999997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20"/>
        <v>116.393732414577</v>
      </c>
      <c r="AU24" s="17">
        <f t="shared" si="21"/>
        <v>7475.4590952891704</v>
      </c>
      <c r="AW24" s="6">
        <f t="shared" si="22"/>
        <v>96.914655527566651</v>
      </c>
      <c r="AX24" s="7">
        <f t="shared" si="23"/>
        <v>6825.5228980391203</v>
      </c>
      <c r="AZ24" s="11">
        <f t="shared" si="24"/>
        <v>115.73613031478301</v>
      </c>
      <c r="BA24" s="12">
        <f t="shared" si="25"/>
        <v>7675.2005887790992</v>
      </c>
      <c r="BC24" s="13">
        <f t="shared" si="26"/>
        <v>118.0457872696952</v>
      </c>
      <c r="BD24" s="14">
        <f t="shared" si="27"/>
        <v>6867.2497853738005</v>
      </c>
      <c r="BF24" s="16">
        <f t="shared" si="28"/>
        <v>116.393732414577</v>
      </c>
      <c r="BG24" s="17">
        <f t="shared" si="29"/>
        <v>7475.4590952891704</v>
      </c>
      <c r="BI24">
        <v>60</v>
      </c>
      <c r="BJ24" t="s">
        <v>51</v>
      </c>
      <c r="BK24" s="2">
        <v>46062.864571759259</v>
      </c>
      <c r="BL24">
        <v>363</v>
      </c>
      <c r="BM24" t="s">
        <v>13</v>
      </c>
      <c r="BN24">
        <v>0</v>
      </c>
      <c r="BO24">
        <v>2.8780000000000001</v>
      </c>
      <c r="BP24" s="3">
        <v>1091777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52</v>
      </c>
      <c r="C25" s="2">
        <v>46062.885775462964</v>
      </c>
      <c r="D25">
        <v>7</v>
      </c>
      <c r="E25" t="s">
        <v>13</v>
      </c>
      <c r="F25">
        <v>0</v>
      </c>
      <c r="G25">
        <v>6.0970000000000004</v>
      </c>
      <c r="H25" s="3">
        <v>27372</v>
      </c>
      <c r="I25">
        <v>6.2E-2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52</v>
      </c>
      <c r="Q25" s="2">
        <v>46062.885775462964</v>
      </c>
      <c r="R25">
        <v>7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52</v>
      </c>
      <c r="AE25" s="2">
        <v>46062.885775462964</v>
      </c>
      <c r="AF25">
        <v>7</v>
      </c>
      <c r="AG25" t="s">
        <v>13</v>
      </c>
      <c r="AH25">
        <v>0</v>
      </c>
      <c r="AI25">
        <v>12.393000000000001</v>
      </c>
      <c r="AJ25" s="3">
        <v>6833</v>
      </c>
      <c r="AK25">
        <v>1.4019999999999999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20"/>
        <v>76.393657461008004</v>
      </c>
      <c r="AU25" s="17">
        <f t="shared" si="21"/>
        <v>1419.5830271467701</v>
      </c>
      <c r="AW25" s="6">
        <f t="shared" si="22"/>
        <v>61.739113307032639</v>
      </c>
      <c r="AX25" s="7">
        <f t="shared" si="23"/>
        <v>1307.4895740327199</v>
      </c>
      <c r="AZ25" s="11">
        <f t="shared" si="24"/>
        <v>71.691465992432001</v>
      </c>
      <c r="BA25" s="12">
        <f t="shared" si="25"/>
        <v>1624.2367416270999</v>
      </c>
      <c r="BC25" s="13">
        <f t="shared" si="26"/>
        <v>74.8140514203008</v>
      </c>
      <c r="BD25" s="14">
        <f t="shared" si="27"/>
        <v>1432.0729446377998</v>
      </c>
      <c r="BF25" s="16">
        <f t="shared" si="28"/>
        <v>76.393657461008004</v>
      </c>
      <c r="BG25" s="17">
        <f t="shared" si="29"/>
        <v>1419.5830271467701</v>
      </c>
      <c r="BI25">
        <v>61</v>
      </c>
      <c r="BJ25" t="s">
        <v>52</v>
      </c>
      <c r="BK25" s="2">
        <v>46062.885775462964</v>
      </c>
      <c r="BL25">
        <v>7</v>
      </c>
      <c r="BM25" t="s">
        <v>13</v>
      </c>
      <c r="BN25">
        <v>0</v>
      </c>
      <c r="BO25">
        <v>2.8940000000000001</v>
      </c>
      <c r="BP25" s="3">
        <v>1009401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53</v>
      </c>
      <c r="C26" s="2">
        <v>46062.906990740739</v>
      </c>
      <c r="D26">
        <v>315</v>
      </c>
      <c r="E26" t="s">
        <v>13</v>
      </c>
      <c r="F26">
        <v>0</v>
      </c>
      <c r="G26">
        <v>6.0970000000000004</v>
      </c>
      <c r="H26" s="3">
        <v>17711</v>
      </c>
      <c r="I26">
        <v>0.04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53</v>
      </c>
      <c r="Q26" s="2">
        <v>46062.906990740739</v>
      </c>
      <c r="R26">
        <v>315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53</v>
      </c>
      <c r="AE26" s="2">
        <v>46062.906990740739</v>
      </c>
      <c r="AF26">
        <v>315</v>
      </c>
      <c r="AG26" t="s">
        <v>13</v>
      </c>
      <c r="AH26">
        <v>0</v>
      </c>
      <c r="AI26">
        <v>12.372999999999999</v>
      </c>
      <c r="AJ26" s="3">
        <v>14904</v>
      </c>
      <c r="AK26">
        <v>3.1709999999999998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20"/>
        <v>50.597404285976999</v>
      </c>
      <c r="AU26" s="17">
        <f t="shared" si="21"/>
        <v>3248.74091937088</v>
      </c>
      <c r="AW26" s="6">
        <f t="shared" si="22"/>
        <v>39.09016425137866</v>
      </c>
      <c r="AX26" s="7">
        <f t="shared" si="23"/>
        <v>2971.2880624076797</v>
      </c>
      <c r="AZ26" s="11">
        <f t="shared" si="24"/>
        <v>42.979900395382998</v>
      </c>
      <c r="BA26" s="12">
        <f t="shared" si="25"/>
        <v>3513.5428645824004</v>
      </c>
      <c r="BC26" s="13">
        <f t="shared" si="26"/>
        <v>46.932598354335205</v>
      </c>
      <c r="BD26" s="14">
        <f t="shared" si="27"/>
        <v>3076.1366728831995</v>
      </c>
      <c r="BF26" s="16">
        <f t="shared" si="28"/>
        <v>50.597404285976999</v>
      </c>
      <c r="BG26" s="17">
        <f t="shared" si="29"/>
        <v>3248.74091937088</v>
      </c>
      <c r="BI26">
        <v>62</v>
      </c>
      <c r="BJ26" t="s">
        <v>53</v>
      </c>
      <c r="BK26" s="2">
        <v>46062.906990740739</v>
      </c>
      <c r="BL26">
        <v>315</v>
      </c>
      <c r="BM26" t="s">
        <v>13</v>
      </c>
      <c r="BN26">
        <v>0</v>
      </c>
      <c r="BO26">
        <v>2.8940000000000001</v>
      </c>
      <c r="BP26" s="3">
        <v>959790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2026-02-11T16:21:08Z</dcterms:modified>
</cp:coreProperties>
</file>