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74D10A78-3483-409C-AD62-87A3AA00566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<sst xmlns="http://schemas.openxmlformats.org/spreadsheetml/2006/main" count="398" uniqueCount="46">
  <si>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</si>
  <si>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</si>
  <si>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</si>
  <si>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</si>
  <si>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</si>
  <si>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</si>
  <si>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</si>
  <si>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</si>
  <si>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</si>
  <si>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</si>
  <si>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</si>
  <si>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</si>
  <si>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</si>
  <si>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</si>
  <si>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</si>
  <si>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</si>
  <si>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</si>
  <si>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</si>
  <si>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</si>
  <si>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</si>
  <si>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</si>
  <si>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</si>
  <si>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</si>
  <si>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</si>
  <si>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</si>
  <si>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</si>
  <si>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</si>
  <si>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</si>
  <si>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</si>
  <si>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</si>
  <si>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</si>
  <si>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</si>
  <si>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</si>
  <si>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</si>
  <si>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FMI20260210_001.gcd</t>
  </si>
  <si>
    <t>FMI20260210_002.gcd</t>
  </si>
  <si>
    <t>FMI20260210_004.gcd</t>
  </si>
  <si>
    <t>FMI20260210_005.gcd</t>
  </si>
  <si>
    <t>FMI20260210_006.gcd</t>
  </si>
  <si>
    <t>FMI20260210_007.gcd</t>
  </si>
  <si>
    <t>FMI20260210_008.gcd</t>
  </si>
  <si>
    <t>FMI20260210_009.gcd</t>
  </si>
  <si>
    <t>FMI20260210_010.gcd</t>
  </si>
  <si>
    <t>FMI20260210_011.gcd</t>
  </si>
  <si>
    <t>FMI20260210_012.gcd</t>
  </si>
  <si>
    <t>FMI20260210_013.gcd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</si>
</sst>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T1" workbookViewId="0">
      <selection activeCell="AE51" sqref="AE5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28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31</v>
      </c>
      <c r="BE8" s="8"/>
      <c r="BF8" s="5" t="s">
        <v>29</v>
      </c>
      <c r="BG8" s="5" t="s">
        <v>30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46063.569189814814</v>
      </c>
      <c r="D9" t="s">
        <v>32</v>
      </c>
      <c r="E9" t="s">
        <v>13</v>
      </c>
      <c r="F9">
        <v>0</v>
      </c>
      <c r="G9">
        <v>6.1550000000000002</v>
      </c>
      <c r="H9" s="3">
        <v>2031</v>
      </c>
      <c r="I9">
        <v>5.0000000000000001E-3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46063.569189814814</v>
      </c>
      <c r="R9" t="s">
        <v>32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46063.569189814814</v>
      </c>
      <c r="AF9" t="s">
        <v>32</v>
      </c>
      <c r="AG9" t="s">
        <v>13</v>
      </c>
      <c r="AH9">
        <v>0</v>
      </c>
      <c r="AI9">
        <v>12.433999999999999</v>
      </c>
      <c r="AJ9" s="3">
        <v>1873</v>
      </c>
      <c r="AK9">
        <v>0.314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3.8379752937729998</v>
      </c>
      <c r="AU9" s="17">
        <f t="shared" ref="AU9:AU14" si="1">IF(AJ9&lt;45000,((-0.00000004907*AJ9^2)+(0.2277*AJ9)+(-134)),((-0.00000001062*AJ9^2)+(0.2147*AJ9)+(590.6)))</f>
        <v>292.30995610997002</v>
      </c>
      <c r="AW9" s="6">
        <f t="shared" ref="AW9:AW14" si="2">IF(H9&lt;10000,((0.0000001453*H9^2)+(0.0008349*H9)+(-1.805)),(IF(H9&lt;700000,((-0.00000000008054*H9^2)+(0.002348*H9)+(-2.47)), ((-0.00000001938*V9^2)+(0.2471*V9)+(226.8)))))</f>
        <v>0.49003873329999981</v>
      </c>
      <c r="AX9" s="7">
        <f t="shared" ref="AX9:AX14" si="3">(-0.00000002552*AJ9^2)+(0.2067*AJ9)+(-103.7)</f>
        <v>283.35957254791998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5.2697639399999998</v>
      </c>
      <c r="BA9" s="12">
        <f t="shared" ref="BA9:BA14" si="5">IF(AJ9&lt;45000,((-0.0000004561*AJ9^2)+(0.244*AJ9)+(-21.72)),((-0.0000000409*AJ9^2)+(0.2477*AJ9)+(-1777)))</f>
        <v>433.6919423631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1.4067432715399999</v>
      </c>
      <c r="BD9" s="14">
        <f t="shared" ref="BD9:BD14" si="7">IF(AJ9&lt;45000,((-0.0000000598*AJ9^2)+(0.205*AJ9)+(34.1)),((-0.00000002403*AJ9^2)+(0.2063*AJ9)+(-550.7)))</f>
        <v>417.85521388579997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3.8379752937729998</v>
      </c>
      <c r="BG9" s="17">
        <f t="shared" ref="BG9:BG14" si="9">IF(AJ9&lt;45000,((-0.00000004907*AJ9^2)+(0.2277*AJ9)+(-134)),((-0.00000001062*AJ9^2)+(0.2147*AJ9)+(590.6)))</f>
        <v>292.30995610997002</v>
      </c>
      <c r="BI9">
        <v>45</v>
      </c>
      <c r="BJ9" t="s">
        <v>34</v>
      </c>
      <c r="BK9" s="2">
        <v>46063.569189814814</v>
      </c>
      <c r="BL9" t="s">
        <v>32</v>
      </c>
      <c r="BM9" t="s">
        <v>13</v>
      </c>
      <c r="BN9">
        <v>0</v>
      </c>
      <c r="BO9">
        <v>2.7440000000000002</v>
      </c>
      <c r="BP9" s="3">
        <v>4902330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35</v>
      </c>
      <c r="C10" s="2">
        <v>46063.59039351852</v>
      </c>
      <c r="D10" t="s">
        <v>33</v>
      </c>
      <c r="E10" t="s">
        <v>13</v>
      </c>
      <c r="F10">
        <v>0</v>
      </c>
      <c r="G10">
        <v>6.0750000000000002</v>
      </c>
      <c r="H10" s="3">
        <v>1053352</v>
      </c>
      <c r="I10">
        <v>2.38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35</v>
      </c>
      <c r="Q10" s="2">
        <v>46063.59039351852</v>
      </c>
      <c r="R10" t="s">
        <v>33</v>
      </c>
      <c r="S10" t="s">
        <v>13</v>
      </c>
      <c r="T10">
        <v>0</v>
      </c>
      <c r="U10">
        <v>6.0220000000000002</v>
      </c>
      <c r="V10" s="3">
        <v>8981</v>
      </c>
      <c r="W10">
        <v>2.3119999999999998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35</v>
      </c>
      <c r="AE10" s="2">
        <v>46063.59039351852</v>
      </c>
      <c r="AF10" t="s">
        <v>33</v>
      </c>
      <c r="AG10" t="s">
        <v>13</v>
      </c>
      <c r="AH10">
        <v>0</v>
      </c>
      <c r="AI10">
        <v>12.401</v>
      </c>
      <c r="AJ10" s="3">
        <v>11249</v>
      </c>
      <c r="AK10">
        <v>2.37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2332.7274103273257</v>
      </c>
      <c r="AU10" s="17">
        <f t="shared" si="1"/>
        <v>2421.1879821509301</v>
      </c>
      <c r="AW10" s="6">
        <f t="shared" si="2"/>
        <v>2444.4419409638199</v>
      </c>
      <c r="AX10" s="7">
        <f t="shared" si="3"/>
        <v>2218.2389991744799</v>
      </c>
      <c r="AZ10" s="11">
        <f t="shared" si="4"/>
        <v>2176.9652418921855</v>
      </c>
      <c r="BA10" s="12">
        <f t="shared" si="5"/>
        <v>2665.3211055439001</v>
      </c>
      <c r="BC10" s="13">
        <f t="shared" si="6"/>
        <v>2407.4541232973952</v>
      </c>
      <c r="BD10" s="14">
        <f t="shared" si="7"/>
        <v>2332.5779079402</v>
      </c>
      <c r="BF10" s="16">
        <f t="shared" si="8"/>
        <v>2332.7274103273257</v>
      </c>
      <c r="BG10" s="17">
        <f t="shared" si="9"/>
        <v>2421.1879821509301</v>
      </c>
      <c r="BI10">
        <v>46</v>
      </c>
      <c r="BJ10" t="s">
        <v>35</v>
      </c>
      <c r="BK10" s="2">
        <v>46063.59039351852</v>
      </c>
      <c r="BL10" t="s">
        <v>33</v>
      </c>
      <c r="BM10" t="s">
        <v>13</v>
      </c>
      <c r="BN10">
        <v>0</v>
      </c>
      <c r="BO10">
        <v>2.7330000000000001</v>
      </c>
      <c r="BP10" s="3">
        <v>5141362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36</v>
      </c>
      <c r="C11" s="2">
        <v>46063.611620370371</v>
      </c>
      <c r="D11">
        <v>318</v>
      </c>
      <c r="E11" t="s">
        <v>13</v>
      </c>
      <c r="F11">
        <v>0</v>
      </c>
      <c r="G11">
        <v>6.0869999999999997</v>
      </c>
      <c r="H11" s="3">
        <v>7937</v>
      </c>
      <c r="I11">
        <v>1.7999999999999999E-2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36</v>
      </c>
      <c r="Q11" s="2">
        <v>46063.611620370371</v>
      </c>
      <c r="R11">
        <v>318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36</v>
      </c>
      <c r="AE11" s="2">
        <v>46063.611620370371</v>
      </c>
      <c r="AF11">
        <v>318</v>
      </c>
      <c r="AG11" t="s">
        <v>13</v>
      </c>
      <c r="AH11">
        <v>0</v>
      </c>
      <c r="AI11">
        <v>12.364000000000001</v>
      </c>
      <c r="AJ11" s="3">
        <v>5888</v>
      </c>
      <c r="AK11">
        <v>1.1950000000000001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24.902658764716996</v>
      </c>
      <c r="AU11" s="17">
        <f t="shared" si="1"/>
        <v>1204.9964145459201</v>
      </c>
      <c r="AW11" s="6">
        <f t="shared" si="2"/>
        <v>13.974915595700001</v>
      </c>
      <c r="AX11" s="7">
        <f t="shared" si="3"/>
        <v>1112.4648587571201</v>
      </c>
      <c r="AZ11" s="11">
        <f t="shared" si="4"/>
        <v>8.9180182599999984</v>
      </c>
      <c r="BA11" s="12">
        <f t="shared" si="5"/>
        <v>1399.1396770816</v>
      </c>
      <c r="BC11" s="13">
        <f t="shared" si="6"/>
        <v>19.258050668659997</v>
      </c>
      <c r="BD11" s="14">
        <f t="shared" si="7"/>
        <v>1239.0668210688</v>
      </c>
      <c r="BF11" s="16">
        <f t="shared" si="8"/>
        <v>24.902658764716996</v>
      </c>
      <c r="BG11" s="17">
        <f t="shared" si="9"/>
        <v>1204.9964145459201</v>
      </c>
      <c r="BI11">
        <v>47</v>
      </c>
      <c r="BJ11" t="s">
        <v>36</v>
      </c>
      <c r="BK11" s="2">
        <v>46063.611620370371</v>
      </c>
      <c r="BL11">
        <v>318</v>
      </c>
      <c r="BM11" t="s">
        <v>13</v>
      </c>
      <c r="BN11">
        <v>0</v>
      </c>
      <c r="BO11">
        <v>2.8919999999999999</v>
      </c>
      <c r="BP11" s="3">
        <v>810263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37</v>
      </c>
      <c r="C12" s="2">
        <v>46063.6328587963</v>
      </c>
      <c r="D12">
        <v>322</v>
      </c>
      <c r="E12" t="s">
        <v>13</v>
      </c>
      <c r="F12">
        <v>0</v>
      </c>
      <c r="G12">
        <v>6.0890000000000004</v>
      </c>
      <c r="H12" s="3">
        <v>8785</v>
      </c>
      <c r="I12">
        <v>0.02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37</v>
      </c>
      <c r="Q12" s="2">
        <v>46063.6328587963</v>
      </c>
      <c r="R12">
        <v>322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37</v>
      </c>
      <c r="AE12" s="2">
        <v>46063.6328587963</v>
      </c>
      <c r="AF12">
        <v>322</v>
      </c>
      <c r="AG12" t="s">
        <v>13</v>
      </c>
      <c r="AH12">
        <v>0</v>
      </c>
      <c r="AI12">
        <v>12.368</v>
      </c>
      <c r="AJ12" s="3">
        <v>5376</v>
      </c>
      <c r="AK12">
        <v>1.083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27.975827678925</v>
      </c>
      <c r="AU12" s="17">
        <f t="shared" si="1"/>
        <v>1088.6970094796802</v>
      </c>
      <c r="AW12" s="6">
        <f t="shared" si="2"/>
        <v>16.743301992500001</v>
      </c>
      <c r="AX12" s="7">
        <f t="shared" si="3"/>
        <v>1006.7816368844799</v>
      </c>
      <c r="AZ12" s="11">
        <f t="shared" si="4"/>
        <v>12.5346365</v>
      </c>
      <c r="BA12" s="12">
        <f t="shared" si="5"/>
        <v>1276.8420824063999</v>
      </c>
      <c r="BC12" s="13">
        <f t="shared" si="6"/>
        <v>22.148454496500001</v>
      </c>
      <c r="BD12" s="14">
        <f t="shared" si="7"/>
        <v>1134.4516977151998</v>
      </c>
      <c r="BF12" s="16">
        <f t="shared" si="8"/>
        <v>27.975827678925</v>
      </c>
      <c r="BG12" s="17">
        <f t="shared" si="9"/>
        <v>1088.6970094796802</v>
      </c>
      <c r="BI12">
        <v>48</v>
      </c>
      <c r="BJ12" t="s">
        <v>37</v>
      </c>
      <c r="BK12" s="2">
        <v>46063.6328587963</v>
      </c>
      <c r="BL12">
        <v>322</v>
      </c>
      <c r="BM12" t="s">
        <v>13</v>
      </c>
      <c r="BN12">
        <v>0</v>
      </c>
      <c r="BO12">
        <v>2.8980000000000001</v>
      </c>
      <c r="BP12" s="3">
        <v>812692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38</v>
      </c>
      <c r="C13" s="2">
        <v>46063.654108796298</v>
      </c>
      <c r="D13">
        <v>66</v>
      </c>
      <c r="E13" t="s">
        <v>13</v>
      </c>
      <c r="F13">
        <v>0</v>
      </c>
      <c r="G13">
        <v>6.0839999999999996</v>
      </c>
      <c r="H13" s="3">
        <v>12442</v>
      </c>
      <c r="I13">
        <v>2.8000000000000001E-2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38</v>
      </c>
      <c r="Q13" s="2">
        <v>46063.654108796298</v>
      </c>
      <c r="R13">
        <v>66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38</v>
      </c>
      <c r="AE13" s="2">
        <v>46063.654108796298</v>
      </c>
      <c r="AF13">
        <v>66</v>
      </c>
      <c r="AG13" t="s">
        <v>13</v>
      </c>
      <c r="AH13">
        <v>0</v>
      </c>
      <c r="AI13">
        <v>12.361000000000001</v>
      </c>
      <c r="AJ13" s="3">
        <v>6540</v>
      </c>
      <c r="AK13">
        <v>1.3380000000000001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36.507730715268004</v>
      </c>
      <c r="AU13" s="17">
        <f t="shared" si="1"/>
        <v>1353.0591975880002</v>
      </c>
      <c r="AW13" s="6">
        <f t="shared" si="2"/>
        <v>26.731348137063438</v>
      </c>
      <c r="AX13" s="7">
        <f t="shared" si="3"/>
        <v>1247.0264687679999</v>
      </c>
      <c r="AZ13" s="11">
        <f t="shared" si="4"/>
        <v>27.196881094971999</v>
      </c>
      <c r="BA13" s="12">
        <f t="shared" si="5"/>
        <v>1554.5318732399999</v>
      </c>
      <c r="BC13" s="13">
        <f t="shared" si="6"/>
        <v>31.7036507884768</v>
      </c>
      <c r="BD13" s="14">
        <f t="shared" si="7"/>
        <v>1372.2422583199998</v>
      </c>
      <c r="BF13" s="16">
        <f t="shared" si="8"/>
        <v>36.507730715268004</v>
      </c>
      <c r="BG13" s="17">
        <f t="shared" si="9"/>
        <v>1353.0591975880002</v>
      </c>
      <c r="BI13">
        <v>49</v>
      </c>
      <c r="BJ13" t="s">
        <v>38</v>
      </c>
      <c r="BK13" s="2">
        <v>46063.654108796298</v>
      </c>
      <c r="BL13">
        <v>66</v>
      </c>
      <c r="BM13" t="s">
        <v>13</v>
      </c>
      <c r="BN13">
        <v>0</v>
      </c>
      <c r="BO13">
        <v>2.891</v>
      </c>
      <c r="BP13" s="3">
        <v>822468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39</v>
      </c>
      <c r="C14" s="2">
        <v>46063.675347222219</v>
      </c>
      <c r="D14">
        <v>45</v>
      </c>
      <c r="E14" t="s">
        <v>13</v>
      </c>
      <c r="F14">
        <v>0</v>
      </c>
      <c r="G14">
        <v>6.0810000000000004</v>
      </c>
      <c r="H14" s="3">
        <v>9221</v>
      </c>
      <c r="I14">
        <v>2.1000000000000001E-2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39</v>
      </c>
      <c r="Q14" s="2">
        <v>46063.675347222219</v>
      </c>
      <c r="R14">
        <v>45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39</v>
      </c>
      <c r="AE14" s="2">
        <v>46063.675347222219</v>
      </c>
      <c r="AF14">
        <v>45</v>
      </c>
      <c r="AG14" t="s">
        <v>13</v>
      </c>
      <c r="AH14">
        <v>0</v>
      </c>
      <c r="AI14">
        <v>12.36</v>
      </c>
      <c r="AJ14" s="3">
        <v>5244</v>
      </c>
      <c r="AK14">
        <v>1.054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29.560654960613</v>
      </c>
      <c r="AU14" s="17">
        <f t="shared" si="1"/>
        <v>1058.7093977684801</v>
      </c>
      <c r="AW14" s="6">
        <f t="shared" si="2"/>
        <v>18.248012897300001</v>
      </c>
      <c r="AX14" s="7">
        <f t="shared" si="3"/>
        <v>979.53301184127986</v>
      </c>
      <c r="AZ14" s="11">
        <f t="shared" si="4"/>
        <v>14.696429140000001</v>
      </c>
      <c r="BA14" s="12">
        <f t="shared" si="5"/>
        <v>1245.2734616304001</v>
      </c>
      <c r="BC14" s="13">
        <f t="shared" si="6"/>
        <v>23.666546694739999</v>
      </c>
      <c r="BD14" s="14">
        <f t="shared" si="7"/>
        <v>1107.4755277472</v>
      </c>
      <c r="BF14" s="16">
        <f t="shared" si="8"/>
        <v>29.560654960613</v>
      </c>
      <c r="BG14" s="17">
        <f t="shared" si="9"/>
        <v>1058.7093977684801</v>
      </c>
      <c r="BI14">
        <v>50</v>
      </c>
      <c r="BJ14" t="s">
        <v>39</v>
      </c>
      <c r="BK14" s="2">
        <v>46063.675347222219</v>
      </c>
      <c r="BL14">
        <v>45</v>
      </c>
      <c r="BM14" t="s">
        <v>13</v>
      </c>
      <c r="BN14">
        <v>0</v>
      </c>
      <c r="BO14">
        <v>2.8860000000000001</v>
      </c>
      <c r="BP14" s="3">
        <v>909157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40</v>
      </c>
      <c r="C15" s="2">
        <v>46063.696574074071</v>
      </c>
      <c r="D15">
        <v>230</v>
      </c>
      <c r="E15" t="s">
        <v>13</v>
      </c>
      <c r="F15">
        <v>0</v>
      </c>
      <c r="G15">
        <v>6.077</v>
      </c>
      <c r="H15" s="3">
        <v>12036</v>
      </c>
      <c r="I15">
        <v>2.8000000000000001E-2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40</v>
      </c>
      <c r="Q15" s="2">
        <v>46063.696574074071</v>
      </c>
      <c r="R15">
        <v>230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40</v>
      </c>
      <c r="AE15" s="2">
        <v>46063.696574074071</v>
      </c>
      <c r="AF15">
        <v>230</v>
      </c>
      <c r="AG15" t="s">
        <v>13</v>
      </c>
      <c r="AH15">
        <v>0</v>
      </c>
      <c r="AI15">
        <v>12.345000000000001</v>
      </c>
      <c r="AJ15" s="3">
        <v>4262</v>
      </c>
      <c r="AK15">
        <v>0.83899999999999997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0" si="10">IF(H15&lt;10000,((H15^2*0.000000008493)+(H15*0.003482)+(-3.269)),(IF(H15&lt;200000,((H15^2*-0.000000000263)+(H15*0.002682)+(3.179)),(IF(H15&lt;8000000,((H15^2*-0.000000000005099)+(H15*0.002054)+(174.8)),((V15^2*-0.00000001014)+(V15*0.2415)+(1123)))))))</f>
        <v>35.421452427152005</v>
      </c>
      <c r="AU15" s="17">
        <f t="shared" ref="AU15:AU20" si="11">IF(AJ15&lt;45000,((-0.00000004907*AJ15^2)+(0.2277*AJ15)+(-134)),((-0.00000001062*AJ15^2)+(0.2147*AJ15)+(590.6)))</f>
        <v>835.56606091892002</v>
      </c>
      <c r="AW15" s="6">
        <f t="shared" ref="AW15:AW20" si="12">IF(H15&lt;10000,((0.0000001453*H15^2)+(0.0008349*H15)+(-1.805)),(IF(H15&lt;700000,((-0.00000000008054*H15^2)+(0.002348*H15)+(-2.47)), ((-0.00000001938*V15^2)+(0.2471*V15)+(226.8)))))</f>
        <v>25.778860549060159</v>
      </c>
      <c r="AX15" s="7">
        <f t="shared" ref="AX15:AX20" si="13">(-0.00000002552*AJ15^2)+(0.2067*AJ15)+(-103.7)</f>
        <v>776.79183828511987</v>
      </c>
      <c r="AZ15" s="11">
        <f t="shared" ref="AZ15:AZ20" si="14">IF(H15&lt;10000,((H15^2*0.00000054)+(H15*-0.004765)+(12.72)),(IF(H15&lt;200000,((H15^2*-0.000000001577)+(H15*0.003043)+(-10.42)),(IF(H15&lt;8000000,((H15^2*-0.0000000000186)+(H15*0.00194)+(154.1)),((V15^2*-0.00000002)+(V15*0.2565)+(-1032)))))))</f>
        <v>25.977095428208003</v>
      </c>
      <c r="BA15" s="12">
        <f t="shared" ref="BA15:BA20" si="15">IF(AJ15&lt;45000,((-0.0000004561*AJ15^2)+(0.244*AJ15)+(-21.72)),((-0.0000000409*AJ15^2)+(0.2477*AJ15)+(-1777)))</f>
        <v>1009.9231058715998</v>
      </c>
      <c r="BC15" s="13">
        <f t="shared" ref="BC15:BC20" si="16">IF(H15&lt;10000,((H15^2*0.00000005714)+(H15*0.002453)+(-3.811)),(IF(H15&lt;200000,((H15^2*-0.0000000002888)+(H15*0.002899)+(-4.321)),(IF(H15&lt;8000000,((H15^2*-0.0000000000062)+(H15*0.002143)+(157)),((V15^2*-0.000000031)+(V15*0.2771)+(-709.5)))))))</f>
        <v>30.529526902515201</v>
      </c>
      <c r="BD15" s="14">
        <f t="shared" ref="BD15:BD20" si="17">IF(AJ15&lt;45000,((-0.0000000598*AJ15^2)+(0.205*AJ15)+(34.1)),((-0.00000002403*AJ15^2)+(0.2063*AJ15)+(-550.7)))</f>
        <v>906.72375428879991</v>
      </c>
      <c r="BF15" s="16">
        <f t="shared" ref="BF15:BF20" si="18">IF(H15&lt;10000,((H15^2*0.000000008493)+(H15*0.003482)+(-3.269)),(IF(H15&lt;200000,((H15^2*-0.000000000263)+(H15*0.002682)+(3.179)),(IF(H15&lt;8000000,((H15^2*-0.000000000005099)+(H15*0.002054)+(174.8)),((V15^2*-0.00000001014)+(V15*0.2415)+(1123)))))))</f>
        <v>35.421452427152005</v>
      </c>
      <c r="BG15" s="17">
        <f t="shared" ref="BG15:BG20" si="19">IF(AJ15&lt;45000,((-0.00000004907*AJ15^2)+(0.2277*AJ15)+(-134)),((-0.00000001062*AJ15^2)+(0.2147*AJ15)+(590.6)))</f>
        <v>835.56606091892002</v>
      </c>
      <c r="BI15">
        <v>51</v>
      </c>
      <c r="BJ15" t="s">
        <v>40</v>
      </c>
      <c r="BK15" s="2">
        <v>46063.696574074071</v>
      </c>
      <c r="BL15">
        <v>230</v>
      </c>
      <c r="BM15" t="s">
        <v>13</v>
      </c>
      <c r="BN15">
        <v>0</v>
      </c>
      <c r="BO15">
        <v>2.8820000000000001</v>
      </c>
      <c r="BP15" s="3">
        <v>964823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41</v>
      </c>
      <c r="C16" s="2">
        <v>46063.717812499999</v>
      </c>
      <c r="D16">
        <v>314</v>
      </c>
      <c r="E16" t="s">
        <v>13</v>
      </c>
      <c r="F16">
        <v>0</v>
      </c>
      <c r="G16">
        <v>6.0789999999999997</v>
      </c>
      <c r="H16" s="3">
        <v>13731</v>
      </c>
      <c r="I16">
        <v>3.1E-2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41</v>
      </c>
      <c r="Q16" s="2">
        <v>46063.717812499999</v>
      </c>
      <c r="R16">
        <v>314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41</v>
      </c>
      <c r="AE16" s="2">
        <v>46063.717812499999</v>
      </c>
      <c r="AF16">
        <v>314</v>
      </c>
      <c r="AG16" t="s">
        <v>13</v>
      </c>
      <c r="AH16">
        <v>0</v>
      </c>
      <c r="AI16">
        <v>12.273</v>
      </c>
      <c r="AJ16" s="3">
        <v>6604</v>
      </c>
      <c r="AK16">
        <v>1.3520000000000001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39.955955885057001</v>
      </c>
      <c r="AU16" s="17">
        <f t="shared" si="11"/>
        <v>1367.5907191188801</v>
      </c>
      <c r="AW16" s="6">
        <f t="shared" si="12"/>
        <v>29.755202959325054</v>
      </c>
      <c r="AX16" s="7">
        <f t="shared" si="13"/>
        <v>1260.2338009356799</v>
      </c>
      <c r="AZ16" s="11">
        <f t="shared" si="14"/>
        <v>31.066104850702999</v>
      </c>
      <c r="BA16" s="12">
        <f t="shared" si="15"/>
        <v>1569.7641946224001</v>
      </c>
      <c r="BC16" s="13">
        <f t="shared" si="16"/>
        <v>35.430718543743204</v>
      </c>
      <c r="BD16" s="14">
        <f t="shared" si="17"/>
        <v>1385.3119536031998</v>
      </c>
      <c r="BF16" s="16">
        <f t="shared" si="18"/>
        <v>39.955955885057001</v>
      </c>
      <c r="BG16" s="17">
        <f t="shared" si="19"/>
        <v>1367.5907191188801</v>
      </c>
      <c r="BI16">
        <v>52</v>
      </c>
      <c r="BJ16" t="s">
        <v>41</v>
      </c>
      <c r="BK16" s="2">
        <v>46063.717812499999</v>
      </c>
      <c r="BL16">
        <v>314</v>
      </c>
      <c r="BM16" t="s">
        <v>13</v>
      </c>
      <c r="BN16">
        <v>0</v>
      </c>
      <c r="BO16">
        <v>2.883</v>
      </c>
      <c r="BP16" s="3">
        <v>938514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42</v>
      </c>
      <c r="C17" s="2">
        <v>46063.739027777781</v>
      </c>
      <c r="D17">
        <v>290</v>
      </c>
      <c r="E17" t="s">
        <v>13</v>
      </c>
      <c r="F17">
        <v>0</v>
      </c>
      <c r="G17">
        <v>6.0789999999999997</v>
      </c>
      <c r="H17" s="3">
        <v>12695</v>
      </c>
      <c r="I17">
        <v>2.9000000000000001E-2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42</v>
      </c>
      <c r="Q17" s="2">
        <v>46063.739027777781</v>
      </c>
      <c r="R17">
        <v>290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42</v>
      </c>
      <c r="AE17" s="2">
        <v>46063.739027777781</v>
      </c>
      <c r="AF17">
        <v>290</v>
      </c>
      <c r="AG17" t="s">
        <v>13</v>
      </c>
      <c r="AH17">
        <v>0</v>
      </c>
      <c r="AI17">
        <v>12.353999999999999</v>
      </c>
      <c r="AJ17" s="3">
        <v>5481</v>
      </c>
      <c r="AK17">
        <v>1.1060000000000001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37.184604124425</v>
      </c>
      <c r="AU17" s="17">
        <f t="shared" si="11"/>
        <v>1112.5495704157299</v>
      </c>
      <c r="AW17" s="6">
        <f t="shared" si="12"/>
        <v>27.3248799299665</v>
      </c>
      <c r="AX17" s="7">
        <f t="shared" si="13"/>
        <v>1028.45604446728</v>
      </c>
      <c r="AZ17" s="11">
        <f t="shared" si="14"/>
        <v>27.956730909575001</v>
      </c>
      <c r="BA17" s="12">
        <f t="shared" si="15"/>
        <v>1301.9421352479001</v>
      </c>
      <c r="BC17" s="13">
        <f t="shared" si="16"/>
        <v>32.435261118379998</v>
      </c>
      <c r="BD17" s="14">
        <f t="shared" si="17"/>
        <v>1155.9085266121999</v>
      </c>
      <c r="BF17" s="16">
        <f t="shared" si="18"/>
        <v>37.184604124425</v>
      </c>
      <c r="BG17" s="17">
        <f t="shared" si="19"/>
        <v>1112.5495704157299</v>
      </c>
      <c r="BI17">
        <v>53</v>
      </c>
      <c r="BJ17" t="s">
        <v>42</v>
      </c>
      <c r="BK17" s="2">
        <v>46063.739027777781</v>
      </c>
      <c r="BL17">
        <v>290</v>
      </c>
      <c r="BM17" t="s">
        <v>13</v>
      </c>
      <c r="BN17">
        <v>0</v>
      </c>
      <c r="BO17">
        <v>2.8780000000000001</v>
      </c>
      <c r="BP17" s="3">
        <v>1033159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43</v>
      </c>
      <c r="C18" s="2">
        <v>46063.760243055556</v>
      </c>
      <c r="D18">
        <v>247</v>
      </c>
      <c r="E18" t="s">
        <v>13</v>
      </c>
      <c r="F18">
        <v>0</v>
      </c>
      <c r="G18">
        <v>6.0789999999999997</v>
      </c>
      <c r="H18" s="3">
        <v>10140</v>
      </c>
      <c r="I18">
        <v>2.3E-2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43</v>
      </c>
      <c r="Q18" s="2">
        <v>46063.760243055556</v>
      </c>
      <c r="R18">
        <v>247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43</v>
      </c>
      <c r="AE18" s="2">
        <v>46063.760243055556</v>
      </c>
      <c r="AF18">
        <v>247</v>
      </c>
      <c r="AG18" t="s">
        <v>13</v>
      </c>
      <c r="AH18">
        <v>0</v>
      </c>
      <c r="AI18">
        <v>12.361000000000001</v>
      </c>
      <c r="AJ18" s="3">
        <v>5419</v>
      </c>
      <c r="AK18">
        <v>1.0920000000000001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30.347438445199998</v>
      </c>
      <c r="AU18" s="17">
        <f t="shared" si="11"/>
        <v>1098.46533192173</v>
      </c>
      <c r="AW18" s="6">
        <f t="shared" si="12"/>
        <v>21.330438909415999</v>
      </c>
      <c r="AX18" s="7">
        <f t="shared" si="13"/>
        <v>1015.6578908832798</v>
      </c>
      <c r="AZ18" s="11">
        <f t="shared" si="14"/>
        <v>20.2738734908</v>
      </c>
      <c r="BA18" s="12">
        <f t="shared" si="15"/>
        <v>1287.1223676278998</v>
      </c>
      <c r="BC18" s="13">
        <f t="shared" si="16"/>
        <v>25.045165699520005</v>
      </c>
      <c r="BD18" s="14">
        <f t="shared" si="17"/>
        <v>1143.2389394521999</v>
      </c>
      <c r="BF18" s="16">
        <f t="shared" si="18"/>
        <v>30.347438445199998</v>
      </c>
      <c r="BG18" s="17">
        <f t="shared" si="19"/>
        <v>1098.46533192173</v>
      </c>
      <c r="BI18">
        <v>54</v>
      </c>
      <c r="BJ18" t="s">
        <v>43</v>
      </c>
      <c r="BK18" s="2">
        <v>46063.760243055556</v>
      </c>
      <c r="BL18">
        <v>247</v>
      </c>
      <c r="BM18" t="s">
        <v>13</v>
      </c>
      <c r="BN18">
        <v>0</v>
      </c>
      <c r="BO18">
        <v>2.8759999999999999</v>
      </c>
      <c r="BP18" s="3">
        <v>1076027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44</v>
      </c>
      <c r="C19" s="2">
        <v>46063.781481481485</v>
      </c>
      <c r="D19">
        <v>321</v>
      </c>
      <c r="E19" t="s">
        <v>13</v>
      </c>
      <c r="F19">
        <v>0</v>
      </c>
      <c r="G19">
        <v>6.077</v>
      </c>
      <c r="H19" s="3">
        <v>10001</v>
      </c>
      <c r="I19">
        <v>2.3E-2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44</v>
      </c>
      <c r="Q19" s="2">
        <v>46063.781481481485</v>
      </c>
      <c r="R19">
        <v>321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44</v>
      </c>
      <c r="AE19" s="2">
        <v>46063.781481481485</v>
      </c>
      <c r="AF19">
        <v>321</v>
      </c>
      <c r="AG19" t="s">
        <v>13</v>
      </c>
      <c r="AH19">
        <v>0</v>
      </c>
      <c r="AI19">
        <v>12.353999999999999</v>
      </c>
      <c r="AJ19" s="3">
        <v>4439</v>
      </c>
      <c r="AK19">
        <v>0.877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29.975376739736998</v>
      </c>
      <c r="AU19" s="17">
        <f t="shared" si="11"/>
        <v>875.79338934052998</v>
      </c>
      <c r="AW19" s="6">
        <f t="shared" si="12"/>
        <v>21.00429238911946</v>
      </c>
      <c r="AX19" s="7">
        <f t="shared" si="13"/>
        <v>813.33843552007988</v>
      </c>
      <c r="AZ19" s="11">
        <f t="shared" si="14"/>
        <v>19.855311458423003</v>
      </c>
      <c r="BA19" s="12">
        <f t="shared" si="15"/>
        <v>1052.4086767519</v>
      </c>
      <c r="BC19" s="13">
        <f t="shared" si="16"/>
        <v>24.643013223711201</v>
      </c>
      <c r="BD19" s="14">
        <f t="shared" si="17"/>
        <v>942.91665768419989</v>
      </c>
      <c r="BF19" s="16">
        <f t="shared" si="18"/>
        <v>29.975376739736998</v>
      </c>
      <c r="BG19" s="17">
        <f t="shared" si="19"/>
        <v>875.79338934052998</v>
      </c>
      <c r="BI19">
        <v>55</v>
      </c>
      <c r="BJ19" t="s">
        <v>44</v>
      </c>
      <c r="BK19" s="2">
        <v>46063.781481481485</v>
      </c>
      <c r="BL19">
        <v>321</v>
      </c>
      <c r="BM19" t="s">
        <v>13</v>
      </c>
      <c r="BN19">
        <v>0</v>
      </c>
      <c r="BO19">
        <v>2.88</v>
      </c>
      <c r="BP19" s="3">
        <v>967474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45</v>
      </c>
      <c r="C20" s="2">
        <v>46063.802708333336</v>
      </c>
      <c r="D20">
        <v>242</v>
      </c>
      <c r="E20" t="s">
        <v>13</v>
      </c>
      <c r="F20">
        <v>0</v>
      </c>
      <c r="G20">
        <v>6.0780000000000003</v>
      </c>
      <c r="H20" s="3">
        <v>9875</v>
      </c>
      <c r="I20">
        <v>2.3E-2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45</v>
      </c>
      <c r="Q20" s="2">
        <v>46063.802708333336</v>
      </c>
      <c r="R20">
        <v>242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45</v>
      </c>
      <c r="AE20" s="2">
        <v>46063.802708333336</v>
      </c>
      <c r="AF20">
        <v>242</v>
      </c>
      <c r="AG20" t="s">
        <v>13</v>
      </c>
      <c r="AH20">
        <v>0</v>
      </c>
      <c r="AI20">
        <v>12.355</v>
      </c>
      <c r="AJ20" s="3">
        <v>4273</v>
      </c>
      <c r="AK20">
        <v>0.84099999999999997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31.943950203124999</v>
      </c>
      <c r="AU20" s="17">
        <f t="shared" si="11"/>
        <v>838.06615398197005</v>
      </c>
      <c r="AW20" s="6">
        <f t="shared" si="12"/>
        <v>20.608657812499999</v>
      </c>
      <c r="AX20" s="7">
        <f t="shared" si="13"/>
        <v>779.06314233991998</v>
      </c>
      <c r="AZ20" s="11">
        <f t="shared" si="14"/>
        <v>18.324062500000004</v>
      </c>
      <c r="BA20" s="12">
        <f t="shared" si="15"/>
        <v>1012.5642849231001</v>
      </c>
      <c r="BC20" s="13">
        <f t="shared" si="16"/>
        <v>25.984417812499998</v>
      </c>
      <c r="BD20" s="14">
        <f t="shared" si="17"/>
        <v>908.97313996579999</v>
      </c>
      <c r="BF20" s="16">
        <f t="shared" si="18"/>
        <v>31.943950203124999</v>
      </c>
      <c r="BG20" s="17">
        <f t="shared" si="19"/>
        <v>838.06615398197005</v>
      </c>
      <c r="BI20">
        <v>56</v>
      </c>
      <c r="BJ20" t="s">
        <v>45</v>
      </c>
      <c r="BK20" s="2">
        <v>46063.802708333336</v>
      </c>
      <c r="BL20">
        <v>242</v>
      </c>
      <c r="BM20" t="s">
        <v>13</v>
      </c>
      <c r="BN20">
        <v>0</v>
      </c>
      <c r="BO20">
        <v>2.8809999999999998</v>
      </c>
      <c r="BP20" s="3">
        <v>945974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C21" s="2"/>
      <c r="H21" s="3"/>
      <c r="Q21" s="2"/>
      <c r="AE21" s="2"/>
      <c r="AJ21" s="3"/>
      <c r="AS21" s="10"/>
      <c r="AT21" s="16"/>
      <c r="AU21" s="17"/>
      <c r="AW21" s="6"/>
      <c r="AX21" s="7"/>
      <c r="AZ21" s="11"/>
      <c r="BA21" s="12"/>
      <c r="BC21" s="13"/>
      <c r="BD21" s="14"/>
      <c r="BF21" s="16"/>
      <c r="BG21" s="17"/>
      <c r="BK21" s="2"/>
      <c r="BP21" s="3"/>
    </row>
    <row r="22" spans="1:73" x14ac:dyDescent="0.35">
      <c r="C22" s="2"/>
      <c r="H22" s="3"/>
      <c r="Q22" s="2"/>
      <c r="V22" s="3"/>
      <c r="AE22" s="2"/>
      <c r="AS22" s="10"/>
      <c r="AT22" s="16"/>
      <c r="AU22" s="17"/>
      <c r="AW22" s="6"/>
      <c r="AX22" s="7"/>
      <c r="AZ22" s="11"/>
      <c r="BA22" s="12"/>
      <c r="BC22" s="13"/>
      <c r="BD22" s="14"/>
      <c r="BF22" s="16"/>
      <c r="BG22" s="17"/>
      <c r="BK22" s="2"/>
      <c r="BP22" s="3"/>
    </row>
    <row r="23" spans="1:73" x14ac:dyDescent="0.35">
      <c r="C23" s="2"/>
      <c r="H23" s="3"/>
      <c r="Q23" s="2"/>
      <c r="AE23" s="2"/>
      <c r="AJ23" s="3"/>
      <c r="AS23" s="10"/>
      <c r="AT23" s="16"/>
      <c r="AU23" s="17"/>
      <c r="AW23" s="6"/>
      <c r="AX23" s="7"/>
      <c r="AZ23" s="11"/>
      <c r="BA23" s="12"/>
      <c r="BC23" s="13"/>
      <c r="BD23" s="14"/>
      <c r="BF23" s="16"/>
      <c r="BG23" s="17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10"/>
      <c r="AT24" s="16"/>
      <c r="AU24" s="17"/>
      <c r="AW24" s="6"/>
      <c r="AX24" s="7"/>
      <c r="AZ24" s="11"/>
      <c r="BA24" s="12"/>
      <c r="BC24" s="13"/>
      <c r="BD24" s="14"/>
      <c r="BF24" s="16"/>
      <c r="BG24" s="17"/>
      <c r="BK24" s="2"/>
      <c r="BP24" s="3"/>
    </row>
    <row r="25" spans="1:73" x14ac:dyDescent="0.35">
      <c r="C25" s="2"/>
      <c r="H25" s="3"/>
      <c r="Q25" s="2"/>
      <c r="AE25" s="2"/>
      <c r="AJ25" s="3"/>
      <c r="AS25" s="10"/>
      <c r="AT25" s="16"/>
      <c r="AU25" s="17"/>
      <c r="AW25" s="6"/>
      <c r="AX25" s="7"/>
      <c r="AZ25" s="11"/>
      <c r="BA25" s="12"/>
      <c r="BC25" s="13"/>
      <c r="BD25" s="14"/>
      <c r="BF25" s="16"/>
      <c r="BG25" s="17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2026-02-11T16:22:11Z</dcterms:modified>
</cp:coreProperties>
</file>