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13_ncr:1_{0B90336D-8FD4-49F3-8D94-4D2F2187B7F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5" i="1" l="1"/>
  <c r="AU15" i="1"/>
  <c r="AW15" i="1"/>
  <c r="AX15" i="1"/>
  <c r="AZ15" i="1"/>
  <c r="BA15" i="1"/>
  <c r="BC15" i="1"/>
  <c r="BD15" i="1"/>
  <c r="BF15" i="1"/>
  <c r="BG15" i="1"/>
  <c r="AT16" i="1"/>
  <c r="AU16" i="1"/>
  <c r="AW16" i="1"/>
  <c r="AX16" i="1"/>
  <c r="AZ16" i="1"/>
  <c r="BA16" i="1"/>
  <c r="BC16" i="1"/>
  <c r="BD16" i="1"/>
  <c r="BF16" i="1"/>
  <c r="BG16" i="1"/>
  <c r="AT17" i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30" i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  <c r="AT9" i="1" l="1"/>
  <c r="AU9" i="1"/>
  <c r="AW9" i="1"/>
  <c r="AX9" i="1"/>
  <c r="AZ9" i="1"/>
  <c r="BA9" i="1"/>
  <c r="BC9" i="1"/>
  <c r="BD9" i="1"/>
  <c r="BF9" i="1"/>
  <c r="BG9" i="1"/>
  <c r="AT10" i="1"/>
  <c r="AU10" i="1"/>
  <c r="AW10" i="1"/>
  <c r="AX10" i="1"/>
  <c r="AZ10" i="1"/>
  <c r="BA10" i="1"/>
  <c r="BC10" i="1"/>
  <c r="BD10" i="1"/>
  <c r="BF10" i="1"/>
  <c r="BG10" i="1"/>
  <c r="AT11" i="1"/>
  <c r="AU11" i="1"/>
  <c r="AW11" i="1"/>
  <c r="AX11" i="1"/>
  <c r="AZ11" i="1"/>
  <c r="BA11" i="1"/>
  <c r="BC11" i="1"/>
  <c r="BD11" i="1"/>
  <c r="BF11" i="1"/>
  <c r="BG11" i="1"/>
  <c r="AT12" i="1"/>
  <c r="AU12" i="1"/>
  <c r="AW12" i="1"/>
  <c r="AX12" i="1"/>
  <c r="AZ12" i="1"/>
  <c r="BA12" i="1"/>
  <c r="BC12" i="1"/>
  <c r="BD12" i="1"/>
  <c r="BF12" i="1"/>
  <c r="BG12" i="1"/>
  <c r="AT13" i="1"/>
  <c r="AU13" i="1"/>
  <c r="AW13" i="1"/>
  <c r="AX13" i="1"/>
  <c r="AZ13" i="1"/>
  <c r="BA13" i="1"/>
  <c r="BC13" i="1"/>
  <c r="BD13" i="1"/>
  <c r="BF13" i="1"/>
  <c r="BG13" i="1"/>
  <c r="AT14" i="1"/>
  <c r="AU14" i="1"/>
  <c r="AW14" i="1"/>
  <c r="AX14" i="1"/>
  <c r="AZ14" i="1"/>
  <c r="BA14" i="1"/>
  <c r="BC14" i="1"/>
  <c r="BD14" i="1"/>
  <c r="BF14" i="1"/>
  <c r="BG14" i="1"/>
</calcChain>
</file>

<file path=xl/sharedStrings.xml><?xml version="1.0" encoding="utf-8"?>
<sst xmlns="http://schemas.openxmlformats.org/spreadsheetml/2006/main" count="702" uniqueCount="59">
  <si>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</si>
  <si>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</si>
  <si>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</si>
  <si>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</si>
  <si>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</si>
  <si>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</si>
  <si>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</si>
  <si>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</si>
  <si>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</si>
  <si>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</si>
  <si>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</si>
  <si>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</si>
  <si>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</si>
  <si>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</si>
  <si>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</si>
  <si>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</si>
  <si>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</si>
  <si>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</si>
  <si>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</si>
  <si>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</si>
  <si>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</si>
  <si>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</si>
  <si>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</si>
  <si>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</si>
  <si>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</si>
  <si>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2022 ranged CAL Measured headspace CH4  in ppm from GC in ppm</t>
  </si>
  <si>
    <t>2022 CAL Measured headspace CO2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</si>
  <si>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</si>
  <si>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</si>
  <si>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</si>
  <si>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</si>
  <si>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</si>
  <si>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</si>
  <si>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</si>
  <si>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</si>
  <si>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FMI20260223_001.gcd</t>
  </si>
  <si>
    <t>FMI20260223_002.gcd</t>
  </si>
  <si>
    <t>FMI20260223_003.gcd</t>
  </si>
  <si>
    <t>FMI20260223_004.gcd</t>
  </si>
  <si>
    <t>FMI20260223_005.gcd</t>
  </si>
  <si>
    <t>FMI20260223_006.gcd</t>
  </si>
  <si>
    <t>FMI20260223_007.gcd</t>
  </si>
  <si>
    <t>FMI20260223_008.gcd</t>
  </si>
  <si>
    <t>FMI20260223_009.gcd</t>
  </si>
  <si>
    <t>FMI20260223_010.gcd</t>
  </si>
  <si>
    <t>FMI20260223_011.gcd</t>
  </si>
  <si>
    <t>FMI20260223_012.gcd</t>
  </si>
  <si>
    <t>FMI20260223_013.gcd</t>
  </si>
  <si>
    <t>FMI20260223_014.gcd</t>
  </si>
  <si>
    <t>FMI20260223_015.gcd</t>
  </si>
  <si>
    <t>FMI20260223_016.gcd</t>
  </si>
  <si>
    <t>FMI20260223_017.gcd</t>
  </si>
  <si>
    <t>FMI20260223_018.gcd</t>
  </si>
  <si>
    <t>FMI20260223_019.gcd</t>
  </si>
  <si>
    <t>FMI20260223_020.gcd</t>
  </si>
  <si>
    <t>FMI20260223_021.gcd</t>
  </si>
  <si>
    <t>FMI20260223_022.gcd</t>
  </si>
  <si>
    <t>FMI20260223_023.gcd</t>
  </si>
  <si>
    <t>15mm depth, new syringe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</si>
</sst>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2" fontId="0" fillId="33" borderId="0" xfId="0" applyNumberFormat="1" applyFill="1"/>
    <xf numFmtId="1" fontId="0" fillId="33" borderId="0" xfId="0" applyNumberFormat="1" applyFill="1"/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4" borderId="0" xfId="0" applyNumberFormat="1" applyFill="1"/>
    <xf numFmtId="3" fontId="0" fillId="34" borderId="0" xfId="0" applyNumberFormat="1" applyFill="1"/>
    <xf numFmtId="2" fontId="0" fillId="35" borderId="0" xfId="0" applyNumberFormat="1" applyFill="1"/>
    <xf numFmtId="3" fontId="0" fillId="35" borderId="0" xfId="0" applyNumberFormat="1" applyFill="1"/>
    <xf numFmtId="4" fontId="0" fillId="0" borderId="0" xfId="0" applyNumberFormat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J1" workbookViewId="0">
      <selection activeCell="AR9" sqref="AR9:AR11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1796875" customWidth="1"/>
    <col min="46" max="46" width="9.81640625" customWidth="1"/>
    <col min="47" max="47" width="10" customWidth="1"/>
    <col min="49" max="49" width="9.7265625" customWidth="1"/>
    <col min="50" max="50" width="10" customWidth="1"/>
    <col min="52" max="53" width="9.54296875" customWidth="1"/>
    <col min="55" max="56" width="9.54296875" customWidth="1"/>
    <col min="57" max="57" width="8.7265625" style="9"/>
    <col min="58" max="59" width="9.8164062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29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25</v>
      </c>
      <c r="AX8" s="5" t="s">
        <v>26</v>
      </c>
      <c r="AZ8" s="5" t="s">
        <v>22</v>
      </c>
      <c r="BA8" s="5" t="s">
        <v>23</v>
      </c>
      <c r="BC8" s="5" t="s">
        <v>27</v>
      </c>
      <c r="BD8" s="5" t="s">
        <v>32</v>
      </c>
      <c r="BE8" s="8"/>
      <c r="BF8" s="5" t="s">
        <v>30</v>
      </c>
      <c r="BG8" s="5" t="s">
        <v>31</v>
      </c>
      <c r="BH8" s="5"/>
      <c r="BI8" s="8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46076.765659722223</v>
      </c>
      <c r="D9" t="s">
        <v>33</v>
      </c>
      <c r="E9" t="s">
        <v>13</v>
      </c>
      <c r="F9">
        <v>0</v>
      </c>
      <c r="G9">
        <v>6.1130000000000004</v>
      </c>
      <c r="H9" s="3">
        <v>1611</v>
      </c>
      <c r="I9">
        <v>4.0000000000000001E-3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46076.765659722223</v>
      </c>
      <c r="R9" t="s">
        <v>33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46076.765659722223</v>
      </c>
      <c r="AF9" t="s">
        <v>33</v>
      </c>
      <c r="AG9" t="s">
        <v>13</v>
      </c>
      <c r="AH9">
        <v>0</v>
      </c>
      <c r="AI9">
        <v>12.413</v>
      </c>
      <c r="AJ9" s="3">
        <v>2357</v>
      </c>
      <c r="AK9">
        <v>0.42099999999999999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R9" t="s">
        <v>58</v>
      </c>
      <c r="AS9" s="10">
        <v>45</v>
      </c>
      <c r="AT9" s="16">
        <f t="shared" ref="AT9:AT14" si="0">IF(H9&lt;10000,((H9^2*0.000000008493)+(H9*0.003482)+(-3.269)),(IF(H9&lt;200000,((H9^2*-0.000000000263)+(H9*0.002682)+(3.179)),(IF(H9&lt;8000000,((H9^2*-0.000000000005099)+(H9*0.002054)+(174.8)),((V9^2*-0.00000001014)+(V9*0.2415)+(1123)))))))</f>
        <v>2.3625440612529998</v>
      </c>
      <c r="AU9" s="17">
        <f t="shared" ref="AU9:AU14" si="1">IF(AJ9&lt;45000,((-0.00000004907*AJ9^2)+(0.2277*AJ9)+(-134)),((-0.00000001062*AJ9^2)+(0.2147*AJ9)+(590.6)))</f>
        <v>402.41629411757003</v>
      </c>
      <c r="AW9" s="6">
        <f t="shared" ref="AW9:AW14" si="2">IF(H9&lt;10000,((0.0000001453*H9^2)+(0.0008349*H9)+(-1.805)),(IF(H9&lt;700000,((-0.00000000008054*H9^2)+(0.002348*H9)+(-2.47)), ((-0.00000001938*V9^2)+(0.2471*V9)+(226.8)))))</f>
        <v>-8.2875958700000085E-2</v>
      </c>
      <c r="AX9" s="7">
        <f t="shared" ref="AX9:AX14" si="3">(-0.00000002552*AJ9^2)+(0.2067*AJ9)+(-103.7)</f>
        <v>383.35012494151999</v>
      </c>
      <c r="AZ9" s="11">
        <f t="shared" ref="AZ9:AZ14" si="4">IF(H9&lt;10000,((H9^2*0.00000054)+(H9*-0.004765)+(12.72)),(IF(H9&lt;200000,((H9^2*-0.000000001577)+(H9*0.003043)+(-10.42)),(IF(H9&lt;8000000,((H9^2*-0.0000000000186)+(H9*0.00194)+(154.1)),((V9^2*-0.00000002)+(V9*0.2565)+(-1032)))))))</f>
        <v>6.4450583400000001</v>
      </c>
      <c r="BA9" s="12">
        <f t="shared" ref="BA9:BA14" si="5">IF(AJ9&lt;45000,((-0.0000004561*AJ9^2)+(0.244*AJ9)+(-21.72)),((-0.0000000409*AJ9^2)+(0.2477*AJ9)+(-1777)))</f>
        <v>550.8541597110999</v>
      </c>
      <c r="BC9" s="13">
        <f t="shared" ref="BC9:BC14" si="6">IF(H9&lt;10000,((H9^2*0.00000005714)+(H9*0.002453)+(-3.811)),(IF(H9&lt;200000,((H9^2*-0.0000000002888)+(H9*0.002899)+(-4.321)),(IF(H9&lt;8000000,((H9^2*-0.0000000000062)+(H9*0.002143)+(157)),((V9^2*-0.000000031)+(V9*0.2771)+(-709.5)))))))</f>
        <v>0.28907964193999991</v>
      </c>
      <c r="BD9" s="14">
        <f t="shared" ref="BD9:BD14" si="7">IF(AJ9&lt;45000,((-0.0000000598*AJ9^2)+(0.205*AJ9)+(34.1)),((-0.00000002403*AJ9^2)+(0.2063*AJ9)+(-550.7)))</f>
        <v>516.95278414979998</v>
      </c>
      <c r="BF9" s="16">
        <f t="shared" ref="BF9:BF14" si="8">IF(H9&lt;10000,((H9^2*0.000000008493)+(H9*0.003482)+(-3.269)),(IF(H9&lt;200000,((H9^2*-0.000000000263)+(H9*0.002682)+(3.179)),(IF(H9&lt;8000000,((H9^2*-0.000000000005099)+(H9*0.002054)+(174.8)),((V9^2*-0.00000001014)+(V9*0.2415)+(1123)))))))</f>
        <v>2.3625440612529998</v>
      </c>
      <c r="BG9" s="17">
        <f t="shared" ref="BG9:BG14" si="9">IF(AJ9&lt;45000,((-0.00000004907*AJ9^2)+(0.2277*AJ9)+(-134)),((-0.00000001062*AJ9^2)+(0.2147*AJ9)+(590.6)))</f>
        <v>402.41629411757003</v>
      </c>
      <c r="BI9">
        <v>45</v>
      </c>
      <c r="BJ9" t="s">
        <v>35</v>
      </c>
      <c r="BK9" s="2">
        <v>46076.765659722223</v>
      </c>
      <c r="BL9" t="s">
        <v>33</v>
      </c>
      <c r="BM9" t="s">
        <v>13</v>
      </c>
      <c r="BN9">
        <v>0</v>
      </c>
      <c r="BO9">
        <v>2.734</v>
      </c>
      <c r="BP9" s="3">
        <v>5122204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46076.786851851852</v>
      </c>
      <c r="D10" t="s">
        <v>34</v>
      </c>
      <c r="E10" t="s">
        <v>13</v>
      </c>
      <c r="F10">
        <v>0</v>
      </c>
      <c r="G10">
        <v>6.0750000000000002</v>
      </c>
      <c r="H10" s="3">
        <v>1026171</v>
      </c>
      <c r="I10">
        <v>2.3180000000000001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46076.786851851852</v>
      </c>
      <c r="R10" t="s">
        <v>34</v>
      </c>
      <c r="S10" t="s">
        <v>13</v>
      </c>
      <c r="T10">
        <v>0</v>
      </c>
      <c r="U10">
        <v>6.0270000000000001</v>
      </c>
      <c r="V10" s="3">
        <v>8041</v>
      </c>
      <c r="W10">
        <v>2.0790000000000002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46076.786851851852</v>
      </c>
      <c r="AF10" t="s">
        <v>34</v>
      </c>
      <c r="AG10" t="s">
        <v>13</v>
      </c>
      <c r="AH10">
        <v>0</v>
      </c>
      <c r="AI10">
        <v>12.403</v>
      </c>
      <c r="AJ10" s="3">
        <v>9503</v>
      </c>
      <c r="AK10">
        <v>1.988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R10" t="s">
        <v>58</v>
      </c>
      <c r="AS10" s="10">
        <v>46</v>
      </c>
      <c r="AT10" s="16">
        <f t="shared" si="0"/>
        <v>2277.1858497285921</v>
      </c>
      <c r="AU10" s="17">
        <f t="shared" si="1"/>
        <v>2025.4017350683703</v>
      </c>
      <c r="AW10" s="6">
        <f t="shared" si="2"/>
        <v>2212.4780341422197</v>
      </c>
      <c r="AX10" s="7">
        <f t="shared" si="3"/>
        <v>1858.2654651303199</v>
      </c>
      <c r="AZ10" s="11">
        <f t="shared" si="4"/>
        <v>2125.2854392649174</v>
      </c>
      <c r="BA10" s="12">
        <f t="shared" si="5"/>
        <v>2255.8229731951001</v>
      </c>
      <c r="BC10" s="13">
        <f t="shared" si="6"/>
        <v>2349.5556860883057</v>
      </c>
      <c r="BD10" s="14">
        <f t="shared" si="7"/>
        <v>1976.8146408617997</v>
      </c>
      <c r="BF10" s="16">
        <f t="shared" si="8"/>
        <v>2277.1858497285921</v>
      </c>
      <c r="BG10" s="17">
        <f t="shared" si="9"/>
        <v>2025.4017350683703</v>
      </c>
      <c r="BI10">
        <v>46</v>
      </c>
      <c r="BJ10" t="s">
        <v>36</v>
      </c>
      <c r="BK10" s="2">
        <v>46076.786851851852</v>
      </c>
      <c r="BL10" t="s">
        <v>34</v>
      </c>
      <c r="BM10" t="s">
        <v>13</v>
      </c>
      <c r="BN10">
        <v>0</v>
      </c>
      <c r="BO10">
        <v>2.7320000000000002</v>
      </c>
      <c r="BP10" s="3">
        <v>5170436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46076.808078703703</v>
      </c>
      <c r="D11" t="s">
        <v>28</v>
      </c>
      <c r="E11" t="s">
        <v>13</v>
      </c>
      <c r="F11">
        <v>0</v>
      </c>
      <c r="G11">
        <v>6.0990000000000002</v>
      </c>
      <c r="H11" s="3">
        <v>3084</v>
      </c>
      <c r="I11">
        <v>7.0000000000000001E-3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46076.808078703703</v>
      </c>
      <c r="R11" t="s">
        <v>28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46076.808078703703</v>
      </c>
      <c r="AF11" t="s">
        <v>28</v>
      </c>
      <c r="AG11" t="s">
        <v>13</v>
      </c>
      <c r="AH11">
        <v>0</v>
      </c>
      <c r="AI11">
        <v>12.411</v>
      </c>
      <c r="AJ11" s="3">
        <v>1838</v>
      </c>
      <c r="AK11">
        <v>0.307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R11" t="s">
        <v>58</v>
      </c>
      <c r="AS11" s="10">
        <v>47</v>
      </c>
      <c r="AT11" s="16">
        <f t="shared" si="0"/>
        <v>7.5502653986079995</v>
      </c>
      <c r="AU11" s="17">
        <f t="shared" si="1"/>
        <v>284.34682956692001</v>
      </c>
      <c r="AW11" s="6">
        <f t="shared" si="2"/>
        <v>2.1517880368000002</v>
      </c>
      <c r="AX11" s="7">
        <f t="shared" si="3"/>
        <v>276.12838721311999</v>
      </c>
      <c r="AZ11" s="11">
        <f t="shared" si="4"/>
        <v>3.1607102399999984</v>
      </c>
      <c r="BA11" s="12">
        <f t="shared" si="5"/>
        <v>425.21118291159996</v>
      </c>
      <c r="BC11" s="13">
        <f t="shared" si="6"/>
        <v>4.2975137398399994</v>
      </c>
      <c r="BD11" s="14">
        <f t="shared" si="7"/>
        <v>410.68798100879997</v>
      </c>
      <c r="BF11" s="16">
        <f t="shared" si="8"/>
        <v>7.5502653986079995</v>
      </c>
      <c r="BG11" s="17">
        <f t="shared" si="9"/>
        <v>284.34682956692001</v>
      </c>
      <c r="BI11">
        <v>47</v>
      </c>
      <c r="BJ11" t="s">
        <v>37</v>
      </c>
      <c r="BK11" s="2">
        <v>46076.808078703703</v>
      </c>
      <c r="BL11" t="s">
        <v>28</v>
      </c>
      <c r="BM11" t="s">
        <v>13</v>
      </c>
      <c r="BN11">
        <v>0</v>
      </c>
      <c r="BO11">
        <v>2.7320000000000002</v>
      </c>
      <c r="BP11" s="3">
        <v>5207892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46076.829305555555</v>
      </c>
      <c r="D12">
        <v>164</v>
      </c>
      <c r="E12" t="s">
        <v>13</v>
      </c>
      <c r="F12">
        <v>0</v>
      </c>
      <c r="G12">
        <v>6.0780000000000003</v>
      </c>
      <c r="H12" s="3">
        <v>65853</v>
      </c>
      <c r="I12">
        <v>0.14899999999999999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46076.829305555555</v>
      </c>
      <c r="R12">
        <v>164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46076.829305555555</v>
      </c>
      <c r="AF12">
        <v>164</v>
      </c>
      <c r="AG12" t="s">
        <v>13</v>
      </c>
      <c r="AH12">
        <v>0</v>
      </c>
      <c r="AI12">
        <v>12.286</v>
      </c>
      <c r="AJ12" s="3">
        <v>82176</v>
      </c>
      <c r="AK12">
        <v>17.831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10">
        <v>48</v>
      </c>
      <c r="AT12" s="16">
        <f t="shared" si="0"/>
        <v>178.65621556883298</v>
      </c>
      <c r="AU12" s="17">
        <f t="shared" si="1"/>
        <v>18162.071455354879</v>
      </c>
      <c r="AW12" s="6">
        <f t="shared" si="2"/>
        <v>151.80357281777114</v>
      </c>
      <c r="AX12" s="7">
        <f t="shared" si="3"/>
        <v>16709.745320212482</v>
      </c>
      <c r="AZ12" s="11">
        <f t="shared" si="4"/>
        <v>183.13183303060703</v>
      </c>
      <c r="BA12" s="12">
        <f t="shared" si="5"/>
        <v>18301.801795481602</v>
      </c>
      <c r="BC12" s="13">
        <f t="shared" si="6"/>
        <v>185.33443183452081</v>
      </c>
      <c r="BD12" s="14">
        <f t="shared" si="7"/>
        <v>16239.936733726721</v>
      </c>
      <c r="BF12" s="16">
        <f t="shared" si="8"/>
        <v>178.65621556883298</v>
      </c>
      <c r="BG12" s="17">
        <f t="shared" si="9"/>
        <v>18162.071455354879</v>
      </c>
      <c r="BI12">
        <v>48</v>
      </c>
      <c r="BJ12" t="s">
        <v>38</v>
      </c>
      <c r="BK12" s="2">
        <v>46076.829305555555</v>
      </c>
      <c r="BL12">
        <v>164</v>
      </c>
      <c r="BM12" t="s">
        <v>13</v>
      </c>
      <c r="BN12">
        <v>0</v>
      </c>
      <c r="BO12">
        <v>2.9060000000000001</v>
      </c>
      <c r="BP12" s="3">
        <v>585677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46076.850532407407</v>
      </c>
      <c r="D13">
        <v>196</v>
      </c>
      <c r="E13" t="s">
        <v>13</v>
      </c>
      <c r="F13">
        <v>0</v>
      </c>
      <c r="G13">
        <v>6.077</v>
      </c>
      <c r="H13" s="3">
        <v>64491</v>
      </c>
      <c r="I13">
        <v>0.14599999999999999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46076.850532407407</v>
      </c>
      <c r="R13">
        <v>196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46076.850532407407</v>
      </c>
      <c r="AF13">
        <v>196</v>
      </c>
      <c r="AG13" t="s">
        <v>13</v>
      </c>
      <c r="AH13">
        <v>0</v>
      </c>
      <c r="AI13">
        <v>12.276999999999999</v>
      </c>
      <c r="AJ13" s="3">
        <v>84254</v>
      </c>
      <c r="AK13">
        <v>18.280999999999999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10">
        <v>49</v>
      </c>
      <c r="AT13" s="16">
        <f t="shared" si="0"/>
        <v>175.05002157169699</v>
      </c>
      <c r="AU13" s="17">
        <f t="shared" si="1"/>
        <v>18604.545218200077</v>
      </c>
      <c r="AW13" s="6">
        <f t="shared" si="2"/>
        <v>148.61989496541625</v>
      </c>
      <c r="AX13" s="7">
        <f t="shared" si="3"/>
        <v>17130.442044111682</v>
      </c>
      <c r="AZ13" s="11">
        <f t="shared" si="4"/>
        <v>179.26722951926303</v>
      </c>
      <c r="BA13" s="12">
        <f t="shared" si="5"/>
        <v>18802.377476495603</v>
      </c>
      <c r="BC13" s="13">
        <f t="shared" si="6"/>
        <v>181.43726407340719</v>
      </c>
      <c r="BD13" s="14">
        <f t="shared" si="7"/>
        <v>16660.317561520522</v>
      </c>
      <c r="BF13" s="16">
        <f t="shared" si="8"/>
        <v>175.05002157169699</v>
      </c>
      <c r="BG13" s="17">
        <f t="shared" si="9"/>
        <v>18604.545218200077</v>
      </c>
      <c r="BI13">
        <v>49</v>
      </c>
      <c r="BJ13" t="s">
        <v>39</v>
      </c>
      <c r="BK13" s="2">
        <v>46076.850532407407</v>
      </c>
      <c r="BL13">
        <v>196</v>
      </c>
      <c r="BM13" t="s">
        <v>13</v>
      </c>
      <c r="BN13">
        <v>0</v>
      </c>
      <c r="BO13">
        <v>2.887</v>
      </c>
      <c r="BP13" s="3">
        <v>892321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46076.871736111112</v>
      </c>
      <c r="D14">
        <v>159</v>
      </c>
      <c r="E14" t="s">
        <v>13</v>
      </c>
      <c r="F14">
        <v>0</v>
      </c>
      <c r="G14">
        <v>6.0890000000000004</v>
      </c>
      <c r="H14" s="3">
        <v>12433</v>
      </c>
      <c r="I14">
        <v>2.8000000000000001E-2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46076.871736111112</v>
      </c>
      <c r="R14">
        <v>159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46076.871736111112</v>
      </c>
      <c r="AF14">
        <v>159</v>
      </c>
      <c r="AG14" t="s">
        <v>13</v>
      </c>
      <c r="AH14">
        <v>0</v>
      </c>
      <c r="AI14">
        <v>12.377000000000001</v>
      </c>
      <c r="AJ14" s="3">
        <v>9257</v>
      </c>
      <c r="AK14">
        <v>1.9339999999999999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10">
        <v>50</v>
      </c>
      <c r="AT14" s="16">
        <f t="shared" si="0"/>
        <v>36.483651594393002</v>
      </c>
      <c r="AU14" s="17">
        <f t="shared" si="1"/>
        <v>1969.6139911555701</v>
      </c>
      <c r="AW14" s="6">
        <f t="shared" si="2"/>
        <v>26.710234167955939</v>
      </c>
      <c r="AX14" s="7">
        <f t="shared" si="3"/>
        <v>1807.5350389095199</v>
      </c>
      <c r="AZ14" s="11">
        <f t="shared" si="4"/>
        <v>27.169847145846994</v>
      </c>
      <c r="BA14" s="12">
        <f t="shared" si="5"/>
        <v>2197.9038564511002</v>
      </c>
      <c r="BC14" s="13">
        <f t="shared" si="6"/>
        <v>31.677624443576804</v>
      </c>
      <c r="BD14" s="14">
        <f t="shared" si="7"/>
        <v>1926.6606154698</v>
      </c>
      <c r="BF14" s="16">
        <f t="shared" si="8"/>
        <v>36.483651594393002</v>
      </c>
      <c r="BG14" s="17">
        <f t="shared" si="9"/>
        <v>1969.6139911555701</v>
      </c>
      <c r="BI14">
        <v>50</v>
      </c>
      <c r="BJ14" t="s">
        <v>40</v>
      </c>
      <c r="BK14" s="2">
        <v>46076.871736111112</v>
      </c>
      <c r="BL14">
        <v>159</v>
      </c>
      <c r="BM14" t="s">
        <v>13</v>
      </c>
      <c r="BN14">
        <v>0</v>
      </c>
      <c r="BO14">
        <v>2.9049999999999998</v>
      </c>
      <c r="BP14" s="3">
        <v>723618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46076.892951388887</v>
      </c>
      <c r="D15">
        <v>270</v>
      </c>
      <c r="E15" t="s">
        <v>13</v>
      </c>
      <c r="F15">
        <v>0</v>
      </c>
      <c r="G15">
        <v>6.0880000000000001</v>
      </c>
      <c r="H15" s="3">
        <v>12144</v>
      </c>
      <c r="I15">
        <v>2.8000000000000001E-2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46076.892951388887</v>
      </c>
      <c r="R15">
        <v>270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46076.892951388887</v>
      </c>
      <c r="AF15">
        <v>270</v>
      </c>
      <c r="AG15" t="s">
        <v>13</v>
      </c>
      <c r="AH15">
        <v>0</v>
      </c>
      <c r="AI15">
        <v>12.385999999999999</v>
      </c>
      <c r="AJ15" s="3">
        <v>9437</v>
      </c>
      <c r="AK15">
        <v>1.9730000000000001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10">
        <v>51</v>
      </c>
      <c r="AT15" s="16">
        <f t="shared" ref="AT15:AT31" si="10">IF(H15&lt;10000,((H15^2*0.000000008493)+(H15*0.003482)+(-3.269)),(IF(H15&lt;200000,((H15^2*-0.000000000263)+(H15*0.002682)+(3.179)),(IF(H15&lt;8000000,((H15^2*-0.000000000005099)+(H15*0.002054)+(174.8)),((V15^2*-0.00000001014)+(V15*0.2415)+(1123)))))))</f>
        <v>35.710421618432001</v>
      </c>
      <c r="AU15" s="17">
        <f t="shared" ref="AU15:AU31" si="11">IF(AJ15&lt;45000,((-0.00000004907*AJ15^2)+(0.2277*AJ15)+(-134)),((-0.00000001062*AJ15^2)+(0.2147*AJ15)+(590.6)))</f>
        <v>2010.43487453117</v>
      </c>
      <c r="AW15" s="6">
        <f t="shared" ref="AW15:AW31" si="12">IF(H15&lt;10000,((0.0000001453*H15^2)+(0.0008349*H15)+(-1.805)),(IF(H15&lt;700000,((-0.00000000008054*H15^2)+(0.002348*H15)+(-2.47)), ((-0.00000001938*V15^2)+(0.2471*V15)+(226.8)))))</f>
        <v>26.032234223682558</v>
      </c>
      <c r="AX15" s="7">
        <f t="shared" ref="AX15:AX31" si="13">(-0.00000002552*AJ15^2)+(0.2067*AJ15)+(-103.7)</f>
        <v>1844.6551661511198</v>
      </c>
      <c r="AZ15" s="11">
        <f t="shared" ref="AZ15:AZ31" si="14">IF(H15&lt;10000,((H15^2*0.00000054)+(H15*-0.004765)+(12.72)),(IF(H15&lt;200000,((H15^2*-0.000000001577)+(H15*0.003043)+(-10.42)),(IF(H15&lt;8000000,((H15^2*-0.0000000000186)+(H15*0.00194)+(154.1)),((V15^2*-0.00000002)+(V15*0.2565)+(-1032)))))))</f>
        <v>26.301621187327996</v>
      </c>
      <c r="BA15" s="12">
        <f t="shared" ref="BA15:BA31" si="15">IF(AJ15&lt;45000,((-0.0000004561*AJ15^2)+(0.244*AJ15)+(-21.72)),((-0.0000000409*AJ15^2)+(0.2477*AJ15)+(-1777)))</f>
        <v>2240.2891164391003</v>
      </c>
      <c r="BC15" s="13">
        <f t="shared" ref="BC15:BC31" si="16">IF(H15&lt;10000,((H15^2*0.00000005714)+(H15*0.002453)+(-3.811)),(IF(H15&lt;200000,((H15^2*-0.0000000002888)+(H15*0.002899)+(-4.321)),(IF(H15&lt;8000000,((H15^2*-0.0000000000062)+(H15*0.002143)+(157)),((V15^2*-0.000000031)+(V15*0.2771)+(-709.5)))))))</f>
        <v>30.841864718643201</v>
      </c>
      <c r="BD15" s="14">
        <f t="shared" ref="BD15:BD31" si="17">IF(AJ15&lt;45000,((-0.0000000598*AJ15^2)+(0.205*AJ15)+(34.1)),((-0.00000002403*AJ15^2)+(0.2063*AJ15)+(-550.7)))</f>
        <v>1963.3593932537997</v>
      </c>
      <c r="BF15" s="16">
        <f t="shared" ref="BF15:BF31" si="18">IF(H15&lt;10000,((H15^2*0.000000008493)+(H15*0.003482)+(-3.269)),(IF(H15&lt;200000,((H15^2*-0.000000000263)+(H15*0.002682)+(3.179)),(IF(H15&lt;8000000,((H15^2*-0.000000000005099)+(H15*0.002054)+(174.8)),((V15^2*-0.00000001014)+(V15*0.2415)+(1123)))))))</f>
        <v>35.710421618432001</v>
      </c>
      <c r="BG15" s="17">
        <f t="shared" ref="BG15:BG31" si="19">IF(AJ15&lt;45000,((-0.00000004907*AJ15^2)+(0.2277*AJ15)+(-134)),((-0.00000001062*AJ15^2)+(0.2147*AJ15)+(590.6)))</f>
        <v>2010.43487453117</v>
      </c>
      <c r="BI15">
        <v>51</v>
      </c>
      <c r="BJ15" t="s">
        <v>41</v>
      </c>
      <c r="BK15" s="2">
        <v>46076.892951388887</v>
      </c>
      <c r="BL15">
        <v>270</v>
      </c>
      <c r="BM15" t="s">
        <v>13</v>
      </c>
      <c r="BN15">
        <v>0</v>
      </c>
      <c r="BO15">
        <v>2.9</v>
      </c>
      <c r="BP15" s="3">
        <v>781457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46076.914155092592</v>
      </c>
      <c r="D16">
        <v>261</v>
      </c>
      <c r="E16" t="s">
        <v>13</v>
      </c>
      <c r="F16">
        <v>0</v>
      </c>
      <c r="G16">
        <v>6.0830000000000002</v>
      </c>
      <c r="H16" s="3">
        <v>11281</v>
      </c>
      <c r="I16">
        <v>2.5999999999999999E-2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46076.914155092592</v>
      </c>
      <c r="R16">
        <v>261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46076.914155092592</v>
      </c>
      <c r="AF16">
        <v>261</v>
      </c>
      <c r="AG16" t="s">
        <v>13</v>
      </c>
      <c r="AH16">
        <v>0</v>
      </c>
      <c r="AI16">
        <v>12.37</v>
      </c>
      <c r="AJ16" s="3">
        <v>9022</v>
      </c>
      <c r="AK16">
        <v>1.8819999999999999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10">
        <v>52</v>
      </c>
      <c r="AT16" s="16">
        <f t="shared" si="10"/>
        <v>33.401172367256997</v>
      </c>
      <c r="AU16" s="17">
        <f t="shared" si="11"/>
        <v>1916.31527453012</v>
      </c>
      <c r="AW16" s="6">
        <f t="shared" si="12"/>
        <v>24.00753840220106</v>
      </c>
      <c r="AX16" s="7">
        <f t="shared" si="13"/>
        <v>1759.0701617283198</v>
      </c>
      <c r="AZ16" s="11">
        <f t="shared" si="14"/>
        <v>23.707392464502995</v>
      </c>
      <c r="BA16" s="12">
        <f t="shared" si="15"/>
        <v>2142.5230636476003</v>
      </c>
      <c r="BC16" s="13">
        <f t="shared" si="16"/>
        <v>28.345866034463207</v>
      </c>
      <c r="BD16" s="14">
        <f t="shared" si="17"/>
        <v>1878.7424902568</v>
      </c>
      <c r="BF16" s="16">
        <f t="shared" si="18"/>
        <v>33.401172367256997</v>
      </c>
      <c r="BG16" s="17">
        <f t="shared" si="19"/>
        <v>1916.31527453012</v>
      </c>
      <c r="BI16">
        <v>52</v>
      </c>
      <c r="BJ16" t="s">
        <v>42</v>
      </c>
      <c r="BK16" s="2">
        <v>46076.914155092592</v>
      </c>
      <c r="BL16">
        <v>261</v>
      </c>
      <c r="BM16" t="s">
        <v>13</v>
      </c>
      <c r="BN16">
        <v>0</v>
      </c>
      <c r="BO16">
        <v>2.8959999999999999</v>
      </c>
      <c r="BP16" s="3">
        <v>767056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46076.935370370367</v>
      </c>
      <c r="D17">
        <v>330</v>
      </c>
      <c r="E17" t="s">
        <v>13</v>
      </c>
      <c r="F17">
        <v>0</v>
      </c>
      <c r="G17">
        <v>6.0919999999999996</v>
      </c>
      <c r="H17" s="3">
        <v>7267</v>
      </c>
      <c r="I17">
        <v>1.7000000000000001E-2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46076.935370370367</v>
      </c>
      <c r="R17">
        <v>330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46076.935370370367</v>
      </c>
      <c r="AF17">
        <v>330</v>
      </c>
      <c r="AG17" t="s">
        <v>13</v>
      </c>
      <c r="AH17">
        <v>0</v>
      </c>
      <c r="AI17">
        <v>12.305999999999999</v>
      </c>
      <c r="AJ17" s="3">
        <v>9869</v>
      </c>
      <c r="AK17">
        <v>2.0680000000000001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10">
        <v>53</v>
      </c>
      <c r="AT17" s="16">
        <f t="shared" si="10"/>
        <v>22.483203291476997</v>
      </c>
      <c r="AU17" s="17">
        <f t="shared" si="11"/>
        <v>2108.3920213097299</v>
      </c>
      <c r="AW17" s="6">
        <f t="shared" si="12"/>
        <v>11.9354079917</v>
      </c>
      <c r="AX17" s="7">
        <f t="shared" si="13"/>
        <v>1933.73672445128</v>
      </c>
      <c r="AZ17" s="11">
        <f t="shared" si="14"/>
        <v>6.6097610600000021</v>
      </c>
      <c r="BA17" s="12">
        <f t="shared" si="15"/>
        <v>2341.8931548679002</v>
      </c>
      <c r="BC17" s="13">
        <f t="shared" si="16"/>
        <v>17.032473773460001</v>
      </c>
      <c r="BD17" s="14">
        <f t="shared" si="17"/>
        <v>2051.4206497721998</v>
      </c>
      <c r="BF17" s="16">
        <f t="shared" si="18"/>
        <v>22.483203291476997</v>
      </c>
      <c r="BG17" s="17">
        <f t="shared" si="19"/>
        <v>2108.3920213097299</v>
      </c>
      <c r="BI17">
        <v>53</v>
      </c>
      <c r="BJ17" t="s">
        <v>43</v>
      </c>
      <c r="BK17" s="2">
        <v>46076.935370370367</v>
      </c>
      <c r="BL17">
        <v>330</v>
      </c>
      <c r="BM17" t="s">
        <v>13</v>
      </c>
      <c r="BN17">
        <v>0</v>
      </c>
      <c r="BO17">
        <v>2.8980000000000001</v>
      </c>
      <c r="BP17" s="3">
        <v>826511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46076.956585648149</v>
      </c>
      <c r="D18">
        <v>215</v>
      </c>
      <c r="E18" t="s">
        <v>13</v>
      </c>
      <c r="F18">
        <v>0</v>
      </c>
      <c r="G18">
        <v>6.0819999999999999</v>
      </c>
      <c r="H18" s="3">
        <v>13379</v>
      </c>
      <c r="I18">
        <v>3.1E-2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46076.956585648149</v>
      </c>
      <c r="R18">
        <v>215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46076.956585648149</v>
      </c>
      <c r="AF18">
        <v>215</v>
      </c>
      <c r="AG18" t="s">
        <v>13</v>
      </c>
      <c r="AH18">
        <v>0</v>
      </c>
      <c r="AI18">
        <v>12.326000000000001</v>
      </c>
      <c r="AJ18" s="3">
        <v>9408</v>
      </c>
      <c r="AK18">
        <v>1.9670000000000001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10">
        <v>54</v>
      </c>
      <c r="AT18" s="16">
        <f t="shared" si="10"/>
        <v>39.014401620417004</v>
      </c>
      <c r="AU18" s="17">
        <f t="shared" si="11"/>
        <v>2003.8583915315203</v>
      </c>
      <c r="AW18" s="6">
        <f t="shared" si="12"/>
        <v>28.929475529993859</v>
      </c>
      <c r="AX18" s="7">
        <f t="shared" si="13"/>
        <v>1838.6748129587199</v>
      </c>
      <c r="AZ18" s="11">
        <f t="shared" si="14"/>
        <v>30.010017720142997</v>
      </c>
      <c r="BA18" s="12">
        <f t="shared" si="15"/>
        <v>2233.4623773696003</v>
      </c>
      <c r="BC18" s="13">
        <f t="shared" si="16"/>
        <v>34.413026481279203</v>
      </c>
      <c r="BD18" s="14">
        <f t="shared" si="17"/>
        <v>1957.4470742527999</v>
      </c>
      <c r="BF18" s="16">
        <f t="shared" si="18"/>
        <v>39.014401620417004</v>
      </c>
      <c r="BG18" s="17">
        <f t="shared" si="19"/>
        <v>2003.8583915315203</v>
      </c>
      <c r="BI18">
        <v>54</v>
      </c>
      <c r="BJ18" t="s">
        <v>44</v>
      </c>
      <c r="BK18" s="2">
        <v>46076.956585648149</v>
      </c>
      <c r="BL18">
        <v>215</v>
      </c>
      <c r="BM18" t="s">
        <v>13</v>
      </c>
      <c r="BN18">
        <v>0</v>
      </c>
      <c r="BO18">
        <v>2.89</v>
      </c>
      <c r="BP18" s="3">
        <v>876463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46076.977824074071</v>
      </c>
      <c r="D19">
        <v>337</v>
      </c>
      <c r="E19" t="s">
        <v>13</v>
      </c>
      <c r="F19">
        <v>0</v>
      </c>
      <c r="G19">
        <v>6.0819999999999999</v>
      </c>
      <c r="H19" s="3">
        <v>12760</v>
      </c>
      <c r="I19">
        <v>2.9000000000000001E-2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46076.977824074071</v>
      </c>
      <c r="R19">
        <v>337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46076.977824074071</v>
      </c>
      <c r="AF19">
        <v>337</v>
      </c>
      <c r="AG19" t="s">
        <v>13</v>
      </c>
      <c r="AH19">
        <v>0</v>
      </c>
      <c r="AI19">
        <v>12.369</v>
      </c>
      <c r="AJ19" s="3">
        <v>10775</v>
      </c>
      <c r="AK19">
        <v>2.2669999999999999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10">
        <v>55</v>
      </c>
      <c r="AT19" s="16">
        <f t="shared" si="10"/>
        <v>37.3584989712</v>
      </c>
      <c r="AU19" s="17">
        <f t="shared" si="11"/>
        <v>2313.7704423312503</v>
      </c>
      <c r="AW19" s="6">
        <f t="shared" si="12"/>
        <v>27.477366670495996</v>
      </c>
      <c r="AX19" s="7">
        <f t="shared" si="13"/>
        <v>2120.5296120500002</v>
      </c>
      <c r="AZ19" s="11">
        <f t="shared" si="14"/>
        <v>28.151916644799996</v>
      </c>
      <c r="BA19" s="12">
        <f t="shared" si="15"/>
        <v>2554.4265049374999</v>
      </c>
      <c r="BC19" s="13">
        <f t="shared" si="16"/>
        <v>32.62321827712001</v>
      </c>
      <c r="BD19" s="14">
        <f t="shared" si="17"/>
        <v>2236.0321826250001</v>
      </c>
      <c r="BF19" s="16">
        <f t="shared" si="18"/>
        <v>37.3584989712</v>
      </c>
      <c r="BG19" s="17">
        <f t="shared" si="19"/>
        <v>2313.7704423312503</v>
      </c>
      <c r="BI19">
        <v>55</v>
      </c>
      <c r="BJ19" t="s">
        <v>45</v>
      </c>
      <c r="BK19" s="2">
        <v>46076.977824074071</v>
      </c>
      <c r="BL19">
        <v>337</v>
      </c>
      <c r="BM19" t="s">
        <v>13</v>
      </c>
      <c r="BN19">
        <v>0</v>
      </c>
      <c r="BO19">
        <v>2.891</v>
      </c>
      <c r="BP19" s="3">
        <v>844495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46076.999050925922</v>
      </c>
      <c r="D20">
        <v>339</v>
      </c>
      <c r="E20" t="s">
        <v>13</v>
      </c>
      <c r="F20">
        <v>0</v>
      </c>
      <c r="G20">
        <v>6.109</v>
      </c>
      <c r="H20" s="3">
        <v>1829</v>
      </c>
      <c r="I20">
        <v>5.0000000000000001E-3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46076.999050925922</v>
      </c>
      <c r="R20">
        <v>339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46076.999050925922</v>
      </c>
      <c r="AF20">
        <v>339</v>
      </c>
      <c r="AG20" t="s">
        <v>13</v>
      </c>
      <c r="AH20">
        <v>0</v>
      </c>
      <c r="AI20">
        <v>12.385</v>
      </c>
      <c r="AJ20" s="3">
        <v>6701</v>
      </c>
      <c r="AK20">
        <v>1.373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10">
        <v>56</v>
      </c>
      <c r="AT20" s="16">
        <f t="shared" si="10"/>
        <v>3.1279891318129991</v>
      </c>
      <c r="AU20" s="17">
        <f t="shared" si="11"/>
        <v>1389.6142901129301</v>
      </c>
      <c r="AW20" s="6">
        <f t="shared" si="12"/>
        <v>0.20809561729999992</v>
      </c>
      <c r="AX20" s="7">
        <f t="shared" si="13"/>
        <v>1280.2507652064801</v>
      </c>
      <c r="AZ20" s="11">
        <f t="shared" si="14"/>
        <v>5.8112451400000005</v>
      </c>
      <c r="BA20" s="12">
        <f t="shared" si="15"/>
        <v>1592.8435588038999</v>
      </c>
      <c r="BC20" s="13">
        <f t="shared" si="16"/>
        <v>0.86668407073999987</v>
      </c>
      <c r="BD20" s="14">
        <f t="shared" si="17"/>
        <v>1405.1197766201999</v>
      </c>
      <c r="BF20" s="16">
        <f t="shared" si="18"/>
        <v>3.1279891318129991</v>
      </c>
      <c r="BG20" s="17">
        <f t="shared" si="19"/>
        <v>1389.6142901129301</v>
      </c>
      <c r="BI20">
        <v>56</v>
      </c>
      <c r="BJ20" t="s">
        <v>46</v>
      </c>
      <c r="BK20" s="2">
        <v>46076.999050925922</v>
      </c>
      <c r="BL20">
        <v>339</v>
      </c>
      <c r="BM20" t="s">
        <v>13</v>
      </c>
      <c r="BN20">
        <v>0</v>
      </c>
      <c r="BO20">
        <v>2.883</v>
      </c>
      <c r="BP20" s="3">
        <v>990511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46077.020277777781</v>
      </c>
      <c r="D21">
        <v>285</v>
      </c>
      <c r="E21" t="s">
        <v>13</v>
      </c>
      <c r="F21">
        <v>0</v>
      </c>
      <c r="G21">
        <v>6.09</v>
      </c>
      <c r="H21" s="3">
        <v>13993</v>
      </c>
      <c r="I21">
        <v>3.2000000000000001E-2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46077.020277777781</v>
      </c>
      <c r="R21">
        <v>285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46077.020277777781</v>
      </c>
      <c r="AF21">
        <v>285</v>
      </c>
      <c r="AG21" t="s">
        <v>13</v>
      </c>
      <c r="AH21">
        <v>0</v>
      </c>
      <c r="AI21">
        <v>12.382999999999999</v>
      </c>
      <c r="AJ21" s="3">
        <v>9473</v>
      </c>
      <c r="AK21">
        <v>1.9810000000000001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10">
        <v>57</v>
      </c>
      <c r="AT21" s="16">
        <f t="shared" si="10"/>
        <v>40.656729535113001</v>
      </c>
      <c r="AU21" s="17">
        <f t="shared" si="11"/>
        <v>2018.59866963797</v>
      </c>
      <c r="AW21" s="6">
        <f t="shared" si="12"/>
        <v>30.369793941893541</v>
      </c>
      <c r="AX21" s="7">
        <f t="shared" si="13"/>
        <v>1852.07899315592</v>
      </c>
      <c r="AZ21" s="11">
        <f t="shared" si="14"/>
        <v>31.851916014727003</v>
      </c>
      <c r="BA21" s="12">
        <f t="shared" si="15"/>
        <v>2248.7626218031</v>
      </c>
      <c r="BC21" s="13">
        <f t="shared" si="16"/>
        <v>36.188158790648806</v>
      </c>
      <c r="BD21" s="14">
        <f t="shared" si="17"/>
        <v>1970.6986838057999</v>
      </c>
      <c r="BF21" s="16">
        <f t="shared" si="18"/>
        <v>40.656729535113001</v>
      </c>
      <c r="BG21" s="17">
        <f t="shared" si="19"/>
        <v>2018.59866963797</v>
      </c>
      <c r="BI21">
        <v>57</v>
      </c>
      <c r="BJ21" t="s">
        <v>47</v>
      </c>
      <c r="BK21" s="2">
        <v>46077.020277777781</v>
      </c>
      <c r="BL21">
        <v>285</v>
      </c>
      <c r="BM21" t="s">
        <v>13</v>
      </c>
      <c r="BN21">
        <v>0</v>
      </c>
      <c r="BO21">
        <v>2.8959999999999999</v>
      </c>
      <c r="BP21" s="3">
        <v>893747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46077.041481481479</v>
      </c>
      <c r="D22">
        <v>177</v>
      </c>
      <c r="E22" t="s">
        <v>13</v>
      </c>
      <c r="F22">
        <v>0</v>
      </c>
      <c r="G22">
        <v>6.0890000000000004</v>
      </c>
      <c r="H22" s="3">
        <v>12188</v>
      </c>
      <c r="I22">
        <v>2.8000000000000001E-2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46077.041481481479</v>
      </c>
      <c r="R22">
        <v>177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46077.041481481479</v>
      </c>
      <c r="AF22">
        <v>177</v>
      </c>
      <c r="AG22" t="s">
        <v>13</v>
      </c>
      <c r="AH22">
        <v>0</v>
      </c>
      <c r="AI22">
        <v>12.38</v>
      </c>
      <c r="AJ22" s="3">
        <v>7883</v>
      </c>
      <c r="AK22">
        <v>1.633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10">
        <v>58</v>
      </c>
      <c r="AT22" s="16">
        <f t="shared" si="10"/>
        <v>35.828148048528</v>
      </c>
      <c r="AU22" s="17">
        <f t="shared" si="11"/>
        <v>1657.9098073207701</v>
      </c>
      <c r="AW22" s="6">
        <f t="shared" si="12"/>
        <v>26.135459996914236</v>
      </c>
      <c r="AX22" s="7">
        <f t="shared" si="13"/>
        <v>1524.1302440967199</v>
      </c>
      <c r="AZ22" s="11">
        <f t="shared" si="14"/>
        <v>26.433824838512002</v>
      </c>
      <c r="BA22" s="12">
        <f t="shared" si="15"/>
        <v>1873.3891756471</v>
      </c>
      <c r="BC22" s="13">
        <f t="shared" si="16"/>
        <v>30.969111527052803</v>
      </c>
      <c r="BD22" s="14">
        <f t="shared" si="17"/>
        <v>1646.3989269977999</v>
      </c>
      <c r="BF22" s="16">
        <f t="shared" si="18"/>
        <v>35.828148048528</v>
      </c>
      <c r="BG22" s="17">
        <f t="shared" si="19"/>
        <v>1657.9098073207701</v>
      </c>
      <c r="BI22">
        <v>58</v>
      </c>
      <c r="BJ22" t="s">
        <v>48</v>
      </c>
      <c r="BK22" s="2">
        <v>46077.041481481479</v>
      </c>
      <c r="BL22">
        <v>177</v>
      </c>
      <c r="BM22" t="s">
        <v>13</v>
      </c>
      <c r="BN22">
        <v>0</v>
      </c>
      <c r="BO22">
        <v>2.9</v>
      </c>
      <c r="BP22" s="3">
        <v>835090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46077.062708333331</v>
      </c>
      <c r="D23">
        <v>111</v>
      </c>
      <c r="E23" t="s">
        <v>13</v>
      </c>
      <c r="F23">
        <v>0</v>
      </c>
      <c r="G23">
        <v>6.0819999999999999</v>
      </c>
      <c r="H23" s="3">
        <v>14510</v>
      </c>
      <c r="I23">
        <v>3.3000000000000002E-2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46077.062708333331</v>
      </c>
      <c r="R23">
        <v>111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46077.062708333331</v>
      </c>
      <c r="AF23">
        <v>111</v>
      </c>
      <c r="AG23" t="s">
        <v>13</v>
      </c>
      <c r="AH23">
        <v>0</v>
      </c>
      <c r="AI23">
        <v>12.37</v>
      </c>
      <c r="AJ23" s="3">
        <v>9528</v>
      </c>
      <c r="AK23">
        <v>1.9930000000000001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10">
        <v>59</v>
      </c>
      <c r="AT23" s="16">
        <f t="shared" si="10"/>
        <v>42.039447953699998</v>
      </c>
      <c r="AU23" s="17">
        <f t="shared" si="11"/>
        <v>2031.0708887891201</v>
      </c>
      <c r="AW23" s="6">
        <f t="shared" si="12"/>
        <v>31.582523100346002</v>
      </c>
      <c r="AX23" s="7">
        <f t="shared" si="13"/>
        <v>1863.42082335232</v>
      </c>
      <c r="AZ23" s="11">
        <f t="shared" si="14"/>
        <v>33.401908262299997</v>
      </c>
      <c r="BA23" s="12">
        <f t="shared" si="15"/>
        <v>2261.7059722176</v>
      </c>
      <c r="BC23" s="13">
        <f t="shared" si="16"/>
        <v>37.682686019119998</v>
      </c>
      <c r="BD23" s="14">
        <f t="shared" si="17"/>
        <v>1981.9111895167996</v>
      </c>
      <c r="BF23" s="16">
        <f t="shared" si="18"/>
        <v>42.039447953699998</v>
      </c>
      <c r="BG23" s="17">
        <f t="shared" si="19"/>
        <v>2031.0708887891201</v>
      </c>
      <c r="BI23">
        <v>59</v>
      </c>
      <c r="BJ23" t="s">
        <v>49</v>
      </c>
      <c r="BK23" s="2">
        <v>46077.062708333331</v>
      </c>
      <c r="BL23">
        <v>111</v>
      </c>
      <c r="BM23" t="s">
        <v>13</v>
      </c>
      <c r="BN23">
        <v>0</v>
      </c>
      <c r="BO23">
        <v>2.891</v>
      </c>
      <c r="BP23" s="3">
        <v>852650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46077.083912037036</v>
      </c>
      <c r="D24">
        <v>143</v>
      </c>
      <c r="E24" t="s">
        <v>13</v>
      </c>
      <c r="F24">
        <v>0</v>
      </c>
      <c r="G24">
        <v>6.08</v>
      </c>
      <c r="H24" s="3">
        <v>13927</v>
      </c>
      <c r="I24">
        <v>3.2000000000000001E-2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46077.083912037036</v>
      </c>
      <c r="R24">
        <v>143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46077.083912037036</v>
      </c>
      <c r="AF24">
        <v>143</v>
      </c>
      <c r="AG24" t="s">
        <v>13</v>
      </c>
      <c r="AH24">
        <v>0</v>
      </c>
      <c r="AI24">
        <v>12.371</v>
      </c>
      <c r="AJ24" s="3">
        <v>9610</v>
      </c>
      <c r="AK24">
        <v>2.0110000000000001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10">
        <v>60</v>
      </c>
      <c r="AT24" s="16">
        <f t="shared" si="10"/>
        <v>40.480202170473</v>
      </c>
      <c r="AU24" s="17">
        <f t="shared" si="11"/>
        <v>2049.6652824530001</v>
      </c>
      <c r="AW24" s="6">
        <f t="shared" si="12"/>
        <v>30.214974354562337</v>
      </c>
      <c r="AX24" s="7">
        <f t="shared" si="13"/>
        <v>1880.3301744079999</v>
      </c>
      <c r="AZ24" s="11">
        <f t="shared" si="14"/>
        <v>31.653983984167006</v>
      </c>
      <c r="BA24" s="12">
        <f t="shared" si="15"/>
        <v>2280.9982071900004</v>
      </c>
      <c r="BC24" s="13">
        <f t="shared" si="16"/>
        <v>35.997356968184803</v>
      </c>
      <c r="BD24" s="14">
        <f t="shared" si="17"/>
        <v>1998.6273444199999</v>
      </c>
      <c r="BF24" s="16">
        <f t="shared" si="18"/>
        <v>40.480202170473</v>
      </c>
      <c r="BG24" s="17">
        <f t="shared" si="19"/>
        <v>2049.6652824530001</v>
      </c>
      <c r="BI24">
        <v>60</v>
      </c>
      <c r="BJ24" t="s">
        <v>50</v>
      </c>
      <c r="BK24" s="2">
        <v>46077.083912037036</v>
      </c>
      <c r="BL24">
        <v>143</v>
      </c>
      <c r="BM24" t="s">
        <v>13</v>
      </c>
      <c r="BN24">
        <v>0</v>
      </c>
      <c r="BO24">
        <v>2.8889999999999998</v>
      </c>
      <c r="BP24" s="3">
        <v>891464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46077.105127314811</v>
      </c>
      <c r="D25">
        <v>181</v>
      </c>
      <c r="E25" t="s">
        <v>13</v>
      </c>
      <c r="F25">
        <v>0</v>
      </c>
      <c r="G25">
        <v>6.0880000000000001</v>
      </c>
      <c r="H25" s="3">
        <v>14884</v>
      </c>
      <c r="I25">
        <v>3.4000000000000002E-2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46077.105127314811</v>
      </c>
      <c r="R25">
        <v>181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46077.105127314811</v>
      </c>
      <c r="AF25">
        <v>181</v>
      </c>
      <c r="AG25" t="s">
        <v>13</v>
      </c>
      <c r="AH25">
        <v>0</v>
      </c>
      <c r="AI25">
        <v>12.375999999999999</v>
      </c>
      <c r="AJ25" s="3">
        <v>10641</v>
      </c>
      <c r="AK25">
        <v>2.2370000000000001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10">
        <v>61</v>
      </c>
      <c r="AT25" s="16">
        <f t="shared" si="10"/>
        <v>43.039624701072</v>
      </c>
      <c r="AU25" s="17">
        <f t="shared" si="11"/>
        <v>2283.39946066933</v>
      </c>
      <c r="AW25" s="6">
        <f t="shared" si="12"/>
        <v>32.459789695453757</v>
      </c>
      <c r="AX25" s="7">
        <f t="shared" si="13"/>
        <v>2092.90504791688</v>
      </c>
      <c r="AZ25" s="11">
        <f t="shared" si="14"/>
        <v>34.522653739888</v>
      </c>
      <c r="BA25" s="12">
        <f t="shared" si="15"/>
        <v>2523.0393951759002</v>
      </c>
      <c r="BC25" s="13">
        <f t="shared" si="16"/>
        <v>38.763737137907199</v>
      </c>
      <c r="BD25" s="14">
        <f t="shared" si="17"/>
        <v>2208.7337933161998</v>
      </c>
      <c r="BF25" s="16">
        <f t="shared" si="18"/>
        <v>43.039624701072</v>
      </c>
      <c r="BG25" s="17">
        <f t="shared" si="19"/>
        <v>2283.39946066933</v>
      </c>
      <c r="BI25">
        <v>61</v>
      </c>
      <c r="BJ25" t="s">
        <v>51</v>
      </c>
      <c r="BK25" s="2">
        <v>46077.105127314811</v>
      </c>
      <c r="BL25">
        <v>181</v>
      </c>
      <c r="BM25" t="s">
        <v>13</v>
      </c>
      <c r="BN25">
        <v>0</v>
      </c>
      <c r="BO25">
        <v>2.895</v>
      </c>
      <c r="BP25" s="3">
        <v>888366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46077.12636574074</v>
      </c>
      <c r="D26">
        <v>173</v>
      </c>
      <c r="E26" t="s">
        <v>13</v>
      </c>
      <c r="F26">
        <v>0</v>
      </c>
      <c r="G26">
        <v>6.08</v>
      </c>
      <c r="H26" s="3">
        <v>14541</v>
      </c>
      <c r="I26">
        <v>3.3000000000000002E-2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46077.12636574074</v>
      </c>
      <c r="R26">
        <v>173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46077.12636574074</v>
      </c>
      <c r="AF26">
        <v>173</v>
      </c>
      <c r="AG26" t="s">
        <v>13</v>
      </c>
      <c r="AH26">
        <v>0</v>
      </c>
      <c r="AI26">
        <v>12.372999999999999</v>
      </c>
      <c r="AJ26" s="3">
        <v>9247</v>
      </c>
      <c r="AK26">
        <v>1.9319999999999999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10">
        <v>62</v>
      </c>
      <c r="AT26" s="16">
        <f t="shared" si="10"/>
        <v>42.122353100897001</v>
      </c>
      <c r="AU26" s="17">
        <f t="shared" si="11"/>
        <v>1967.3460710683703</v>
      </c>
      <c r="AW26" s="6">
        <f t="shared" si="12"/>
        <v>31.655238567552253</v>
      </c>
      <c r="AX26" s="7">
        <f t="shared" si="13"/>
        <v>1805.4727611303199</v>
      </c>
      <c r="AZ26" s="11">
        <f t="shared" si="14"/>
        <v>33.494821046063002</v>
      </c>
      <c r="BA26" s="12">
        <f t="shared" si="15"/>
        <v>2195.5482531951002</v>
      </c>
      <c r="BC26" s="13">
        <f t="shared" si="16"/>
        <v>37.772294931327203</v>
      </c>
      <c r="BD26" s="14">
        <f t="shared" si="17"/>
        <v>1924.6216808617999</v>
      </c>
      <c r="BF26" s="16">
        <f t="shared" si="18"/>
        <v>42.122353100897001</v>
      </c>
      <c r="BG26" s="17">
        <f t="shared" si="19"/>
        <v>1967.3460710683703</v>
      </c>
      <c r="BI26">
        <v>62</v>
      </c>
      <c r="BJ26" t="s">
        <v>52</v>
      </c>
      <c r="BK26" s="2">
        <v>46077.12636574074</v>
      </c>
      <c r="BL26">
        <v>173</v>
      </c>
      <c r="BM26" t="s">
        <v>13</v>
      </c>
      <c r="BN26">
        <v>0</v>
      </c>
      <c r="BO26">
        <v>2.8769999999999998</v>
      </c>
      <c r="BP26" s="3">
        <v>1123666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53</v>
      </c>
      <c r="C27" s="2">
        <v>46077.147569444445</v>
      </c>
      <c r="D27">
        <v>15</v>
      </c>
      <c r="E27" t="s">
        <v>13</v>
      </c>
      <c r="F27">
        <v>0</v>
      </c>
      <c r="G27">
        <v>6.0810000000000004</v>
      </c>
      <c r="H27" s="3">
        <v>13154</v>
      </c>
      <c r="I27">
        <v>0.03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46077.147569444445</v>
      </c>
      <c r="R27">
        <v>15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46077.147569444445</v>
      </c>
      <c r="AF27">
        <v>15</v>
      </c>
      <c r="AG27" t="s">
        <v>13</v>
      </c>
      <c r="AH27">
        <v>0</v>
      </c>
      <c r="AI27">
        <v>12.375999999999999</v>
      </c>
      <c r="AJ27" s="3">
        <v>8615</v>
      </c>
      <c r="AK27">
        <v>1.7929999999999999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10">
        <v>63</v>
      </c>
      <c r="AT27" s="16">
        <f t="shared" si="10"/>
        <v>38.412521710691998</v>
      </c>
      <c r="AU27" s="17">
        <f t="shared" si="11"/>
        <v>1823.9936116992501</v>
      </c>
      <c r="AW27" s="6">
        <f t="shared" si="12"/>
        <v>28.401656347753359</v>
      </c>
      <c r="AX27" s="7">
        <f t="shared" si="13"/>
        <v>1675.1264508979998</v>
      </c>
      <c r="AZ27" s="11">
        <f t="shared" si="14"/>
        <v>29.334757291868002</v>
      </c>
      <c r="BA27" s="12">
        <f t="shared" si="15"/>
        <v>2046.4890675774998</v>
      </c>
      <c r="BC27" s="13">
        <f t="shared" si="16"/>
        <v>33.7624755956192</v>
      </c>
      <c r="BD27" s="14">
        <f t="shared" si="17"/>
        <v>1795.7367501449996</v>
      </c>
      <c r="BF27" s="16">
        <f t="shared" si="18"/>
        <v>38.412521710691998</v>
      </c>
      <c r="BG27" s="17">
        <f t="shared" si="19"/>
        <v>1823.9936116992501</v>
      </c>
      <c r="BI27">
        <v>63</v>
      </c>
      <c r="BJ27" t="s">
        <v>53</v>
      </c>
      <c r="BK27" s="2">
        <v>46077.147569444445</v>
      </c>
      <c r="BL27">
        <v>15</v>
      </c>
      <c r="BM27" t="s">
        <v>13</v>
      </c>
      <c r="BN27">
        <v>0</v>
      </c>
      <c r="BO27">
        <v>2.8820000000000001</v>
      </c>
      <c r="BP27" s="3">
        <v>1031164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54</v>
      </c>
      <c r="C28" s="2">
        <v>46077.168819444443</v>
      </c>
      <c r="D28">
        <v>166</v>
      </c>
      <c r="E28" t="s">
        <v>13</v>
      </c>
      <c r="F28">
        <v>0</v>
      </c>
      <c r="G28">
        <v>6.1079999999999997</v>
      </c>
      <c r="H28" s="3">
        <v>1791</v>
      </c>
      <c r="I28">
        <v>4.0000000000000001E-3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46077.168819444443</v>
      </c>
      <c r="R28">
        <v>166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46077.168819444443</v>
      </c>
      <c r="AF28">
        <v>166</v>
      </c>
      <c r="AG28" t="s">
        <v>13</v>
      </c>
      <c r="AH28">
        <v>0</v>
      </c>
      <c r="AI28">
        <v>12.379</v>
      </c>
      <c r="AJ28" s="3">
        <v>6314</v>
      </c>
      <c r="AK28">
        <v>1.2889999999999999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10">
        <v>64</v>
      </c>
      <c r="AT28" s="16">
        <f t="shared" si="10"/>
        <v>2.9945048347330001</v>
      </c>
      <c r="AU28" s="17">
        <f t="shared" si="11"/>
        <v>1301.74154613428</v>
      </c>
      <c r="AW28" s="6">
        <f t="shared" si="12"/>
        <v>0.15638194930000004</v>
      </c>
      <c r="AX28" s="7">
        <f t="shared" si="13"/>
        <v>1200.3864044700799</v>
      </c>
      <c r="AZ28" s="11">
        <f t="shared" si="14"/>
        <v>5.918032740000001</v>
      </c>
      <c r="BA28" s="12">
        <f t="shared" si="15"/>
        <v>1500.7128455643999</v>
      </c>
      <c r="BC28" s="13">
        <f t="shared" si="16"/>
        <v>0.76560989233999965</v>
      </c>
      <c r="BD28" s="14">
        <f t="shared" si="17"/>
        <v>1326.0859775591998</v>
      </c>
      <c r="BF28" s="16">
        <f t="shared" si="18"/>
        <v>2.9945048347330001</v>
      </c>
      <c r="BG28" s="17">
        <f t="shared" si="19"/>
        <v>1301.74154613428</v>
      </c>
      <c r="BI28">
        <v>64</v>
      </c>
      <c r="BJ28" t="s">
        <v>54</v>
      </c>
      <c r="BK28" s="2">
        <v>46077.168819444443</v>
      </c>
      <c r="BL28">
        <v>166</v>
      </c>
      <c r="BM28" t="s">
        <v>13</v>
      </c>
      <c r="BN28">
        <v>0</v>
      </c>
      <c r="BO28">
        <v>2.8860000000000001</v>
      </c>
      <c r="BP28" s="3">
        <v>954679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55</v>
      </c>
      <c r="C29" s="2">
        <v>46077.190069444441</v>
      </c>
      <c r="D29">
        <v>217</v>
      </c>
      <c r="E29" t="s">
        <v>13</v>
      </c>
      <c r="F29">
        <v>0</v>
      </c>
      <c r="G29">
        <v>6.0830000000000002</v>
      </c>
      <c r="H29" s="3">
        <v>15662</v>
      </c>
      <c r="I29">
        <v>3.5999999999999997E-2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46077.190069444441</v>
      </c>
      <c r="R29">
        <v>217</v>
      </c>
      <c r="S29" t="s">
        <v>13</v>
      </c>
      <c r="T29">
        <v>0</v>
      </c>
      <c r="U29" t="s">
        <v>14</v>
      </c>
      <c r="V29" s="3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46077.190069444441</v>
      </c>
      <c r="AF29">
        <v>217</v>
      </c>
      <c r="AG29" t="s">
        <v>13</v>
      </c>
      <c r="AH29">
        <v>0</v>
      </c>
      <c r="AI29">
        <v>12.375999999999999</v>
      </c>
      <c r="AJ29" s="3">
        <v>10765</v>
      </c>
      <c r="AK29" s="15">
        <v>2.2639999999999998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10">
        <v>65</v>
      </c>
      <c r="AT29" s="16">
        <f t="shared" si="10"/>
        <v>45.119970561827998</v>
      </c>
      <c r="AU29" s="17">
        <f t="shared" si="11"/>
        <v>2311.5040120092503</v>
      </c>
      <c r="AW29" s="6">
        <f t="shared" si="12"/>
        <v>34.284619679428239</v>
      </c>
      <c r="AX29" s="7">
        <f t="shared" si="13"/>
        <v>2118.4681090580002</v>
      </c>
      <c r="AZ29" s="11">
        <f t="shared" si="14"/>
        <v>36.852630669211997</v>
      </c>
      <c r="BA29" s="12">
        <f t="shared" si="15"/>
        <v>2552.0847488775003</v>
      </c>
      <c r="BC29" s="13">
        <f t="shared" si="16"/>
        <v>41.012295867132806</v>
      </c>
      <c r="BD29" s="14">
        <f t="shared" si="17"/>
        <v>2233.9950635449995</v>
      </c>
      <c r="BF29" s="16">
        <f t="shared" si="18"/>
        <v>45.119970561827998</v>
      </c>
      <c r="BG29" s="17">
        <f t="shared" si="19"/>
        <v>2311.5040120092503</v>
      </c>
      <c r="BI29">
        <v>65</v>
      </c>
      <c r="BJ29" t="s">
        <v>55</v>
      </c>
      <c r="BK29" s="2">
        <v>46077.190069444441</v>
      </c>
      <c r="BL29">
        <v>217</v>
      </c>
      <c r="BM29" t="s">
        <v>13</v>
      </c>
      <c r="BN29">
        <v>0</v>
      </c>
      <c r="BO29">
        <v>2.8849999999999998</v>
      </c>
      <c r="BP29" s="3">
        <v>977459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A30">
        <v>66</v>
      </c>
      <c r="B30" t="s">
        <v>56</v>
      </c>
      <c r="C30" s="2">
        <v>46077.21130787037</v>
      </c>
      <c r="D30">
        <v>76</v>
      </c>
      <c r="E30" t="s">
        <v>13</v>
      </c>
      <c r="F30">
        <v>0</v>
      </c>
      <c r="G30">
        <v>6.0819999999999999</v>
      </c>
      <c r="H30" s="3">
        <v>13756</v>
      </c>
      <c r="I30">
        <v>3.1E-2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56</v>
      </c>
      <c r="Q30" s="2">
        <v>46077.21130787037</v>
      </c>
      <c r="R30">
        <v>76</v>
      </c>
      <c r="S30" t="s">
        <v>13</v>
      </c>
      <c r="T30">
        <v>0</v>
      </c>
      <c r="U30" t="s">
        <v>14</v>
      </c>
      <c r="V30" t="s">
        <v>14</v>
      </c>
      <c r="W30" t="s">
        <v>14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56</v>
      </c>
      <c r="AE30" s="2">
        <v>46077.21130787037</v>
      </c>
      <c r="AF30">
        <v>76</v>
      </c>
      <c r="AG30" t="s">
        <v>13</v>
      </c>
      <c r="AH30">
        <v>0</v>
      </c>
      <c r="AI30">
        <v>12.377000000000001</v>
      </c>
      <c r="AJ30" s="3">
        <v>11058</v>
      </c>
      <c r="AK30">
        <v>2.3279999999999998</v>
      </c>
      <c r="AL30" t="s">
        <v>14</v>
      </c>
      <c r="AM30" t="s">
        <v>14</v>
      </c>
      <c r="AN30" t="s">
        <v>14</v>
      </c>
      <c r="AO30" t="s">
        <v>14</v>
      </c>
      <c r="AQ30">
        <v>1</v>
      </c>
      <c r="AS30" s="10">
        <v>66</v>
      </c>
      <c r="AT30" s="16">
        <f t="shared" si="10"/>
        <v>40.022825158031999</v>
      </c>
      <c r="AU30" s="17">
        <f t="shared" si="11"/>
        <v>2377.9063516085203</v>
      </c>
      <c r="AW30" s="6">
        <f t="shared" si="12"/>
        <v>29.813847614250555</v>
      </c>
      <c r="AX30" s="7">
        <f t="shared" si="13"/>
        <v>2178.8680306307201</v>
      </c>
      <c r="AZ30" s="11">
        <f t="shared" si="14"/>
        <v>31.141096175728002</v>
      </c>
      <c r="BA30" s="12">
        <f t="shared" si="15"/>
        <v>2620.6603820796004</v>
      </c>
      <c r="BC30" s="13">
        <f t="shared" si="16"/>
        <v>35.502995087603203</v>
      </c>
      <c r="BD30" s="14">
        <f t="shared" si="17"/>
        <v>2293.6776940328</v>
      </c>
      <c r="BF30" s="16">
        <f t="shared" si="18"/>
        <v>40.022825158031999</v>
      </c>
      <c r="BG30" s="17">
        <f t="shared" si="19"/>
        <v>2377.9063516085203</v>
      </c>
      <c r="BI30">
        <v>66</v>
      </c>
      <c r="BJ30" t="s">
        <v>56</v>
      </c>
      <c r="BK30" s="2">
        <v>46077.21130787037</v>
      </c>
      <c r="BL30">
        <v>76</v>
      </c>
      <c r="BM30" t="s">
        <v>13</v>
      </c>
      <c r="BN30">
        <v>0</v>
      </c>
      <c r="BO30">
        <v>2.8849999999999998</v>
      </c>
      <c r="BP30" s="3">
        <v>966421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35">
      <c r="A31">
        <v>67</v>
      </c>
      <c r="B31" t="s">
        <v>57</v>
      </c>
      <c r="C31" s="2">
        <v>46077.232546296298</v>
      </c>
      <c r="D31">
        <v>26</v>
      </c>
      <c r="E31" t="s">
        <v>13</v>
      </c>
      <c r="F31">
        <v>0</v>
      </c>
      <c r="G31">
        <v>6.085</v>
      </c>
      <c r="H31" s="3">
        <v>7662</v>
      </c>
      <c r="I31">
        <v>1.7999999999999999E-2</v>
      </c>
      <c r="J31" t="s">
        <v>14</v>
      </c>
      <c r="K31" t="s">
        <v>14</v>
      </c>
      <c r="L31" t="s">
        <v>14</v>
      </c>
      <c r="M31" t="s">
        <v>14</v>
      </c>
      <c r="O31">
        <v>67</v>
      </c>
      <c r="P31" t="s">
        <v>57</v>
      </c>
      <c r="Q31" s="2">
        <v>46077.232546296298</v>
      </c>
      <c r="R31">
        <v>26</v>
      </c>
      <c r="S31" t="s">
        <v>13</v>
      </c>
      <c r="T31">
        <v>0</v>
      </c>
      <c r="U31" t="s">
        <v>14</v>
      </c>
      <c r="V31" t="s">
        <v>14</v>
      </c>
      <c r="W31" t="s">
        <v>14</v>
      </c>
      <c r="X31" t="s">
        <v>14</v>
      </c>
      <c r="Y31" t="s">
        <v>14</v>
      </c>
      <c r="Z31" t="s">
        <v>14</v>
      </c>
      <c r="AA31" t="s">
        <v>14</v>
      </c>
      <c r="AC31">
        <v>67</v>
      </c>
      <c r="AD31" t="s">
        <v>57</v>
      </c>
      <c r="AE31" s="2">
        <v>46077.232546296298</v>
      </c>
      <c r="AF31">
        <v>26</v>
      </c>
      <c r="AG31" t="s">
        <v>13</v>
      </c>
      <c r="AH31">
        <v>0</v>
      </c>
      <c r="AI31">
        <v>12.372999999999999</v>
      </c>
      <c r="AJ31" s="3">
        <v>9420</v>
      </c>
      <c r="AK31">
        <v>1.9690000000000001</v>
      </c>
      <c r="AL31" t="s">
        <v>14</v>
      </c>
      <c r="AM31" t="s">
        <v>14</v>
      </c>
      <c r="AN31" t="s">
        <v>14</v>
      </c>
      <c r="AO31" t="s">
        <v>14</v>
      </c>
      <c r="AQ31">
        <v>1</v>
      </c>
      <c r="AS31" s="10">
        <v>67</v>
      </c>
      <c r="AT31" s="16">
        <f t="shared" si="10"/>
        <v>23.908676130292001</v>
      </c>
      <c r="AU31" s="17">
        <f t="shared" si="11"/>
        <v>2006.5797048520003</v>
      </c>
      <c r="AW31" s="6">
        <f t="shared" si="12"/>
        <v>13.122021053200001</v>
      </c>
      <c r="AX31" s="7">
        <f t="shared" si="13"/>
        <v>1841.1494470719999</v>
      </c>
      <c r="AZ31" s="11">
        <f t="shared" si="14"/>
        <v>7.9119417599999995</v>
      </c>
      <c r="BA31" s="12">
        <f t="shared" si="15"/>
        <v>2236.2873279600003</v>
      </c>
      <c r="BC31" s="13">
        <f t="shared" si="16"/>
        <v>18.338360782159999</v>
      </c>
      <c r="BD31" s="14">
        <f t="shared" si="17"/>
        <v>1959.8935632799999</v>
      </c>
      <c r="BF31" s="16">
        <f t="shared" si="18"/>
        <v>23.908676130292001</v>
      </c>
      <c r="BG31" s="17">
        <f t="shared" si="19"/>
        <v>2006.5797048520003</v>
      </c>
      <c r="BI31">
        <v>67</v>
      </c>
      <c r="BJ31" t="s">
        <v>57</v>
      </c>
      <c r="BK31" s="2">
        <v>46077.232546296298</v>
      </c>
      <c r="BL31">
        <v>26</v>
      </c>
      <c r="BM31" t="s">
        <v>13</v>
      </c>
      <c r="BN31">
        <v>0</v>
      </c>
      <c r="BO31">
        <v>2.887</v>
      </c>
      <c r="BP31" s="3">
        <v>961487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35">
      <c r="C32" s="2"/>
      <c r="H32" s="3"/>
      <c r="Q32" s="2"/>
      <c r="V32" s="3"/>
      <c r="AE32" s="2"/>
      <c r="AJ32" s="3"/>
      <c r="AS32" s="10"/>
      <c r="AT32" s="16"/>
      <c r="AU32" s="17"/>
      <c r="AW32" s="6"/>
      <c r="AX32" s="7"/>
      <c r="AZ32" s="11"/>
      <c r="BA32" s="12"/>
      <c r="BC32" s="13"/>
      <c r="BD32" s="14"/>
      <c r="BF32" s="16"/>
      <c r="BG32" s="17"/>
      <c r="BK32" s="2"/>
      <c r="BP32" s="3"/>
    </row>
    <row r="33" spans="3:68" x14ac:dyDescent="0.35">
      <c r="C33" s="2"/>
      <c r="H33" s="3"/>
      <c r="Q33" s="2"/>
      <c r="V33" s="3"/>
      <c r="AE33" s="2"/>
      <c r="AJ33" s="3"/>
      <c r="AS33" s="10"/>
      <c r="AT33" s="16"/>
      <c r="AU33" s="17"/>
      <c r="AW33" s="6"/>
      <c r="AX33" s="7"/>
      <c r="AZ33" s="11"/>
      <c r="BA33" s="12"/>
      <c r="BC33" s="13"/>
      <c r="BD33" s="14"/>
      <c r="BF33" s="16"/>
      <c r="BG33" s="17"/>
      <c r="BK33" s="2"/>
      <c r="BP33" s="3"/>
    </row>
    <row r="34" spans="3:68" x14ac:dyDescent="0.35">
      <c r="C34" s="2"/>
      <c r="H34" s="3"/>
      <c r="Q34" s="2"/>
      <c r="AE34" s="2"/>
      <c r="AJ34" s="3"/>
      <c r="AS34" s="10"/>
      <c r="AT34" s="16"/>
      <c r="AU34" s="17"/>
      <c r="AW34" s="6"/>
      <c r="AX34" s="7"/>
      <c r="AZ34" s="11"/>
      <c r="BA34" s="12"/>
      <c r="BC34" s="13"/>
      <c r="BD34" s="14"/>
      <c r="BF34" s="16"/>
      <c r="BG34" s="17"/>
      <c r="BK34" s="2"/>
      <c r="BP34" s="3"/>
    </row>
    <row r="35" spans="3:68" x14ac:dyDescent="0.35">
      <c r="C35" s="2"/>
      <c r="H35" s="3"/>
      <c r="Q35" s="2"/>
      <c r="AE35" s="2"/>
      <c r="AS35" s="10"/>
      <c r="AT35" s="16"/>
      <c r="AU35" s="17"/>
      <c r="AW35" s="6"/>
      <c r="AX35" s="7"/>
      <c r="AZ35" s="11"/>
      <c r="BA35" s="12"/>
      <c r="BC35" s="13"/>
      <c r="BD35" s="14"/>
      <c r="BF35" s="16"/>
      <c r="BG35" s="17"/>
      <c r="BK35" s="2"/>
      <c r="BP35" s="3"/>
    </row>
    <row r="36" spans="3:68" x14ac:dyDescent="0.35">
      <c r="C36" s="2"/>
      <c r="H36" s="3"/>
      <c r="Q36" s="2"/>
      <c r="V36" s="3"/>
      <c r="AE36" s="2"/>
      <c r="AJ36" s="3"/>
      <c r="AS36" s="10"/>
      <c r="AT36" s="16"/>
      <c r="AU36" s="17"/>
      <c r="AW36" s="6"/>
      <c r="AX36" s="7"/>
      <c r="AZ36" s="11"/>
      <c r="BA36" s="12"/>
      <c r="BC36" s="13"/>
      <c r="BD36" s="14"/>
      <c r="BF36" s="16"/>
      <c r="BG36" s="17"/>
      <c r="BK36" s="2"/>
      <c r="BP36" s="3"/>
    </row>
    <row r="37" spans="3:68" x14ac:dyDescent="0.35">
      <c r="C37" s="2"/>
      <c r="H37" s="3"/>
      <c r="Q37" s="2"/>
      <c r="V37" s="3"/>
      <c r="AE37" s="2"/>
      <c r="AJ37" s="3"/>
      <c r="AS37" s="10"/>
      <c r="AT37" s="16"/>
      <c r="AU37" s="17"/>
      <c r="AW37" s="6"/>
      <c r="AX37" s="7"/>
      <c r="AZ37" s="11"/>
      <c r="BA37" s="12"/>
      <c r="BC37" s="13"/>
      <c r="BD37" s="14"/>
      <c r="BF37" s="16"/>
      <c r="BG37" s="17"/>
      <c r="BK37" s="2"/>
      <c r="BP37" s="3"/>
    </row>
    <row r="38" spans="3:68" x14ac:dyDescent="0.35">
      <c r="C38" s="2"/>
      <c r="H38" s="3"/>
      <c r="Q38" s="2"/>
      <c r="AE38" s="2"/>
      <c r="AJ38" s="3"/>
      <c r="AS38" s="10"/>
      <c r="AT38" s="16"/>
      <c r="AU38" s="17"/>
      <c r="AW38" s="6"/>
      <c r="AX38" s="7"/>
      <c r="AZ38" s="11"/>
      <c r="BA38" s="12"/>
      <c r="BC38" s="13"/>
      <c r="BD38" s="14"/>
      <c r="BF38" s="16"/>
      <c r="BG38" s="17"/>
      <c r="BK38" s="2"/>
      <c r="BP38" s="3"/>
    </row>
    <row r="39" spans="3:68" x14ac:dyDescent="0.35">
      <c r="C39" s="2"/>
      <c r="H39" s="3"/>
      <c r="Q39" s="2"/>
      <c r="V39" s="3"/>
      <c r="AE39" s="2"/>
      <c r="AJ39" s="3"/>
      <c r="AS39" s="10"/>
      <c r="AT39" s="16"/>
      <c r="AU39" s="17"/>
      <c r="AW39" s="6"/>
      <c r="AX39" s="7"/>
      <c r="AZ39" s="11"/>
      <c r="BA39" s="12"/>
      <c r="BC39" s="13"/>
      <c r="BD39" s="14"/>
      <c r="BF39" s="16"/>
      <c r="BG39" s="17"/>
      <c r="BK39" s="2"/>
      <c r="BP39" s="3"/>
    </row>
    <row r="40" spans="3:68" x14ac:dyDescent="0.35">
      <c r="C40" s="2"/>
      <c r="H40" s="3"/>
      <c r="Q40" s="2"/>
      <c r="AE40" s="2"/>
      <c r="AJ40" s="3"/>
      <c r="AS40" s="10"/>
      <c r="AT40" s="16"/>
      <c r="AU40" s="17"/>
      <c r="AW40" s="6"/>
      <c r="AX40" s="7"/>
      <c r="AZ40" s="11"/>
      <c r="BA40" s="12"/>
      <c r="BC40" s="13"/>
      <c r="BD40" s="14"/>
      <c r="BF40" s="16"/>
      <c r="BG40" s="17"/>
      <c r="BK40" s="2"/>
      <c r="BP40" s="3"/>
    </row>
    <row r="41" spans="3:68" x14ac:dyDescent="0.35">
      <c r="C41" s="2"/>
      <c r="H41" s="3"/>
      <c r="Q41" s="2"/>
      <c r="AE41" s="2"/>
      <c r="AJ41" s="3"/>
      <c r="AS41" s="10"/>
      <c r="AT41" s="16"/>
      <c r="AU41" s="17"/>
      <c r="AW41" s="6"/>
      <c r="AX41" s="7"/>
      <c r="AZ41" s="11"/>
      <c r="BA41" s="12"/>
      <c r="BC41" s="13"/>
      <c r="BD41" s="14"/>
      <c r="BF41" s="16"/>
      <c r="BG41" s="17"/>
      <c r="BK41" s="2"/>
      <c r="BP41" s="3"/>
    </row>
    <row r="42" spans="3:68" x14ac:dyDescent="0.35">
      <c r="C42" s="2"/>
      <c r="H42" s="3"/>
      <c r="Q42" s="2"/>
      <c r="AE42" s="2"/>
      <c r="AS42" s="10"/>
      <c r="AT42" s="16"/>
      <c r="AU42" s="17"/>
      <c r="AW42" s="6"/>
      <c r="AX42" s="7"/>
      <c r="AZ42" s="11"/>
      <c r="BA42" s="12"/>
      <c r="BC42" s="13"/>
      <c r="BD42" s="14"/>
      <c r="BF42" s="16"/>
      <c r="BG42" s="17"/>
      <c r="BK42" s="2"/>
      <c r="BP42" s="3"/>
    </row>
    <row r="43" spans="3:68" x14ac:dyDescent="0.35">
      <c r="C43" s="2"/>
      <c r="H43" s="3"/>
      <c r="Q43" s="2"/>
      <c r="AE43" s="2"/>
      <c r="AS43" s="10"/>
      <c r="AT43" s="16"/>
      <c r="AU43" s="17"/>
      <c r="AW43" s="6"/>
      <c r="AX43" s="7"/>
      <c r="AZ43" s="11"/>
      <c r="BA43" s="12"/>
      <c r="BC43" s="13"/>
      <c r="BD43" s="14"/>
      <c r="BF43" s="16"/>
      <c r="BG43" s="17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2026-02-24T21:32:35Z</dcterms:modified>
</cp:coreProperties>
</file>