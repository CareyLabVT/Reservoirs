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8B1A3953-40A2-405C-8EFE-826195B0F62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5" i="1" l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9" i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</calcChain>
</file>

<file path=xl/sharedStrings.xml><?xml version="1.0" encoding="utf-8"?>
<sst xmlns="http://schemas.openxmlformats.org/spreadsheetml/2006/main" count="538" uniqueCount="53">
  <si>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</si>
  <si>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</si>
  <si>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</si>
  <si>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</si>
  <si>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</si>
  <si>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</si>
  <si>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</si>
  <si>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</si>
  <si>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</si>
  <si>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</si>
  <si>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</si>
  <si>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</si>
  <si>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</si>
  <si>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</si>
  <si>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</si>
  <si>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</si>
  <si>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</si>
  <si>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</si>
  <si>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</si>
  <si>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</si>
  <si>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</si>
  <si>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</si>
  <si>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</si>
  <si>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</si>
  <si>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</si>
  <si>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</si>
  <si>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</si>
  <si>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</si>
  <si>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</si>
  <si>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</si>
  <si>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</si>
  <si>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</si>
  <si>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</si>
  <si>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</si>
  <si>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</si>
  <si>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FMI20260304_001.gcd</t>
  </si>
  <si>
    <t>FMI20260304_002.gcd</t>
  </si>
  <si>
    <t>FMI20260304_003.gcd</t>
  </si>
  <si>
    <t>FMI20260304_004.gcd</t>
  </si>
  <si>
    <t>FMI20260304_005.gcd</t>
  </si>
  <si>
    <t>FMI20260304_006.gcd</t>
  </si>
  <si>
    <t>FMI20260304_007.gcd</t>
  </si>
  <si>
    <t>FMI20260304_008.gcd</t>
  </si>
  <si>
    <t>FMI20260304_009.gcd</t>
  </si>
  <si>
    <t>FMI20260304_010.gcd</t>
  </si>
  <si>
    <t>FMI20260304_011.gcd</t>
  </si>
  <si>
    <t>FMI20260304_012.gcd</t>
  </si>
  <si>
    <t>FMI20260304_013.gcd</t>
  </si>
  <si>
    <t>FMI20260304_014.gcd</t>
  </si>
  <si>
    <t>FMI20260304_015.gcd</t>
  </si>
  <si>
    <t>FMI20260304_016.gcd</t>
  </si>
  <si>
    <t>FMI20260304_017.gcd</t>
  </si>
  <si>
    <t>air bubble in vial- not accurate headspace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</si>
</sst>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C1" workbookViewId="0">
      <selection activeCell="AQ26" sqref="AQ26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29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32</v>
      </c>
      <c r="BE8" s="8"/>
      <c r="BF8" s="5" t="s">
        <v>30</v>
      </c>
      <c r="BG8" s="5" t="s">
        <v>31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46085.510081018518</v>
      </c>
      <c r="D9" t="s">
        <v>33</v>
      </c>
      <c r="E9" t="s">
        <v>13</v>
      </c>
      <c r="F9">
        <v>0</v>
      </c>
      <c r="G9">
        <v>6.109</v>
      </c>
      <c r="H9" s="3">
        <v>1617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46085.510081018518</v>
      </c>
      <c r="R9" t="s">
        <v>33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46085.510081018518</v>
      </c>
      <c r="AF9" t="s">
        <v>33</v>
      </c>
      <c r="AG9" t="s">
        <v>13</v>
      </c>
      <c r="AH9">
        <v>0</v>
      </c>
      <c r="AI9">
        <v>12.417999999999999</v>
      </c>
      <c r="AJ9" s="3">
        <v>2129</v>
      </c>
      <c r="AK9">
        <v>0.371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10">
        <v>45</v>
      </c>
      <c r="AT9" s="16">
        <f t="shared" ref="AT9:AT14" si="0">IF(H9&lt;10000,((H9^2*0.000000008493)+(H9*0.003482)+(-3.269)),(IF(H9&lt;200000,((H9^2*-0.000000000263)+(H9*0.002682)+(3.179)),(IF(H9&lt;8000000,((H9^2*-0.000000000005099)+(H9*0.002054)+(174.8)),((V9^2*-0.00000001014)+(V9*0.2415)+(1123)))))))</f>
        <v>2.3836005536769997</v>
      </c>
      <c r="AU9" s="17">
        <f t="shared" ref="AU9:AU14" si="1">IF(AJ9&lt;45000,((-0.00000004907*AJ9^2)+(0.2277*AJ9)+(-134)),((-0.00000001062*AJ9^2)+(0.2147*AJ9)+(590.6)))</f>
        <v>350.55088330613</v>
      </c>
      <c r="AW9" s="6">
        <f t="shared" ref="AW9:AW14" si="2">IF(H9&lt;10000,((0.0000001453*H9^2)+(0.0008349*H9)+(-1.805)),(IF(H9&lt;700000,((-0.00000000008054*H9^2)+(0.002348*H9)+(-2.47)), ((-0.00000001938*V9^2)+(0.2471*V9)+(226.8)))))</f>
        <v>-7.5052388299999828E-2</v>
      </c>
      <c r="AX9" s="7">
        <f t="shared" ref="AX9:AX14" si="3">(-0.00000002552*AJ9^2)+(0.2067*AJ9)+(-103.7)</f>
        <v>336.24862700168001</v>
      </c>
      <c r="AZ9" s="11">
        <f t="shared" ref="AZ9:AZ14" si="4">IF(H9&lt;10000,((H9^2*0.00000054)+(H9*-0.004765)+(12.72)),(IF(H9&lt;200000,((H9^2*-0.000000001577)+(H9*0.003043)+(-10.42)),(IF(H9&lt;8000000,((H9^2*-0.0000000000186)+(H9*0.00194)+(154.1)),((V9^2*-0.00000002)+(V9*0.2565)+(-1032)))))))</f>
        <v>6.4269270600000006</v>
      </c>
      <c r="BA9" s="12">
        <f t="shared" ref="BA9:BA14" si="5">IF(AJ9&lt;45000,((-0.0000004561*AJ9^2)+(0.244*AJ9)+(-21.72)),((-0.0000000409*AJ9^2)+(0.2477*AJ9)+(-1777)))</f>
        <v>495.68866243989999</v>
      </c>
      <c r="BC9" s="13">
        <f t="shared" ref="BC9:BC14" si="6">IF(H9&lt;10000,((H9^2*0.00000005714)+(H9*0.002453)+(-3.811)),(IF(H9&lt;200000,((H9^2*-0.0000000002888)+(H9*0.002899)+(-4.321)),(IF(H9&lt;8000000,((H9^2*-0.0000000000062)+(H9*0.002143)+(157)),((V9^2*-0.000000031)+(V9*0.2771)+(-709.5)))))))</f>
        <v>0.30490432945999935</v>
      </c>
      <c r="BD9" s="14">
        <f t="shared" ref="BD9:BD14" si="7">IF(AJ9&lt;45000,((-0.0000000598*AJ9^2)+(0.205*AJ9)+(34.1)),((-0.00000002403*AJ9^2)+(0.2063*AJ9)+(-550.7)))</f>
        <v>470.27394806820001</v>
      </c>
      <c r="BF9" s="16">
        <f t="shared" ref="BF9:BF14" si="8">IF(H9&lt;10000,((H9^2*0.000000008493)+(H9*0.003482)+(-3.269)),(IF(H9&lt;200000,((H9^2*-0.000000000263)+(H9*0.002682)+(3.179)),(IF(H9&lt;8000000,((H9^2*-0.000000000005099)+(H9*0.002054)+(174.8)),((V9^2*-0.00000001014)+(V9*0.2415)+(1123)))))))</f>
        <v>2.3836005536769997</v>
      </c>
      <c r="BG9" s="17">
        <f t="shared" ref="BG9:BG14" si="9">IF(AJ9&lt;45000,((-0.00000004907*AJ9^2)+(0.2277*AJ9)+(-134)),((-0.00000001062*AJ9^2)+(0.2147*AJ9)+(590.6)))</f>
        <v>350.55088330613</v>
      </c>
      <c r="BI9">
        <v>45</v>
      </c>
      <c r="BJ9" t="s">
        <v>35</v>
      </c>
      <c r="BK9" s="2">
        <v>46085.510081018518</v>
      </c>
      <c r="BL9" t="s">
        <v>33</v>
      </c>
      <c r="BM9" t="s">
        <v>13</v>
      </c>
      <c r="BN9">
        <v>0</v>
      </c>
      <c r="BO9">
        <v>2.7269999999999999</v>
      </c>
      <c r="BP9" s="3">
        <v>5242883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46085.531284722223</v>
      </c>
      <c r="D10" t="s">
        <v>34</v>
      </c>
      <c r="E10" t="s">
        <v>13</v>
      </c>
      <c r="F10">
        <v>0</v>
      </c>
      <c r="G10">
        <v>6.0549999999999997</v>
      </c>
      <c r="H10" s="3">
        <v>1110110</v>
      </c>
      <c r="I10">
        <v>2.5089999999999999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46085.531284722223</v>
      </c>
      <c r="R10" t="s">
        <v>34</v>
      </c>
      <c r="S10" t="s">
        <v>13</v>
      </c>
      <c r="T10">
        <v>0</v>
      </c>
      <c r="U10">
        <v>6.008</v>
      </c>
      <c r="V10" s="3">
        <v>8475</v>
      </c>
      <c r="W10">
        <v>2.1869999999999998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46085.531284722223</v>
      </c>
      <c r="AF10" t="s">
        <v>34</v>
      </c>
      <c r="AG10" t="s">
        <v>13</v>
      </c>
      <c r="AH10">
        <v>0</v>
      </c>
      <c r="AI10">
        <v>12.361000000000001</v>
      </c>
      <c r="AJ10" s="3">
        <v>10177</v>
      </c>
      <c r="AK10">
        <v>2.1349999999999998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6">
        <f t="shared" si="0"/>
        <v>2448.6822168625022</v>
      </c>
      <c r="AU10" s="17">
        <f t="shared" si="1"/>
        <v>2178.2206548859704</v>
      </c>
      <c r="AW10" s="6">
        <f t="shared" si="2"/>
        <v>2319.5805193874999</v>
      </c>
      <c r="AX10" s="7">
        <f t="shared" si="3"/>
        <v>1997.24275968392</v>
      </c>
      <c r="AZ10" s="11">
        <f t="shared" si="4"/>
        <v>2284.7917976549402</v>
      </c>
      <c r="BA10" s="12">
        <f t="shared" si="5"/>
        <v>2414.2291168431002</v>
      </c>
      <c r="BC10" s="13">
        <f t="shared" si="6"/>
        <v>2528.3251958849801</v>
      </c>
      <c r="BD10" s="14">
        <f t="shared" si="7"/>
        <v>2114.1914345257997</v>
      </c>
      <c r="BF10" s="16">
        <f t="shared" si="8"/>
        <v>2448.6822168625022</v>
      </c>
      <c r="BG10" s="17">
        <f t="shared" si="9"/>
        <v>2178.2206548859704</v>
      </c>
      <c r="BI10">
        <v>46</v>
      </c>
      <c r="BJ10" t="s">
        <v>36</v>
      </c>
      <c r="BK10" s="2">
        <v>46085.531284722223</v>
      </c>
      <c r="BL10" t="s">
        <v>34</v>
      </c>
      <c r="BM10" t="s">
        <v>13</v>
      </c>
      <c r="BN10">
        <v>0</v>
      </c>
      <c r="BO10">
        <v>2.722</v>
      </c>
      <c r="BP10" s="3">
        <v>5268960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46085.552499999998</v>
      </c>
      <c r="D11" t="s">
        <v>28</v>
      </c>
      <c r="E11" t="s">
        <v>13</v>
      </c>
      <c r="F11">
        <v>0</v>
      </c>
      <c r="G11">
        <v>6.093</v>
      </c>
      <c r="H11" s="3">
        <v>3034</v>
      </c>
      <c r="I11">
        <v>7.0000000000000001E-3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46085.552499999998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46085.552499999998</v>
      </c>
      <c r="AF11" t="s">
        <v>28</v>
      </c>
      <c r="AG11" t="s">
        <v>13</v>
      </c>
      <c r="AH11">
        <v>0</v>
      </c>
      <c r="AI11">
        <v>12.381</v>
      </c>
      <c r="AJ11" s="3">
        <v>1634</v>
      </c>
      <c r="AK11">
        <v>0.26200000000000001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7.3735673899079988</v>
      </c>
      <c r="AU11" s="17">
        <f t="shared" si="1"/>
        <v>237.93078525907998</v>
      </c>
      <c r="AW11" s="6">
        <f t="shared" si="2"/>
        <v>2.0655957668000005</v>
      </c>
      <c r="AX11" s="7">
        <f t="shared" si="3"/>
        <v>233.97966272287999</v>
      </c>
      <c r="AZ11" s="11">
        <f t="shared" si="4"/>
        <v>3.2337742400000007</v>
      </c>
      <c r="BA11" s="12">
        <f t="shared" si="5"/>
        <v>375.75823306839993</v>
      </c>
      <c r="BC11" s="13">
        <f t="shared" si="6"/>
        <v>4.1573846138399997</v>
      </c>
      <c r="BD11" s="14">
        <f t="shared" si="7"/>
        <v>368.91033663119998</v>
      </c>
      <c r="BF11" s="16">
        <f t="shared" si="8"/>
        <v>7.3735673899079988</v>
      </c>
      <c r="BG11" s="17">
        <f t="shared" si="9"/>
        <v>237.93078525907998</v>
      </c>
      <c r="BI11">
        <v>47</v>
      </c>
      <c r="BJ11" t="s">
        <v>37</v>
      </c>
      <c r="BK11" s="2">
        <v>46085.552499999998</v>
      </c>
      <c r="BL11" t="s">
        <v>28</v>
      </c>
      <c r="BM11" t="s">
        <v>13</v>
      </c>
      <c r="BN11">
        <v>0</v>
      </c>
      <c r="BO11">
        <v>2.72</v>
      </c>
      <c r="BP11" s="3">
        <v>5332968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46085.57372685185</v>
      </c>
      <c r="D12">
        <v>185</v>
      </c>
      <c r="E12" t="s">
        <v>13</v>
      </c>
      <c r="F12">
        <v>0</v>
      </c>
      <c r="G12">
        <v>6.0709999999999997</v>
      </c>
      <c r="H12" s="3">
        <v>8372</v>
      </c>
      <c r="I12">
        <v>1.9E-2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46085.57372685185</v>
      </c>
      <c r="R12">
        <v>185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46085.57372685185</v>
      </c>
      <c r="AF12">
        <v>185</v>
      </c>
      <c r="AG12" t="s">
        <v>13</v>
      </c>
      <c r="AH12">
        <v>0</v>
      </c>
      <c r="AI12">
        <v>12.332000000000001</v>
      </c>
      <c r="AJ12" s="3">
        <v>7656</v>
      </c>
      <c r="AK12">
        <v>1.583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26.477581631311999</v>
      </c>
      <c r="AU12" s="17">
        <f t="shared" si="1"/>
        <v>1606.39499453248</v>
      </c>
      <c r="AW12" s="6">
        <f t="shared" si="2"/>
        <v>15.368915595200001</v>
      </c>
      <c r="AX12" s="7">
        <f t="shared" si="3"/>
        <v>1477.2993621452799</v>
      </c>
      <c r="AZ12" s="11">
        <f t="shared" si="4"/>
        <v>10.67622736</v>
      </c>
      <c r="BA12" s="12">
        <f t="shared" si="5"/>
        <v>1819.6100013503999</v>
      </c>
      <c r="BC12" s="13">
        <f t="shared" si="6"/>
        <v>20.730480541759999</v>
      </c>
      <c r="BD12" s="14">
        <f t="shared" si="7"/>
        <v>1600.0748627071998</v>
      </c>
      <c r="BF12" s="16">
        <f t="shared" si="8"/>
        <v>26.477581631311999</v>
      </c>
      <c r="BG12" s="17">
        <f t="shared" si="9"/>
        <v>1606.39499453248</v>
      </c>
      <c r="BI12">
        <v>48</v>
      </c>
      <c r="BJ12" t="s">
        <v>38</v>
      </c>
      <c r="BK12" s="2">
        <v>46085.57372685185</v>
      </c>
      <c r="BL12">
        <v>185</v>
      </c>
      <c r="BM12" t="s">
        <v>13</v>
      </c>
      <c r="BN12">
        <v>0</v>
      </c>
      <c r="BO12">
        <v>2.8929999999999998</v>
      </c>
      <c r="BP12" s="3">
        <v>757633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46085.594942129632</v>
      </c>
      <c r="D13">
        <v>357</v>
      </c>
      <c r="E13" t="s">
        <v>13</v>
      </c>
      <c r="F13">
        <v>0</v>
      </c>
      <c r="G13">
        <v>6.0629999999999997</v>
      </c>
      <c r="H13" s="3">
        <v>6689</v>
      </c>
      <c r="I13">
        <v>1.4999999999999999E-2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46085.594942129632</v>
      </c>
      <c r="R13">
        <v>357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46085.594942129632</v>
      </c>
      <c r="AF13">
        <v>357</v>
      </c>
      <c r="AG13" t="s">
        <v>13</v>
      </c>
      <c r="AH13">
        <v>0</v>
      </c>
      <c r="AI13">
        <v>12.331</v>
      </c>
      <c r="AJ13" s="3">
        <v>5147</v>
      </c>
      <c r="AK13">
        <v>1.0329999999999999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10">
        <v>49</v>
      </c>
      <c r="AT13" s="16">
        <f t="shared" si="0"/>
        <v>20.402097929452999</v>
      </c>
      <c r="AU13" s="17">
        <f t="shared" si="1"/>
        <v>1036.6719567463699</v>
      </c>
      <c r="AW13" s="6">
        <f t="shared" si="2"/>
        <v>10.280763461300001</v>
      </c>
      <c r="AX13" s="7">
        <f t="shared" si="3"/>
        <v>959.50883413832003</v>
      </c>
      <c r="AZ13" s="11">
        <f t="shared" si="4"/>
        <v>5.0079843400000019</v>
      </c>
      <c r="BA13" s="12">
        <f t="shared" si="5"/>
        <v>1222.0651771350999</v>
      </c>
      <c r="BC13" s="13">
        <f t="shared" si="6"/>
        <v>15.15371607794</v>
      </c>
      <c r="BD13" s="14">
        <f t="shared" si="7"/>
        <v>1087.6508017817998</v>
      </c>
      <c r="BF13" s="16">
        <f t="shared" si="8"/>
        <v>20.402097929452999</v>
      </c>
      <c r="BG13" s="17">
        <f t="shared" si="9"/>
        <v>1036.6719567463699</v>
      </c>
      <c r="BI13">
        <v>49</v>
      </c>
      <c r="BJ13" t="s">
        <v>39</v>
      </c>
      <c r="BK13" s="2">
        <v>46085.594942129632</v>
      </c>
      <c r="BL13">
        <v>357</v>
      </c>
      <c r="BM13" t="s">
        <v>13</v>
      </c>
      <c r="BN13">
        <v>0</v>
      </c>
      <c r="BO13">
        <v>2.883</v>
      </c>
      <c r="BP13" s="3">
        <v>833241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46085.61619212963</v>
      </c>
      <c r="D14">
        <v>34</v>
      </c>
      <c r="E14" t="s">
        <v>13</v>
      </c>
      <c r="F14">
        <v>0</v>
      </c>
      <c r="G14">
        <v>6.0650000000000004</v>
      </c>
      <c r="H14" s="3">
        <v>22704</v>
      </c>
      <c r="I14">
        <v>5.1999999999999998E-2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46085.61619212963</v>
      </c>
      <c r="R14">
        <v>34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46085.61619212963</v>
      </c>
      <c r="AF14">
        <v>34</v>
      </c>
      <c r="AG14" t="s">
        <v>13</v>
      </c>
      <c r="AH14">
        <v>0</v>
      </c>
      <c r="AI14">
        <v>12.331</v>
      </c>
      <c r="AJ14" s="3">
        <v>9873</v>
      </c>
      <c r="AK14">
        <v>2.069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10">
        <v>50</v>
      </c>
      <c r="AT14" s="16">
        <f t="shared" si="0"/>
        <v>63.935558964992005</v>
      </c>
      <c r="AU14" s="17">
        <f t="shared" si="1"/>
        <v>2109.2989463499703</v>
      </c>
      <c r="AW14" s="6">
        <f t="shared" si="2"/>
        <v>50.797475916047361</v>
      </c>
      <c r="AX14" s="7">
        <f t="shared" si="3"/>
        <v>1934.5615091879199</v>
      </c>
      <c r="AZ14" s="11">
        <f t="shared" si="4"/>
        <v>57.855373261568005</v>
      </c>
      <c r="BA14" s="12">
        <f t="shared" si="5"/>
        <v>2342.8331375631005</v>
      </c>
      <c r="BC14" s="13">
        <f t="shared" si="6"/>
        <v>61.349027797299215</v>
      </c>
      <c r="BD14" s="14">
        <f t="shared" si="7"/>
        <v>2052.2359274857999</v>
      </c>
      <c r="BF14" s="16">
        <f t="shared" si="8"/>
        <v>63.935558964992005</v>
      </c>
      <c r="BG14" s="17">
        <f t="shared" si="9"/>
        <v>2109.2989463499703</v>
      </c>
      <c r="BI14">
        <v>50</v>
      </c>
      <c r="BJ14" t="s">
        <v>40</v>
      </c>
      <c r="BK14" s="2">
        <v>46085.61619212963</v>
      </c>
      <c r="BL14">
        <v>34</v>
      </c>
      <c r="BM14" t="s">
        <v>13</v>
      </c>
      <c r="BN14">
        <v>0</v>
      </c>
      <c r="BO14">
        <v>2.895</v>
      </c>
      <c r="BP14" s="3">
        <v>740664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46085.637418981481</v>
      </c>
      <c r="D15">
        <v>193</v>
      </c>
      <c r="E15" t="s">
        <v>13</v>
      </c>
      <c r="F15">
        <v>0</v>
      </c>
      <c r="G15">
        <v>6.0789999999999997</v>
      </c>
      <c r="H15" s="3">
        <v>1563</v>
      </c>
      <c r="I15">
        <v>4.0000000000000001E-3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46085.637418981481</v>
      </c>
      <c r="R15">
        <v>193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46085.637418981481</v>
      </c>
      <c r="AF15">
        <v>193</v>
      </c>
      <c r="AG15" t="s">
        <v>13</v>
      </c>
      <c r="AH15">
        <v>0</v>
      </c>
      <c r="AI15">
        <v>12.327999999999999</v>
      </c>
      <c r="AJ15" s="3">
        <v>8068</v>
      </c>
      <c r="AK15">
        <v>1.673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ref="AT15:AT25" si="10">IF(H15&lt;10000,((H15^2*0.000000008493)+(H15*0.003482)+(-3.269)),(IF(H15&lt;200000,((H15^2*-0.000000000263)+(H15*0.002682)+(3.179)),(IF(H15&lt;8000000,((H15^2*-0.000000000005099)+(H15*0.002054)+(174.8)),((V15^2*-0.00000001014)+(V15*0.2415)+(1123)))))))</f>
        <v>2.1941141357169993</v>
      </c>
      <c r="AU15" s="17">
        <f t="shared" ref="AU15:AU25" si="11">IF(AJ15&lt;45000,((-0.00000004907*AJ15^2)+(0.2277*AJ15)+(-134)),((-0.00000001062*AJ15^2)+(0.2147*AJ15)+(590.6)))</f>
        <v>1699.8895049403202</v>
      </c>
      <c r="AW15" s="6">
        <f t="shared" ref="AW15:AW25" si="12">IF(H15&lt;10000,((0.0000001453*H15^2)+(0.0008349*H15)+(-1.805)),(IF(H15&lt;700000,((-0.00000000008054*H15^2)+(0.002348*H15)+(-2.47)), ((-0.00000001938*V15^2)+(0.2471*V15)+(226.8)))))</f>
        <v>-0.14508790429999996</v>
      </c>
      <c r="AX15" s="7">
        <f t="shared" ref="AX15:AX25" si="13">(-0.00000002552*AJ15^2)+(0.2067*AJ15)+(-103.7)</f>
        <v>1562.2944362355199</v>
      </c>
      <c r="AZ15" s="11">
        <f t="shared" ref="AZ15:AZ25" si="14">IF(H15&lt;10000,((H15^2*0.00000054)+(H15*-0.004765)+(12.72)),(IF(H15&lt;200000,((H15^2*-0.000000001577)+(H15*0.003043)+(-10.42)),(IF(H15&lt;8000000,((H15^2*-0.0000000000186)+(H15*0.00194)+(154.1)),((V15^2*-0.00000002)+(V15*0.2565)+(-1032)))))))</f>
        <v>6.5915082600000003</v>
      </c>
      <c r="BA15" s="12">
        <f t="shared" ref="BA15:BA25" si="15">IF(AJ15&lt;45000,((-0.0000004561*AJ15^2)+(0.244*AJ15)+(-21.72)),((-0.0000000409*AJ15^2)+(0.2477*AJ15)+(-1777)))</f>
        <v>1917.1832541935999</v>
      </c>
      <c r="BC15" s="13">
        <f t="shared" ref="BC15:BC25" si="16">IF(H15&lt;10000,((H15^2*0.00000005714)+(H15*0.002453)+(-3.811)),(IF(H15&lt;200000,((H15^2*-0.0000000002888)+(H15*0.002899)+(-4.321)),(IF(H15&lt;8000000,((H15^2*-0.0000000000062)+(H15*0.002143)+(157)),((V15^2*-0.000000031)+(V15*0.2771)+(-709.5)))))))</f>
        <v>0.16263024865999975</v>
      </c>
      <c r="BD15" s="14">
        <f t="shared" ref="BD15:BD25" si="17">IF(AJ15&lt;45000,((-0.0000000598*AJ15^2)+(0.205*AJ15)+(34.1)),((-0.00000002403*AJ15^2)+(0.2063*AJ15)+(-550.7)))</f>
        <v>1684.1474610847997</v>
      </c>
      <c r="BF15" s="16">
        <f t="shared" ref="BF15:BF25" si="18">IF(H15&lt;10000,((H15^2*0.000000008493)+(H15*0.003482)+(-3.269)),(IF(H15&lt;200000,((H15^2*-0.000000000263)+(H15*0.002682)+(3.179)),(IF(H15&lt;8000000,((H15^2*-0.000000000005099)+(H15*0.002054)+(174.8)),((V15^2*-0.00000001014)+(V15*0.2415)+(1123)))))))</f>
        <v>2.1941141357169993</v>
      </c>
      <c r="BG15" s="17">
        <f t="shared" ref="BG15:BG25" si="19">IF(AJ15&lt;45000,((-0.00000004907*AJ15^2)+(0.2277*AJ15)+(-134)),((-0.00000001062*AJ15^2)+(0.2147*AJ15)+(590.6)))</f>
        <v>1699.8895049403202</v>
      </c>
      <c r="BI15">
        <v>51</v>
      </c>
      <c r="BJ15" t="s">
        <v>41</v>
      </c>
      <c r="BK15" s="2">
        <v>46085.637418981481</v>
      </c>
      <c r="BL15">
        <v>193</v>
      </c>
      <c r="BM15" t="s">
        <v>13</v>
      </c>
      <c r="BN15">
        <v>0</v>
      </c>
      <c r="BO15">
        <v>2.883</v>
      </c>
      <c r="BP15" s="3">
        <v>814391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46085.658634259256</v>
      </c>
      <c r="D16">
        <v>120</v>
      </c>
      <c r="E16" t="s">
        <v>13</v>
      </c>
      <c r="F16">
        <v>0</v>
      </c>
      <c r="G16">
        <v>6.0640000000000001</v>
      </c>
      <c r="H16" s="3">
        <v>7295</v>
      </c>
      <c r="I16">
        <v>1.7000000000000001E-2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46085.658634259256</v>
      </c>
      <c r="R16">
        <v>120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46085.658634259256</v>
      </c>
      <c r="AF16">
        <v>120</v>
      </c>
      <c r="AG16" t="s">
        <v>13</v>
      </c>
      <c r="AH16">
        <v>0</v>
      </c>
      <c r="AI16">
        <v>12.332000000000001</v>
      </c>
      <c r="AJ16" s="3">
        <v>5544</v>
      </c>
      <c r="AK16">
        <v>1.1200000000000001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10"/>
        <v>22.584162193325</v>
      </c>
      <c r="AU16" s="17">
        <f t="shared" si="11"/>
        <v>1126.8605876204799</v>
      </c>
      <c r="AW16" s="6">
        <f t="shared" si="12"/>
        <v>12.018029232500002</v>
      </c>
      <c r="AX16" s="7">
        <f t="shared" si="13"/>
        <v>1041.4604189132799</v>
      </c>
      <c r="AZ16" s="11">
        <f t="shared" si="14"/>
        <v>6.6965185000000016</v>
      </c>
      <c r="BA16" s="12">
        <f t="shared" si="15"/>
        <v>1316.9973395903999</v>
      </c>
      <c r="BC16" s="13">
        <f t="shared" si="16"/>
        <v>17.124455808499999</v>
      </c>
      <c r="BD16" s="14">
        <f t="shared" si="17"/>
        <v>1168.7819910271999</v>
      </c>
      <c r="BF16" s="16">
        <f t="shared" si="18"/>
        <v>22.584162193325</v>
      </c>
      <c r="BG16" s="17">
        <f t="shared" si="19"/>
        <v>1126.8605876204799</v>
      </c>
      <c r="BI16">
        <v>52</v>
      </c>
      <c r="BJ16" t="s">
        <v>42</v>
      </c>
      <c r="BK16" s="2">
        <v>46085.658634259256</v>
      </c>
      <c r="BL16">
        <v>120</v>
      </c>
      <c r="BM16" t="s">
        <v>13</v>
      </c>
      <c r="BN16">
        <v>0</v>
      </c>
      <c r="BO16">
        <v>2.8759999999999999</v>
      </c>
      <c r="BP16" s="3">
        <v>935014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46085.679861111108</v>
      </c>
      <c r="D17">
        <v>336</v>
      </c>
      <c r="E17" t="s">
        <v>13</v>
      </c>
      <c r="F17">
        <v>0</v>
      </c>
      <c r="G17">
        <v>6.0579999999999998</v>
      </c>
      <c r="H17" s="3">
        <v>28855</v>
      </c>
      <c r="I17">
        <v>6.5000000000000002E-2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46085.679861111108</v>
      </c>
      <c r="R17">
        <v>336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46085.679861111108</v>
      </c>
      <c r="AF17">
        <v>336</v>
      </c>
      <c r="AG17" t="s">
        <v>13</v>
      </c>
      <c r="AH17">
        <v>0</v>
      </c>
      <c r="AI17">
        <v>12.319000000000001</v>
      </c>
      <c r="AJ17" s="3">
        <v>10374</v>
      </c>
      <c r="AK17">
        <v>2.1789999999999998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10"/>
        <v>80.349133300425009</v>
      </c>
      <c r="AU17" s="17">
        <f t="shared" si="11"/>
        <v>2222.8788926846805</v>
      </c>
      <c r="AW17" s="6">
        <f t="shared" si="12"/>
        <v>65.214481508046489</v>
      </c>
      <c r="AX17" s="7">
        <f t="shared" si="13"/>
        <v>2037.8593407644801</v>
      </c>
      <c r="AZ17" s="11">
        <f t="shared" si="14"/>
        <v>76.072737413575013</v>
      </c>
      <c r="BA17" s="12">
        <f t="shared" si="15"/>
        <v>2460.4505745564002</v>
      </c>
      <c r="BC17" s="13">
        <f t="shared" si="16"/>
        <v>79.089186935979995</v>
      </c>
      <c r="BD17" s="14">
        <f t="shared" si="17"/>
        <v>2154.3343314151998</v>
      </c>
      <c r="BF17" s="16">
        <f t="shared" si="18"/>
        <v>80.349133300425009</v>
      </c>
      <c r="BG17" s="17">
        <f t="shared" si="19"/>
        <v>2222.8788926846805</v>
      </c>
      <c r="BI17">
        <v>53</v>
      </c>
      <c r="BJ17" t="s">
        <v>43</v>
      </c>
      <c r="BK17" s="2">
        <v>46085.679861111108</v>
      </c>
      <c r="BL17">
        <v>336</v>
      </c>
      <c r="BM17" t="s">
        <v>13</v>
      </c>
      <c r="BN17">
        <v>0</v>
      </c>
      <c r="BO17">
        <v>2.8820000000000001</v>
      </c>
      <c r="BP17" s="3">
        <v>827295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46085.701064814813</v>
      </c>
      <c r="D18">
        <v>317</v>
      </c>
      <c r="E18" t="s">
        <v>13</v>
      </c>
      <c r="F18">
        <v>0</v>
      </c>
      <c r="G18">
        <v>6.09</v>
      </c>
      <c r="H18" s="3">
        <v>1803</v>
      </c>
      <c r="I18">
        <v>4.0000000000000001E-3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46085.701064814813</v>
      </c>
      <c r="R18">
        <v>317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46085.701064814813</v>
      </c>
      <c r="AF18">
        <v>317</v>
      </c>
      <c r="AG18" t="s">
        <v>13</v>
      </c>
      <c r="AH18">
        <v>0</v>
      </c>
      <c r="AI18">
        <v>12.321999999999999</v>
      </c>
      <c r="AJ18" s="3">
        <v>8233</v>
      </c>
      <c r="AK18">
        <v>1.7090000000000001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10"/>
        <v>3.0366551208369996</v>
      </c>
      <c r="AU18" s="17">
        <f t="shared" si="11"/>
        <v>1737.3280230787702</v>
      </c>
      <c r="AW18" s="6">
        <f t="shared" si="12"/>
        <v>0.17266724769999997</v>
      </c>
      <c r="AX18" s="7">
        <f t="shared" si="13"/>
        <v>1596.3312959847199</v>
      </c>
      <c r="AZ18" s="11">
        <f t="shared" si="14"/>
        <v>5.8841418599999997</v>
      </c>
      <c r="BA18" s="12">
        <f t="shared" si="15"/>
        <v>1956.2164979870997</v>
      </c>
      <c r="BC18" s="13">
        <f t="shared" si="16"/>
        <v>0.79751022626000001</v>
      </c>
      <c r="BD18" s="14">
        <f t="shared" si="17"/>
        <v>1717.8116191177999</v>
      </c>
      <c r="BF18" s="16">
        <f t="shared" si="18"/>
        <v>3.0366551208369996</v>
      </c>
      <c r="BG18" s="17">
        <f t="shared" si="19"/>
        <v>1737.3280230787702</v>
      </c>
      <c r="BI18">
        <v>54</v>
      </c>
      <c r="BJ18" t="s">
        <v>44</v>
      </c>
      <c r="BK18" s="2">
        <v>46085.701064814813</v>
      </c>
      <c r="BL18">
        <v>317</v>
      </c>
      <c r="BM18" t="s">
        <v>13</v>
      </c>
      <c r="BN18">
        <v>0</v>
      </c>
      <c r="BO18">
        <v>2.8780000000000001</v>
      </c>
      <c r="BP18" s="3">
        <v>901042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46085.722245370373</v>
      </c>
      <c r="D19">
        <v>238</v>
      </c>
      <c r="E19" t="s">
        <v>13</v>
      </c>
      <c r="F19">
        <v>0</v>
      </c>
      <c r="G19">
        <v>6.0679999999999996</v>
      </c>
      <c r="H19" s="3">
        <v>7114</v>
      </c>
      <c r="I19">
        <v>1.6E-2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46085.722245370373</v>
      </c>
      <c r="R19">
        <v>238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46085.722245370373</v>
      </c>
      <c r="AF19">
        <v>238</v>
      </c>
      <c r="AG19" t="s">
        <v>13</v>
      </c>
      <c r="AH19">
        <v>0</v>
      </c>
      <c r="AI19">
        <v>12.331</v>
      </c>
      <c r="AJ19" s="3">
        <v>5980</v>
      </c>
      <c r="AK19">
        <v>1.2150000000000001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10">
        <v>55</v>
      </c>
      <c r="AT19" s="16">
        <f t="shared" si="10"/>
        <v>21.931770203028002</v>
      </c>
      <c r="AU19" s="17">
        <f t="shared" si="11"/>
        <v>1225.8912371720003</v>
      </c>
      <c r="AW19" s="6">
        <f t="shared" si="12"/>
        <v>11.487965718800002</v>
      </c>
      <c r="AX19" s="7">
        <f t="shared" si="13"/>
        <v>1131.453394592</v>
      </c>
      <c r="AZ19" s="11">
        <f t="shared" si="14"/>
        <v>6.1506478400000031</v>
      </c>
      <c r="BA19" s="12">
        <f t="shared" si="15"/>
        <v>1421.0896815599999</v>
      </c>
      <c r="BC19" s="13">
        <f t="shared" si="16"/>
        <v>16.531440031439999</v>
      </c>
      <c r="BD19" s="14">
        <f t="shared" si="17"/>
        <v>1257.8615280799997</v>
      </c>
      <c r="BF19" s="16">
        <f t="shared" si="18"/>
        <v>21.931770203028002</v>
      </c>
      <c r="BG19" s="17">
        <f t="shared" si="19"/>
        <v>1225.8912371720003</v>
      </c>
      <c r="BI19">
        <v>55</v>
      </c>
      <c r="BJ19" t="s">
        <v>45</v>
      </c>
      <c r="BK19" s="2">
        <v>46085.722245370373</v>
      </c>
      <c r="BL19">
        <v>238</v>
      </c>
      <c r="BM19" t="s">
        <v>13</v>
      </c>
      <c r="BN19">
        <v>0</v>
      </c>
      <c r="BO19">
        <v>2.8849999999999998</v>
      </c>
      <c r="BP19" s="3">
        <v>864038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46085.743483796294</v>
      </c>
      <c r="D20">
        <v>360</v>
      </c>
      <c r="E20" t="s">
        <v>13</v>
      </c>
      <c r="F20">
        <v>0</v>
      </c>
      <c r="G20">
        <v>6.077</v>
      </c>
      <c r="H20" s="3">
        <v>1346</v>
      </c>
      <c r="I20">
        <v>3.0000000000000001E-3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46085.743483796294</v>
      </c>
      <c r="R20">
        <v>360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46085.743483796294</v>
      </c>
      <c r="AF20">
        <v>360</v>
      </c>
      <c r="AG20" t="s">
        <v>13</v>
      </c>
      <c r="AH20">
        <v>0</v>
      </c>
      <c r="AI20">
        <v>12.323</v>
      </c>
      <c r="AJ20" s="3">
        <v>5027</v>
      </c>
      <c r="AK20">
        <v>1.006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10">
        <v>56</v>
      </c>
      <c r="AT20" s="16">
        <f t="shared" si="10"/>
        <v>1.4331589039879997</v>
      </c>
      <c r="AU20" s="17">
        <f t="shared" si="11"/>
        <v>1009.4078653279701</v>
      </c>
      <c r="AW20" s="6">
        <f t="shared" si="12"/>
        <v>-0.41798226519999981</v>
      </c>
      <c r="AX20" s="7">
        <f t="shared" si="13"/>
        <v>934.73599099591979</v>
      </c>
      <c r="AZ20" s="11">
        <f t="shared" si="14"/>
        <v>7.2846366400000004</v>
      </c>
      <c r="BA20" s="12">
        <f t="shared" si="15"/>
        <v>1193.3420205031</v>
      </c>
      <c r="BC20" s="13">
        <f t="shared" si="16"/>
        <v>-0.40574054776000024</v>
      </c>
      <c r="BD20" s="14">
        <f t="shared" si="17"/>
        <v>1063.1238104057998</v>
      </c>
      <c r="BF20" s="16">
        <f t="shared" si="18"/>
        <v>1.4331589039879997</v>
      </c>
      <c r="BG20" s="17">
        <f t="shared" si="19"/>
        <v>1009.4078653279701</v>
      </c>
      <c r="BI20">
        <v>56</v>
      </c>
      <c r="BJ20" t="s">
        <v>46</v>
      </c>
      <c r="BK20" s="2">
        <v>46085.743483796294</v>
      </c>
      <c r="BL20">
        <v>360</v>
      </c>
      <c r="BM20" t="s">
        <v>13</v>
      </c>
      <c r="BN20">
        <v>0</v>
      </c>
      <c r="BO20">
        <v>2.8780000000000001</v>
      </c>
      <c r="BP20" s="3">
        <v>901983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46085.764699074076</v>
      </c>
      <c r="D21">
        <v>92</v>
      </c>
      <c r="E21" t="s">
        <v>13</v>
      </c>
      <c r="F21">
        <v>0</v>
      </c>
      <c r="G21">
        <v>6.06</v>
      </c>
      <c r="H21" s="3">
        <v>8317</v>
      </c>
      <c r="I21">
        <v>1.9E-2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46085.764699074076</v>
      </c>
      <c r="R21">
        <v>92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46085.764699074076</v>
      </c>
      <c r="AF21">
        <v>92</v>
      </c>
      <c r="AG21" t="s">
        <v>13</v>
      </c>
      <c r="AH21">
        <v>0</v>
      </c>
      <c r="AI21">
        <v>12.317</v>
      </c>
      <c r="AJ21" s="3">
        <v>5239</v>
      </c>
      <c r="AK21">
        <v>1.0529999999999999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10">
        <v>57</v>
      </c>
      <c r="AT21" s="16">
        <f t="shared" si="10"/>
        <v>26.278275949076999</v>
      </c>
      <c r="AU21" s="17">
        <f t="shared" si="11"/>
        <v>1057.57346977253</v>
      </c>
      <c r="AW21" s="6">
        <f t="shared" si="12"/>
        <v>15.189625951700002</v>
      </c>
      <c r="AX21" s="7">
        <f t="shared" si="13"/>
        <v>978.50084947207984</v>
      </c>
      <c r="AZ21" s="11">
        <f t="shared" si="14"/>
        <v>10.442639059999999</v>
      </c>
      <c r="BA21" s="12">
        <f t="shared" si="15"/>
        <v>1244.0773681119001</v>
      </c>
      <c r="BC21" s="13">
        <f t="shared" si="16"/>
        <v>20.543117021459999</v>
      </c>
      <c r="BD21" s="14">
        <f t="shared" si="17"/>
        <v>1106.4536621641998</v>
      </c>
      <c r="BF21" s="16">
        <f t="shared" si="18"/>
        <v>26.278275949076999</v>
      </c>
      <c r="BG21" s="17">
        <f t="shared" si="19"/>
        <v>1057.57346977253</v>
      </c>
      <c r="BI21">
        <v>57</v>
      </c>
      <c r="BJ21" t="s">
        <v>47</v>
      </c>
      <c r="BK21" s="2">
        <v>46085.764699074076</v>
      </c>
      <c r="BL21">
        <v>92</v>
      </c>
      <c r="BM21" t="s">
        <v>13</v>
      </c>
      <c r="BN21">
        <v>0</v>
      </c>
      <c r="BO21">
        <v>2.8759999999999999</v>
      </c>
      <c r="BP21" s="3">
        <v>922556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46085.785949074074</v>
      </c>
      <c r="D22">
        <v>119</v>
      </c>
      <c r="E22" t="s">
        <v>13</v>
      </c>
      <c r="F22">
        <v>0</v>
      </c>
      <c r="G22">
        <v>6.0590000000000002</v>
      </c>
      <c r="H22" s="3">
        <v>8377</v>
      </c>
      <c r="I22">
        <v>1.9E-2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46085.785949074074</v>
      </c>
      <c r="R22">
        <v>119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46085.785949074074</v>
      </c>
      <c r="AF22">
        <v>119</v>
      </c>
      <c r="AG22" t="s">
        <v>13</v>
      </c>
      <c r="AH22">
        <v>0</v>
      </c>
      <c r="AI22">
        <v>12.33</v>
      </c>
      <c r="AJ22" s="3">
        <v>6372</v>
      </c>
      <c r="AK22">
        <v>1.3009999999999999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10"/>
        <v>26.495702877596997</v>
      </c>
      <c r="AU22" s="17">
        <f t="shared" si="11"/>
        <v>1314.9120410171201</v>
      </c>
      <c r="AW22" s="6">
        <f t="shared" si="12"/>
        <v>15.385258243700001</v>
      </c>
      <c r="AX22" s="7">
        <f t="shared" si="13"/>
        <v>1212.35622716032</v>
      </c>
      <c r="AZ22" s="11">
        <f t="shared" si="14"/>
        <v>10.697624659999997</v>
      </c>
      <c r="BA22" s="12">
        <f t="shared" si="15"/>
        <v>1514.5292526576</v>
      </c>
      <c r="BC22" s="13">
        <f t="shared" si="16"/>
        <v>20.747530731059999</v>
      </c>
      <c r="BD22" s="14">
        <f t="shared" si="17"/>
        <v>1337.9319774367998</v>
      </c>
      <c r="BF22" s="16">
        <f t="shared" si="18"/>
        <v>26.495702877596997</v>
      </c>
      <c r="BG22" s="17">
        <f t="shared" si="19"/>
        <v>1314.9120410171201</v>
      </c>
      <c r="BI22">
        <v>58</v>
      </c>
      <c r="BJ22" t="s">
        <v>48</v>
      </c>
      <c r="BK22" s="2">
        <v>46085.785949074074</v>
      </c>
      <c r="BL22">
        <v>119</v>
      </c>
      <c r="BM22" t="s">
        <v>13</v>
      </c>
      <c r="BN22">
        <v>0</v>
      </c>
      <c r="BO22">
        <v>2.8740000000000001</v>
      </c>
      <c r="BP22" s="3">
        <v>962678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46085.807164351849</v>
      </c>
      <c r="D23">
        <v>78</v>
      </c>
      <c r="E23" t="s">
        <v>13</v>
      </c>
      <c r="F23">
        <v>0</v>
      </c>
      <c r="G23">
        <v>6.0590000000000002</v>
      </c>
      <c r="H23" s="3">
        <v>9608</v>
      </c>
      <c r="I23">
        <v>2.1999999999999999E-2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46085.807164351849</v>
      </c>
      <c r="R23">
        <v>78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46085.807164351849</v>
      </c>
      <c r="AF23">
        <v>78</v>
      </c>
      <c r="AG23" t="s">
        <v>13</v>
      </c>
      <c r="AH23">
        <v>0</v>
      </c>
      <c r="AI23">
        <v>12.318</v>
      </c>
      <c r="AJ23" s="3">
        <v>7802</v>
      </c>
      <c r="AK23">
        <v>1.615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10"/>
        <v>30.970075948351997</v>
      </c>
      <c r="AU23" s="17">
        <f t="shared" si="11"/>
        <v>1639.5284500197199</v>
      </c>
      <c r="AW23" s="6">
        <f t="shared" si="12"/>
        <v>19.629894579199998</v>
      </c>
      <c r="AX23" s="7">
        <f t="shared" si="13"/>
        <v>1507.4199668739197</v>
      </c>
      <c r="AZ23" s="11">
        <f t="shared" si="14"/>
        <v>16.787258559999998</v>
      </c>
      <c r="BA23" s="12">
        <f t="shared" si="15"/>
        <v>1854.2046438555999</v>
      </c>
      <c r="BC23" s="13">
        <f t="shared" si="16"/>
        <v>25.03222676096</v>
      </c>
      <c r="BD23" s="14">
        <f t="shared" si="17"/>
        <v>1629.8699020007998</v>
      </c>
      <c r="BF23" s="16">
        <f t="shared" si="18"/>
        <v>30.970075948351997</v>
      </c>
      <c r="BG23" s="17">
        <f t="shared" si="19"/>
        <v>1639.5284500197199</v>
      </c>
      <c r="BI23">
        <v>59</v>
      </c>
      <c r="BJ23" t="s">
        <v>49</v>
      </c>
      <c r="BK23" s="2">
        <v>46085.807164351849</v>
      </c>
      <c r="BL23">
        <v>78</v>
      </c>
      <c r="BM23" t="s">
        <v>13</v>
      </c>
      <c r="BN23">
        <v>0</v>
      </c>
      <c r="BO23">
        <v>2.8769999999999998</v>
      </c>
      <c r="BP23" s="3">
        <v>908804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46085.828368055554</v>
      </c>
      <c r="D24">
        <v>292</v>
      </c>
      <c r="E24" t="s">
        <v>13</v>
      </c>
      <c r="F24">
        <v>0</v>
      </c>
      <c r="G24">
        <v>6.0590000000000002</v>
      </c>
      <c r="H24" s="3">
        <v>8228</v>
      </c>
      <c r="I24">
        <v>1.9E-2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46085.828368055554</v>
      </c>
      <c r="R24">
        <v>292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46085.828368055554</v>
      </c>
      <c r="AF24">
        <v>292</v>
      </c>
      <c r="AG24" t="s">
        <v>13</v>
      </c>
      <c r="AH24">
        <v>0</v>
      </c>
      <c r="AI24">
        <v>12.321</v>
      </c>
      <c r="AJ24" s="3">
        <v>5142</v>
      </c>
      <c r="AK24">
        <v>1.032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10">
        <v>60</v>
      </c>
      <c r="AT24" s="16">
        <f t="shared" si="10"/>
        <v>25.955871964111999</v>
      </c>
      <c r="AU24" s="17">
        <f t="shared" si="11"/>
        <v>1035.53598115252</v>
      </c>
      <c r="AW24" s="6">
        <f t="shared" si="12"/>
        <v>14.901364875200002</v>
      </c>
      <c r="AX24" s="7">
        <f t="shared" si="13"/>
        <v>958.4766470147199</v>
      </c>
      <c r="AZ24" s="11">
        <f t="shared" si="14"/>
        <v>10.071571360000002</v>
      </c>
      <c r="BA24" s="12">
        <f t="shared" si="15"/>
        <v>1220.8686411995998</v>
      </c>
      <c r="BC24" s="13">
        <f t="shared" si="16"/>
        <v>20.240661085759999</v>
      </c>
      <c r="BD24" s="14">
        <f t="shared" si="17"/>
        <v>1086.6288781927999</v>
      </c>
      <c r="BF24" s="16">
        <f t="shared" si="18"/>
        <v>25.955871964111999</v>
      </c>
      <c r="BG24" s="17">
        <f t="shared" si="19"/>
        <v>1035.53598115252</v>
      </c>
      <c r="BI24">
        <v>60</v>
      </c>
      <c r="BJ24" t="s">
        <v>50</v>
      </c>
      <c r="BK24" s="2">
        <v>46085.828368055554</v>
      </c>
      <c r="BL24">
        <v>292</v>
      </c>
      <c r="BM24" t="s">
        <v>13</v>
      </c>
      <c r="BN24">
        <v>0</v>
      </c>
      <c r="BO24">
        <v>2.8730000000000002</v>
      </c>
      <c r="BP24" s="3">
        <v>972867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46085.849594907406</v>
      </c>
      <c r="D25">
        <v>400</v>
      </c>
      <c r="E25" t="s">
        <v>13</v>
      </c>
      <c r="F25">
        <v>0</v>
      </c>
      <c r="G25">
        <v>6.0860000000000003</v>
      </c>
      <c r="H25" s="3">
        <v>1557</v>
      </c>
      <c r="I25">
        <v>4.0000000000000001E-3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46085.849594907406</v>
      </c>
      <c r="R25">
        <v>400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46085.849594907406</v>
      </c>
      <c r="AF25">
        <v>400</v>
      </c>
      <c r="AG25" t="s">
        <v>13</v>
      </c>
      <c r="AH25">
        <v>0</v>
      </c>
      <c r="AI25">
        <v>12.321999999999999</v>
      </c>
      <c r="AJ25" s="3">
        <v>4266</v>
      </c>
      <c r="AK25">
        <v>0.83899999999999997</v>
      </c>
      <c r="AL25" t="s">
        <v>14</v>
      </c>
      <c r="AM25" t="s">
        <v>14</v>
      </c>
      <c r="AN25" t="s">
        <v>14</v>
      </c>
      <c r="AO25" t="s">
        <v>14</v>
      </c>
      <c r="AQ25">
        <v>2</v>
      </c>
      <c r="AR25" t="s">
        <v>52</v>
      </c>
      <c r="AS25" s="10">
        <v>61</v>
      </c>
      <c r="AT25" s="16">
        <f t="shared" si="10"/>
        <v>2.1730631467569994</v>
      </c>
      <c r="AU25" s="17">
        <f t="shared" si="11"/>
        <v>836.47518704308004</v>
      </c>
      <c r="AW25" s="6">
        <f t="shared" si="12"/>
        <v>-0.15281732030000006</v>
      </c>
      <c r="AX25" s="7">
        <f t="shared" si="13"/>
        <v>777.61776774687996</v>
      </c>
      <c r="AZ25" s="11">
        <f t="shared" si="14"/>
        <v>6.6099894600000004</v>
      </c>
      <c r="BA25" s="12">
        <f t="shared" si="15"/>
        <v>1010.8835473884001</v>
      </c>
      <c r="BC25" s="13">
        <f t="shared" si="16"/>
        <v>0.14684258786000015</v>
      </c>
      <c r="BD25" s="14">
        <f t="shared" si="17"/>
        <v>907.5417143912</v>
      </c>
      <c r="BF25" s="16">
        <f t="shared" si="18"/>
        <v>2.1730631467569994</v>
      </c>
      <c r="BG25" s="17">
        <f t="shared" si="19"/>
        <v>836.47518704308004</v>
      </c>
      <c r="BI25">
        <v>61</v>
      </c>
      <c r="BJ25" t="s">
        <v>51</v>
      </c>
      <c r="BK25" s="2">
        <v>46085.849594907406</v>
      </c>
      <c r="BL25">
        <v>400</v>
      </c>
      <c r="BM25" t="s">
        <v>13</v>
      </c>
      <c r="BN25">
        <v>0</v>
      </c>
      <c r="BO25">
        <v>2.855</v>
      </c>
      <c r="BP25" s="3">
        <v>1314700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C26" s="2"/>
      <c r="H26" s="3"/>
      <c r="Q26" s="2"/>
      <c r="V26" s="3"/>
      <c r="AE26" s="2"/>
      <c r="AJ26" s="3"/>
      <c r="AS26" s="10"/>
      <c r="AT26" s="16"/>
      <c r="AU26" s="17"/>
      <c r="AW26" s="6"/>
      <c r="AX26" s="7"/>
      <c r="AZ26" s="11"/>
      <c r="BA26" s="12"/>
      <c r="BC26" s="13"/>
      <c r="BD26" s="14"/>
      <c r="BF26" s="16"/>
      <c r="BG26" s="17"/>
      <c r="BK26" s="2"/>
      <c r="BP26" s="3"/>
    </row>
    <row r="27" spans="1:73" x14ac:dyDescent="0.35">
      <c r="C27" s="2"/>
      <c r="H27" s="3"/>
      <c r="Q27" s="2"/>
      <c r="AE27" s="2"/>
      <c r="AJ27" s="3"/>
      <c r="AS27" s="10"/>
      <c r="AT27" s="16"/>
      <c r="AU27" s="17"/>
      <c r="AW27" s="6"/>
      <c r="AX27" s="7"/>
      <c r="AZ27" s="11"/>
      <c r="BA27" s="12"/>
      <c r="BC27" s="13"/>
      <c r="BD27" s="14"/>
      <c r="BF27" s="16"/>
      <c r="BG27" s="17"/>
      <c r="BK27" s="2"/>
      <c r="BP27" s="3"/>
    </row>
    <row r="28" spans="1:73" x14ac:dyDescent="0.35">
      <c r="C28" s="2"/>
      <c r="H28" s="3"/>
      <c r="Q28" s="2"/>
      <c r="AE28" s="2"/>
      <c r="AJ28" s="3"/>
      <c r="AS28" s="10"/>
      <c r="AT28" s="16"/>
      <c r="AU28" s="17"/>
      <c r="AW28" s="6"/>
      <c r="AX28" s="7"/>
      <c r="AZ28" s="11"/>
      <c r="BA28" s="12"/>
      <c r="BC28" s="13"/>
      <c r="BD28" s="14"/>
      <c r="BF28" s="16"/>
      <c r="BG28" s="17"/>
      <c r="BK28" s="2"/>
      <c r="BP28" s="3"/>
    </row>
    <row r="29" spans="1:73" x14ac:dyDescent="0.35">
      <c r="C29" s="2"/>
      <c r="H29" s="3"/>
      <c r="Q29" s="2"/>
      <c r="V29" s="3"/>
      <c r="AE29" s="2"/>
      <c r="AJ29" s="3"/>
      <c r="AK29" s="15"/>
      <c r="AS29" s="10"/>
      <c r="AT29" s="16"/>
      <c r="AU29" s="17"/>
      <c r="AW29" s="6"/>
      <c r="AX29" s="7"/>
      <c r="AZ29" s="11"/>
      <c r="BA29" s="12"/>
      <c r="BC29" s="13"/>
      <c r="BD29" s="14"/>
      <c r="BF29" s="16"/>
      <c r="BG29" s="17"/>
      <c r="BK29" s="2"/>
      <c r="BP29" s="3"/>
    </row>
    <row r="30" spans="1:73" x14ac:dyDescent="0.35">
      <c r="C30" s="2"/>
      <c r="H30" s="3"/>
      <c r="Q30" s="2"/>
      <c r="AE30" s="2"/>
      <c r="AJ30" s="3"/>
      <c r="AS30" s="10"/>
      <c r="AT30" s="16"/>
      <c r="AU30" s="17"/>
      <c r="AW30" s="6"/>
      <c r="AX30" s="7"/>
      <c r="AZ30" s="11"/>
      <c r="BA30" s="12"/>
      <c r="BC30" s="13"/>
      <c r="BD30" s="14"/>
      <c r="BF30" s="16"/>
      <c r="BG30" s="17"/>
      <c r="BK30" s="2"/>
      <c r="BP30" s="3"/>
    </row>
    <row r="31" spans="1:73" x14ac:dyDescent="0.35">
      <c r="C31" s="2"/>
      <c r="H31" s="3"/>
      <c r="Q31" s="2"/>
      <c r="AE31" s="2"/>
      <c r="AJ31" s="3"/>
      <c r="AS31" s="10"/>
      <c r="AT31" s="16"/>
      <c r="AU31" s="17"/>
      <c r="AW31" s="6"/>
      <c r="AX31" s="7"/>
      <c r="AZ31" s="11"/>
      <c r="BA31" s="12"/>
      <c r="BC31" s="13"/>
      <c r="BD31" s="14"/>
      <c r="BF31" s="16"/>
      <c r="BG31" s="17"/>
      <c r="BK31" s="2"/>
      <c r="BP31" s="3"/>
    </row>
    <row r="32" spans="1:73" x14ac:dyDescent="0.35">
      <c r="C32" s="2"/>
      <c r="H32" s="3"/>
      <c r="Q32" s="2"/>
      <c r="V32" s="3"/>
      <c r="AE32" s="2"/>
      <c r="AJ32" s="3"/>
      <c r="AS32" s="10"/>
      <c r="AT32" s="16"/>
      <c r="AU32" s="17"/>
      <c r="AW32" s="6"/>
      <c r="AX32" s="7"/>
      <c r="AZ32" s="11"/>
      <c r="BA32" s="12"/>
      <c r="BC32" s="13"/>
      <c r="BD32" s="14"/>
      <c r="BF32" s="16"/>
      <c r="BG32" s="17"/>
      <c r="BK32" s="2"/>
      <c r="BP32" s="3"/>
    </row>
    <row r="33" spans="3:68" x14ac:dyDescent="0.35">
      <c r="C33" s="2"/>
      <c r="H33" s="3"/>
      <c r="Q33" s="2"/>
      <c r="V33" s="3"/>
      <c r="AE33" s="2"/>
      <c r="AJ33" s="3"/>
      <c r="AS33" s="10"/>
      <c r="AT33" s="16"/>
      <c r="AU33" s="17"/>
      <c r="AW33" s="6"/>
      <c r="AX33" s="7"/>
      <c r="AZ33" s="11"/>
      <c r="BA33" s="12"/>
      <c r="BC33" s="13"/>
      <c r="BD33" s="14"/>
      <c r="BF33" s="16"/>
      <c r="BG33" s="17"/>
      <c r="BK33" s="2"/>
      <c r="BP33" s="3"/>
    </row>
    <row r="34" spans="3:68" x14ac:dyDescent="0.35">
      <c r="C34" s="2"/>
      <c r="H34" s="3"/>
      <c r="Q34" s="2"/>
      <c r="AE34" s="2"/>
      <c r="AJ34" s="3"/>
      <c r="AS34" s="10"/>
      <c r="AT34" s="16"/>
      <c r="AU34" s="17"/>
      <c r="AW34" s="6"/>
      <c r="AX34" s="7"/>
      <c r="AZ34" s="11"/>
      <c r="BA34" s="12"/>
      <c r="BC34" s="13"/>
      <c r="BD34" s="14"/>
      <c r="BF34" s="16"/>
      <c r="BG34" s="17"/>
      <c r="BK34" s="2"/>
      <c r="BP34" s="3"/>
    </row>
    <row r="35" spans="3:68" x14ac:dyDescent="0.35">
      <c r="C35" s="2"/>
      <c r="H35" s="3"/>
      <c r="Q35" s="2"/>
      <c r="AE35" s="2"/>
      <c r="AS35" s="10"/>
      <c r="AT35" s="16"/>
      <c r="AU35" s="17"/>
      <c r="AW35" s="6"/>
      <c r="AX35" s="7"/>
      <c r="AZ35" s="11"/>
      <c r="BA35" s="12"/>
      <c r="BC35" s="13"/>
      <c r="BD35" s="14"/>
      <c r="BF35" s="16"/>
      <c r="BG35" s="17"/>
      <c r="BK35" s="2"/>
      <c r="BP35" s="3"/>
    </row>
    <row r="36" spans="3:68" x14ac:dyDescent="0.35">
      <c r="C36" s="2"/>
      <c r="H36" s="3"/>
      <c r="Q36" s="2"/>
      <c r="V36" s="3"/>
      <c r="AE36" s="2"/>
      <c r="AJ36" s="3"/>
      <c r="AS36" s="10"/>
      <c r="AT36" s="16"/>
      <c r="AU36" s="17"/>
      <c r="AW36" s="6"/>
      <c r="AX36" s="7"/>
      <c r="AZ36" s="11"/>
      <c r="BA36" s="12"/>
      <c r="BC36" s="13"/>
      <c r="BD36" s="14"/>
      <c r="BF36" s="16"/>
      <c r="BG36" s="17"/>
      <c r="BK36" s="2"/>
      <c r="BP36" s="3"/>
    </row>
    <row r="37" spans="3:68" x14ac:dyDescent="0.35">
      <c r="C37" s="2"/>
      <c r="H37" s="3"/>
      <c r="Q37" s="2"/>
      <c r="V37" s="3"/>
      <c r="AE37" s="2"/>
      <c r="AJ37" s="3"/>
      <c r="AS37" s="10"/>
      <c r="AT37" s="16"/>
      <c r="AU37" s="17"/>
      <c r="AW37" s="6"/>
      <c r="AX37" s="7"/>
      <c r="AZ37" s="11"/>
      <c r="BA37" s="12"/>
      <c r="BC37" s="13"/>
      <c r="BD37" s="14"/>
      <c r="BF37" s="16"/>
      <c r="BG37" s="17"/>
      <c r="BK37" s="2"/>
      <c r="BP37" s="3"/>
    </row>
    <row r="38" spans="3:68" x14ac:dyDescent="0.35">
      <c r="C38" s="2"/>
      <c r="H38" s="3"/>
      <c r="Q38" s="2"/>
      <c r="AE38" s="2"/>
      <c r="AJ38" s="3"/>
      <c r="AS38" s="10"/>
      <c r="AT38" s="16"/>
      <c r="AU38" s="17"/>
      <c r="AW38" s="6"/>
      <c r="AX38" s="7"/>
      <c r="AZ38" s="11"/>
      <c r="BA38" s="12"/>
      <c r="BC38" s="13"/>
      <c r="BD38" s="14"/>
      <c r="BF38" s="16"/>
      <c r="BG38" s="17"/>
      <c r="BK38" s="2"/>
      <c r="BP38" s="3"/>
    </row>
    <row r="39" spans="3:68" x14ac:dyDescent="0.35">
      <c r="C39" s="2"/>
      <c r="H39" s="3"/>
      <c r="Q39" s="2"/>
      <c r="V39" s="3"/>
      <c r="AE39" s="2"/>
      <c r="AJ39" s="3"/>
      <c r="AS39" s="10"/>
      <c r="AT39" s="16"/>
      <c r="AU39" s="17"/>
      <c r="AW39" s="6"/>
      <c r="AX39" s="7"/>
      <c r="AZ39" s="11"/>
      <c r="BA39" s="12"/>
      <c r="BC39" s="13"/>
      <c r="BD39" s="14"/>
      <c r="BF39" s="16"/>
      <c r="BG39" s="17"/>
      <c r="BK39" s="2"/>
      <c r="BP39" s="3"/>
    </row>
    <row r="40" spans="3:68" x14ac:dyDescent="0.35">
      <c r="C40" s="2"/>
      <c r="H40" s="3"/>
      <c r="Q40" s="2"/>
      <c r="AE40" s="2"/>
      <c r="AJ40" s="3"/>
      <c r="AS40" s="10"/>
      <c r="AT40" s="16"/>
      <c r="AU40" s="17"/>
      <c r="AW40" s="6"/>
      <c r="AX40" s="7"/>
      <c r="AZ40" s="11"/>
      <c r="BA40" s="12"/>
      <c r="BC40" s="13"/>
      <c r="BD40" s="14"/>
      <c r="BF40" s="16"/>
      <c r="BG40" s="17"/>
      <c r="BK40" s="2"/>
      <c r="BP40" s="3"/>
    </row>
    <row r="41" spans="3:68" x14ac:dyDescent="0.35">
      <c r="C41" s="2"/>
      <c r="H41" s="3"/>
      <c r="Q41" s="2"/>
      <c r="AE41" s="2"/>
      <c r="AJ41" s="3"/>
      <c r="AS41" s="10"/>
      <c r="AT41" s="16"/>
      <c r="AU41" s="17"/>
      <c r="AW41" s="6"/>
      <c r="AX41" s="7"/>
      <c r="AZ41" s="11"/>
      <c r="BA41" s="12"/>
      <c r="BC41" s="13"/>
      <c r="BD41" s="14"/>
      <c r="BF41" s="16"/>
      <c r="BG41" s="17"/>
      <c r="BK41" s="2"/>
      <c r="BP41" s="3"/>
    </row>
    <row r="42" spans="3:68" x14ac:dyDescent="0.35">
      <c r="C42" s="2"/>
      <c r="H42" s="3"/>
      <c r="Q42" s="2"/>
      <c r="AE42" s="2"/>
      <c r="AS42" s="10"/>
      <c r="AT42" s="16"/>
      <c r="AU42" s="17"/>
      <c r="AW42" s="6"/>
      <c r="AX42" s="7"/>
      <c r="AZ42" s="11"/>
      <c r="BA42" s="12"/>
      <c r="BC42" s="13"/>
      <c r="BD42" s="14"/>
      <c r="BF42" s="16"/>
      <c r="BG42" s="17"/>
      <c r="BK42" s="2"/>
      <c r="BP42" s="3"/>
    </row>
    <row r="43" spans="3:68" x14ac:dyDescent="0.35">
      <c r="C43" s="2"/>
      <c r="H43" s="3"/>
      <c r="Q43" s="2"/>
      <c r="AE43" s="2"/>
      <c r="AS43" s="10"/>
      <c r="AT43" s="16"/>
      <c r="AU43" s="17"/>
      <c r="AW43" s="6"/>
      <c r="AX43" s="7"/>
      <c r="AZ43" s="11"/>
      <c r="BA43" s="12"/>
      <c r="BC43" s="13"/>
      <c r="BD43" s="14"/>
      <c r="BF43" s="16"/>
      <c r="BG43" s="17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2026-03-05T14:47:24Z</dcterms:modified>
</cp:coreProperties>
</file>