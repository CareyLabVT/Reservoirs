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ACL Data\GC\"/>
    </mc:Choice>
  </mc:AlternateContent>
  <xr:revisionPtr revIDLastSave="0" documentId="13_ncr:1_{DE2D4626-A147-4CDD-B6C0-39CE1B07CF3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9" i="1" l="1"/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BG16" i="1"/>
  <c r="BF16" i="1"/>
  <c r="BD16" i="1"/>
  <c r="BC16" i="1"/>
  <c r="BA16" i="1"/>
  <c r="AZ16" i="1"/>
  <c r="AX16" i="1"/>
  <c r="AW16" i="1"/>
  <c r="AU16" i="1"/>
  <c r="AT16" i="1"/>
  <c r="BG15" i="1"/>
  <c r="BF15" i="1"/>
  <c r="BD15" i="1"/>
  <c r="BC15" i="1"/>
  <c r="BA15" i="1"/>
  <c r="AZ15" i="1"/>
  <c r="AX15" i="1"/>
  <c r="AW15" i="1"/>
  <c r="AU15" i="1"/>
  <c r="AT15" i="1"/>
  <c r="BG14" i="1"/>
  <c r="BF14" i="1"/>
  <c r="BD14" i="1"/>
  <c r="BC14" i="1"/>
  <c r="BA14" i="1"/>
  <c r="AZ14" i="1"/>
  <c r="AX14" i="1"/>
  <c r="AW14" i="1"/>
  <c r="AU14" i="1"/>
  <c r="AT14" i="1"/>
  <c r="BG13" i="1"/>
  <c r="BF13" i="1"/>
  <c r="BD13" i="1"/>
  <c r="BC13" i="1"/>
  <c r="BA13" i="1"/>
  <c r="AZ13" i="1"/>
  <c r="AX13" i="1"/>
  <c r="AW13" i="1"/>
  <c r="AU13" i="1"/>
  <c r="AT13" i="1"/>
  <c r="BG12" i="1"/>
  <c r="BF12" i="1"/>
  <c r="BD12" i="1"/>
  <c r="BC12" i="1"/>
  <c r="BA12" i="1"/>
  <c r="AZ12" i="1"/>
  <c r="AX12" i="1"/>
  <c r="AW12" i="1"/>
  <c r="AU12" i="1"/>
  <c r="AT12" i="1"/>
  <c r="BG11" i="1"/>
  <c r="BF11" i="1"/>
  <c r="BD11" i="1"/>
  <c r="BC11" i="1"/>
  <c r="BA11" i="1"/>
  <c r="AZ11" i="1"/>
  <c r="AX11" i="1"/>
  <c r="AW11" i="1"/>
  <c r="AU11" i="1"/>
  <c r="AT11" i="1"/>
  <c r="BG10" i="1"/>
  <c r="BF10" i="1"/>
  <c r="BD10" i="1"/>
  <c r="BC10" i="1"/>
  <c r="BA10" i="1"/>
  <c r="AZ10" i="1"/>
  <c r="AX10" i="1"/>
  <c r="AW10" i="1"/>
  <c r="AU10" i="1"/>
  <c r="AT10" i="1"/>
  <c r="BG9" i="1"/>
  <c r="BF9" i="1"/>
  <c r="BD9" i="1"/>
  <c r="BC9" i="1"/>
  <c r="BA9" i="1"/>
  <c r="AZ9" i="1"/>
  <c r="AX9" i="1"/>
  <c r="AW9" i="1"/>
  <c r="AU9" i="1"/>
</calcChain>
</file>

<file path=xl/sharedStrings.xml><?xml version="1.0" encoding="utf-8"?>
<sst xmlns="http://schemas.openxmlformats.org/spreadsheetml/2006/main" count="645" uniqueCount="56">
  <si>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</si>
  <si>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</si>
  <si>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</si>
  <si>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</si>
  <si>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</si>
  <si>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</si>
  <si>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</si>
  <si>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</si>
  <si>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</si>
  <si>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</si>
  <si>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</si>
  <si>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</si>
  <si>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</si>
  <si>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</si>
  <si>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</si>
  <si>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</si>
  <si>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</si>
  <si>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</si>
  <si>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</si>
  <si>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</si>
  <si>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</si>
  <si>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</si>
  <si>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</si>
  <si>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</si>
  <si>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</si>
  <si>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</si>
  <si>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</si>
  <si>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</si>
  <si>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</si>
  <si>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</si>
  <si>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</si>
  <si>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</si>
  <si>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</si>
  <si>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FMI20260316_001.gcd</t>
  </si>
  <si>
    <t>FMI20260316_002.gcd</t>
  </si>
  <si>
    <t>FMI20260316_003.gcd</t>
  </si>
  <si>
    <t>FMI20260316_004.gcd</t>
  </si>
  <si>
    <t>FMI20260316_005.gcd</t>
  </si>
  <si>
    <t>FMI20260316_006.gcd</t>
  </si>
  <si>
    <t>FMI20260316_007.gcd</t>
  </si>
  <si>
    <t>FMI20260316_008.gcd</t>
  </si>
  <si>
    <t>FMI20260316_009.gcd</t>
  </si>
  <si>
    <t>FMI20260316_010.gcd</t>
  </si>
  <si>
    <t>FMI20260316_011.gcd</t>
  </si>
  <si>
    <t>FMI20260316_012.gcd</t>
  </si>
  <si>
    <t>FMI20260316_013.gcd</t>
  </si>
  <si>
    <t>FMI20260316_014.gcd</t>
  </si>
  <si>
    <t>FMI20260316_015.gcd</t>
  </si>
  <si>
    <t>FMI20260316_016.gcd</t>
  </si>
  <si>
    <t>FMI20260316_017.gcd</t>
  </si>
  <si>
    <t>FMI20260316_018.gcd</t>
  </si>
  <si>
    <t>FMI20260316_019.gcd</t>
  </si>
  <si>
    <t>FMI20260316_020.gcd</t>
  </si>
  <si>
    <t>FMI20260316_021.gcd</t>
  </si>
  <si>
    <t>2026 ranged CAL Measured headspace CH4  in ppm from GC in ppm</t>
  </si>
  <si>
    <t>2026 CAL Measured headspace CO2 in ppm from GC in 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</si>
</sst>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workbookViewId="0">
      <selection activeCell="AT10" sqref="AT10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7" width="10.1796875" customWidth="1"/>
    <col min="49" max="50" width="10.1796875" customWidth="1"/>
    <col min="52" max="53" width="10.1796875" customWidth="1"/>
    <col min="54" max="54" width="9.179687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54</v>
      </c>
      <c r="BG8" s="5" t="s">
        <v>55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33</v>
      </c>
      <c r="C9" s="2">
        <v>46097.701192129629</v>
      </c>
      <c r="D9" t="s">
        <v>31</v>
      </c>
      <c r="E9" t="s">
        <v>13</v>
      </c>
      <c r="F9">
        <v>0</v>
      </c>
      <c r="G9">
        <v>6.0780000000000003</v>
      </c>
      <c r="H9" s="3">
        <v>1669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33</v>
      </c>
      <c r="Q9" s="2">
        <v>46097.701192129629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33</v>
      </c>
      <c r="AE9" s="2">
        <v>46097.701192129629</v>
      </c>
      <c r="AF9" t="s">
        <v>31</v>
      </c>
      <c r="AG9" t="s">
        <v>13</v>
      </c>
      <c r="AH9">
        <v>0</v>
      </c>
      <c r="AI9">
        <v>12.343999999999999</v>
      </c>
      <c r="AJ9" s="3">
        <v>2406</v>
      </c>
      <c r="AK9">
        <v>0.503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>IF($H9&lt;10000,(($H9^2*-0.000000003714)+($H9*0.002605)+(1.389)),(IF($H9&lt;200000,(($H9^2*-0.0000000003764)+($H9*0.00218)+(3.158)),(IF($H9&lt;8000000,(($H9^2*-0.000000000004719)+($H9*0.001816)+(146.1)),(($V9^2*0.000000002578)+($V9*0.2173)+(2294)))))))</f>
        <v>5.7263994264460001</v>
      </c>
      <c r="AU9" s="17">
        <f t="shared" ref="AU9:AU29" si="0">IF($AJ9&lt;45000,((0.00000003579*$AJ9^2)+(0.1857*$AJ9)+(44.75)),((0.0000000022829*$AJ9^2)+(0.1634*$AJ9)+(1620)))</f>
        <v>491.75138244044001</v>
      </c>
      <c r="AW9" s="9">
        <f t="shared" ref="AW9:AW16" si="1">IF(H9&lt;10000,((H9^2*0.00000054)+(H9*-0.004765)+(12.72)),(IF(H9&lt;200000,((H9^2*-0.000000001577)+(H9*0.003043)+(-10.42)),(IF(H9&lt;8000000,((H9^2*-0.0000000000186)+(H9*0.00194)+(154.1)),((V9^2*-0.00000002)+(V9*0.2565)+(-1032)))))))</f>
        <v>6.2714179400000001</v>
      </c>
      <c r="AX9" s="10">
        <f t="shared" ref="AX9:AX16" si="2">IF(AJ9&lt;45000,((-0.0000004561*AJ9^2)+(0.244*AJ9)+(-21.72)),((-0.0000000409*AJ9^2)+(0.2477*AJ9)+(-1777)))</f>
        <v>562.70371190039998</v>
      </c>
      <c r="AZ9" s="11">
        <f t="shared" ref="AZ9:AZ16" si="3">IF(H9&lt;10000,((H9^2*0.00000005714)+(H9*0.002453)+(-3.811)),(IF(H9&lt;200000,((H9^2*-0.0000000002888)+(H9*0.002899)+(-4.321)),(IF(H9&lt;8000000,((H9^2*-0.0000000000062)+(H9*0.002143)+(157)),((V9^2*-0.000000031)+(V9*0.2771)+(-709.5)))))))</f>
        <v>0.44222395553999938</v>
      </c>
      <c r="BA9" s="12">
        <f t="shared" ref="BA9:BA16" si="4">IF(AJ9&lt;45000,((-0.0000000598*AJ9^2)+(0.205*AJ9)+(34.1)),((-0.00000002403*AJ9^2)+(0.2063*AJ9)+(-550.7)))</f>
        <v>526.98382760719994</v>
      </c>
      <c r="BC9" s="14">
        <f t="shared" ref="BC9:BC16" si="5">IF(H9&lt;10000,((H9^2*0.000000008493)+(H9*0.003482)+(-3.269)),(IF(H9&lt;200000,((H9^2*-0.000000000263)+(H9*0.002682)+(3.179)),(IF(H9&lt;8000000,((H9^2*-0.000000000005099)+(H9*0.002054)+(174.8)),((V9^2*-0.00000001014)+(V9*0.2415)+(1123)))))))</f>
        <v>2.5661157695729999</v>
      </c>
      <c r="BD9" s="15">
        <f t="shared" ref="BD9:BD16" si="6">IF(AJ9&lt;45000,((-0.00000004907*AJ9^2)+(0.2277*AJ9)+(-134)),((-0.00000001062*AJ9^2)+(0.2147*AJ9)+(590.6)))</f>
        <v>413.5621418174801</v>
      </c>
      <c r="BF9" s="16">
        <f t="shared" ref="BF9:BF29" si="7">IF($H9&lt;10000,(($H9^2*-0.000000003714)+($H9*0.002605)+(1.389)),(IF($H9&lt;200000,(($H9^2*-0.0000000003764)+($H9*0.00218)+(3.158)),(IF($H9&lt;8000000,(($H9^2*-0.000000000004719)+($H9*0.001816)+(146.1)),(($V9^2*0.000000002578)+($V9*0.2173)+(2294)))))))</f>
        <v>5.7263994264460001</v>
      </c>
      <c r="BG9" s="17">
        <f t="shared" ref="BG9:BG29" si="8">IF($AJ9&lt;45000,((0.00000003579*$AJ9^2)+(0.1857*$AJ9)+(44.75)),((0.0000000022829*$AJ9^2)+(0.1634*$AJ9)+(1620)))</f>
        <v>491.75138244044001</v>
      </c>
      <c r="BI9">
        <v>45</v>
      </c>
      <c r="BJ9" t="s">
        <v>33</v>
      </c>
      <c r="BK9" s="2">
        <v>46097.701192129629</v>
      </c>
      <c r="BL9" t="s">
        <v>31</v>
      </c>
      <c r="BM9" t="s">
        <v>13</v>
      </c>
      <c r="BN9">
        <v>0</v>
      </c>
      <c r="BO9">
        <v>2.7210000000000001</v>
      </c>
      <c r="BP9" s="3">
        <v>5117121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34</v>
      </c>
      <c r="C10" s="2">
        <v>46097.722430555557</v>
      </c>
      <c r="D10" t="s">
        <v>32</v>
      </c>
      <c r="E10" t="s">
        <v>13</v>
      </c>
      <c r="F10">
        <v>0</v>
      </c>
      <c r="G10">
        <v>6.0469999999999997</v>
      </c>
      <c r="H10" s="3">
        <v>837993</v>
      </c>
      <c r="I10">
        <v>1.704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34</v>
      </c>
      <c r="Q10" s="2">
        <v>46097.722430555557</v>
      </c>
      <c r="R10" t="s">
        <v>32</v>
      </c>
      <c r="S10" t="s">
        <v>13</v>
      </c>
      <c r="T10">
        <v>0</v>
      </c>
      <c r="U10">
        <v>6.0049999999999999</v>
      </c>
      <c r="V10" s="3">
        <v>7363</v>
      </c>
      <c r="W10">
        <v>1.8280000000000001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34</v>
      </c>
      <c r="AE10" s="2">
        <v>46097.722430555557</v>
      </c>
      <c r="AF10" t="s">
        <v>32</v>
      </c>
      <c r="AG10" t="s">
        <v>13</v>
      </c>
      <c r="AH10">
        <v>0</v>
      </c>
      <c r="AI10">
        <v>12.343999999999999</v>
      </c>
      <c r="AJ10" s="3">
        <v>8346</v>
      </c>
      <c r="AK10">
        <v>1.518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ref="AT9:AT29" si="9">IF($H10&lt;10000,(($H10^2*-0.000000003714)+($H10*0.002605)+(1.389)),(IF($H10&lt;200000,(($H10^2*-0.0000000003764)+($H10*0.00218)+(3.158)),(IF($H10&lt;8000000,(($H10^2*-0.000000000004719)+($H10*0.001816)+(146.1)),(($V10^2*0.000000002578)+($V10*0.2173)+(2294)))))))</f>
        <v>1664.5814539270766</v>
      </c>
      <c r="AU10" s="17">
        <f t="shared" si="0"/>
        <v>1597.09517807564</v>
      </c>
      <c r="AW10" s="9">
        <f t="shared" si="1"/>
        <v>1766.7448998142886</v>
      </c>
      <c r="AX10" s="10">
        <f t="shared" si="2"/>
        <v>1982.9340279323999</v>
      </c>
      <c r="AZ10" s="11">
        <f t="shared" si="3"/>
        <v>1948.465158938096</v>
      </c>
      <c r="BA10" s="12">
        <f t="shared" si="4"/>
        <v>1740.8645881831997</v>
      </c>
      <c r="BC10" s="14">
        <f t="shared" si="5"/>
        <v>1892.456939665218</v>
      </c>
      <c r="BD10" s="15">
        <f t="shared" si="6"/>
        <v>1762.9661940158801</v>
      </c>
      <c r="BF10" s="16">
        <f t="shared" si="7"/>
        <v>1664.5814539270766</v>
      </c>
      <c r="BG10" s="17">
        <f t="shared" si="8"/>
        <v>1597.09517807564</v>
      </c>
      <c r="BI10">
        <v>46</v>
      </c>
      <c r="BJ10" t="s">
        <v>34</v>
      </c>
      <c r="BK10" s="2">
        <v>46097.722430555557</v>
      </c>
      <c r="BL10" t="s">
        <v>32</v>
      </c>
      <c r="BM10" t="s">
        <v>13</v>
      </c>
      <c r="BN10">
        <v>0</v>
      </c>
      <c r="BO10">
        <v>2.7210000000000001</v>
      </c>
      <c r="BP10" s="3">
        <v>5170031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35</v>
      </c>
      <c r="C11" s="2">
        <v>46097.743657407409</v>
      </c>
      <c r="D11" t="s">
        <v>26</v>
      </c>
      <c r="E11" t="s">
        <v>13</v>
      </c>
      <c r="F11">
        <v>0</v>
      </c>
      <c r="G11">
        <v>6.0739999999999998</v>
      </c>
      <c r="H11" s="3">
        <v>2701</v>
      </c>
      <c r="I11">
        <v>6.0000000000000001E-3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35</v>
      </c>
      <c r="Q11" s="2">
        <v>46097.743657407409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35</v>
      </c>
      <c r="AE11" s="2">
        <v>46097.743657407409</v>
      </c>
      <c r="AF11" t="s">
        <v>26</v>
      </c>
      <c r="AG11" t="s">
        <v>13</v>
      </c>
      <c r="AH11">
        <v>0</v>
      </c>
      <c r="AI11">
        <v>12.358000000000001</v>
      </c>
      <c r="AJ11" s="3">
        <v>1558</v>
      </c>
      <c r="AK11">
        <v>0.35899999999999999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9"/>
        <v>8.3980098806860006</v>
      </c>
      <c r="AU11" s="17">
        <f t="shared" si="0"/>
        <v>334.15747535756003</v>
      </c>
      <c r="AW11" s="9">
        <f t="shared" si="1"/>
        <v>3.7892515400000004</v>
      </c>
      <c r="AX11" s="10">
        <f t="shared" si="2"/>
        <v>357.32487927959994</v>
      </c>
      <c r="AZ11" s="11">
        <f t="shared" si="3"/>
        <v>3.2314122131400005</v>
      </c>
      <c r="BA11" s="12">
        <f t="shared" si="4"/>
        <v>353.34484363280001</v>
      </c>
      <c r="BC11" s="14">
        <f t="shared" si="5"/>
        <v>6.1978418406929983</v>
      </c>
      <c r="BD11" s="15">
        <f t="shared" si="6"/>
        <v>220.63748924852007</v>
      </c>
      <c r="BF11" s="16">
        <f t="shared" si="7"/>
        <v>8.3980098806860006</v>
      </c>
      <c r="BG11" s="17">
        <f t="shared" si="8"/>
        <v>334.15747535756003</v>
      </c>
      <c r="BI11">
        <v>47</v>
      </c>
      <c r="BJ11" t="s">
        <v>35</v>
      </c>
      <c r="BK11" s="2">
        <v>46097.743657407409</v>
      </c>
      <c r="BL11" t="s">
        <v>26</v>
      </c>
      <c r="BM11" t="s">
        <v>13</v>
      </c>
      <c r="BN11">
        <v>0</v>
      </c>
      <c r="BO11">
        <v>2.7210000000000001</v>
      </c>
      <c r="BP11" s="3">
        <v>5177376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36</v>
      </c>
      <c r="C12" s="2">
        <v>46097.764907407407</v>
      </c>
      <c r="D12">
        <v>125</v>
      </c>
      <c r="E12" t="s">
        <v>13</v>
      </c>
      <c r="F12">
        <v>0</v>
      </c>
      <c r="G12">
        <v>6.0609999999999999</v>
      </c>
      <c r="H12" s="3">
        <v>9848</v>
      </c>
      <c r="I12">
        <v>0.02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36</v>
      </c>
      <c r="Q12" s="2">
        <v>46097.764907407407</v>
      </c>
      <c r="R12">
        <v>125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36</v>
      </c>
      <c r="AE12" s="2">
        <v>46097.764907407407</v>
      </c>
      <c r="AF12">
        <v>125</v>
      </c>
      <c r="AG12" t="s">
        <v>13</v>
      </c>
      <c r="AH12">
        <v>0</v>
      </c>
      <c r="AI12">
        <v>12.334</v>
      </c>
      <c r="AJ12" s="3">
        <v>3479</v>
      </c>
      <c r="AK12">
        <v>0.68700000000000006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9"/>
        <v>26.682844751744</v>
      </c>
      <c r="AU12" s="17">
        <f t="shared" si="0"/>
        <v>691.23348215339001</v>
      </c>
      <c r="AW12" s="9">
        <f t="shared" si="1"/>
        <v>18.165156160000002</v>
      </c>
      <c r="AX12" s="10">
        <f t="shared" si="2"/>
        <v>821.63562055989996</v>
      </c>
      <c r="AZ12" s="11">
        <f t="shared" si="3"/>
        <v>25.887758562559998</v>
      </c>
      <c r="BA12" s="12">
        <f t="shared" si="4"/>
        <v>746.57121422820001</v>
      </c>
      <c r="BC12" s="14">
        <f t="shared" si="5"/>
        <v>31.845413502271995</v>
      </c>
      <c r="BD12" s="15">
        <f t="shared" si="6"/>
        <v>657.57438415013007</v>
      </c>
      <c r="BF12" s="16">
        <f t="shared" si="7"/>
        <v>26.682844751744</v>
      </c>
      <c r="BG12" s="17">
        <f t="shared" si="8"/>
        <v>691.23348215339001</v>
      </c>
      <c r="BI12">
        <v>48</v>
      </c>
      <c r="BJ12" t="s">
        <v>36</v>
      </c>
      <c r="BK12" s="2">
        <v>46097.764907407407</v>
      </c>
      <c r="BL12">
        <v>125</v>
      </c>
      <c r="BM12" t="s">
        <v>13</v>
      </c>
      <c r="BN12">
        <v>0</v>
      </c>
      <c r="BO12">
        <v>2.89</v>
      </c>
      <c r="BP12" s="3">
        <v>737470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37</v>
      </c>
      <c r="C13" s="2">
        <v>46097.786157407405</v>
      </c>
      <c r="D13">
        <v>266</v>
      </c>
      <c r="E13" t="s">
        <v>13</v>
      </c>
      <c r="F13">
        <v>0</v>
      </c>
      <c r="G13">
        <v>6.0620000000000003</v>
      </c>
      <c r="H13" s="3">
        <v>9843</v>
      </c>
      <c r="I13">
        <v>0.02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37</v>
      </c>
      <c r="Q13" s="2">
        <v>46097.786157407405</v>
      </c>
      <c r="R13">
        <v>266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37</v>
      </c>
      <c r="AE13" s="2">
        <v>46097.786157407405</v>
      </c>
      <c r="AF13">
        <v>266</v>
      </c>
      <c r="AG13" t="s">
        <v>13</v>
      </c>
      <c r="AH13">
        <v>0</v>
      </c>
      <c r="AI13">
        <v>12.334</v>
      </c>
      <c r="AJ13" s="3">
        <v>3761</v>
      </c>
      <c r="AK13">
        <v>0.73499999999999999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9"/>
        <v>26.670185413614</v>
      </c>
      <c r="AU13" s="17">
        <f t="shared" si="0"/>
        <v>743.67395388058992</v>
      </c>
      <c r="AW13" s="9">
        <f t="shared" si="1"/>
        <v>18.135815459999996</v>
      </c>
      <c r="AX13" s="10">
        <f t="shared" si="2"/>
        <v>889.51241031189988</v>
      </c>
      <c r="AZ13" s="11">
        <f t="shared" si="3"/>
        <v>25.86986784386</v>
      </c>
      <c r="BA13" s="12">
        <f t="shared" si="4"/>
        <v>804.25912176420002</v>
      </c>
      <c r="BC13" s="14">
        <f t="shared" si="5"/>
        <v>31.827167323956999</v>
      </c>
      <c r="BD13" s="15">
        <f t="shared" si="6"/>
        <v>721.68559891253005</v>
      </c>
      <c r="BF13" s="16">
        <f t="shared" si="7"/>
        <v>26.670185413614</v>
      </c>
      <c r="BG13" s="17">
        <f t="shared" si="8"/>
        <v>743.67395388058992</v>
      </c>
      <c r="BI13">
        <v>49</v>
      </c>
      <c r="BJ13" t="s">
        <v>37</v>
      </c>
      <c r="BK13" s="2">
        <v>46097.786157407405</v>
      </c>
      <c r="BL13">
        <v>266</v>
      </c>
      <c r="BM13" t="s">
        <v>13</v>
      </c>
      <c r="BN13">
        <v>0</v>
      </c>
      <c r="BO13">
        <v>2.8929999999999998</v>
      </c>
      <c r="BP13" s="3">
        <v>726946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38</v>
      </c>
      <c r="C14" s="2">
        <v>46097.80741898148</v>
      </c>
      <c r="D14">
        <v>274</v>
      </c>
      <c r="E14" t="s">
        <v>13</v>
      </c>
      <c r="F14">
        <v>0</v>
      </c>
      <c r="G14">
        <v>6.0590000000000002</v>
      </c>
      <c r="H14" s="3">
        <v>8408</v>
      </c>
      <c r="I14">
        <v>1.7000000000000001E-2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38</v>
      </c>
      <c r="Q14" s="2">
        <v>46097.80741898148</v>
      </c>
      <c r="R14">
        <v>274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38</v>
      </c>
      <c r="AE14" s="2">
        <v>46097.80741898148</v>
      </c>
      <c r="AF14">
        <v>274</v>
      </c>
      <c r="AG14" t="s">
        <v>13</v>
      </c>
      <c r="AH14">
        <v>0</v>
      </c>
      <c r="AI14">
        <v>12.317</v>
      </c>
      <c r="AJ14" s="3">
        <v>9829</v>
      </c>
      <c r="AK14">
        <v>1.772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9"/>
        <v>23.029280760704001</v>
      </c>
      <c r="AU14" s="17">
        <f t="shared" si="0"/>
        <v>1873.45294473539</v>
      </c>
      <c r="AW14" s="9">
        <f t="shared" si="1"/>
        <v>10.830890560000002</v>
      </c>
      <c r="AX14" s="10">
        <f t="shared" si="2"/>
        <v>2332.4925251799</v>
      </c>
      <c r="AZ14" s="11">
        <f t="shared" si="3"/>
        <v>20.853305672960001</v>
      </c>
      <c r="BA14" s="12">
        <f t="shared" si="4"/>
        <v>2043.2677673881999</v>
      </c>
      <c r="BC14" s="14">
        <f t="shared" si="5"/>
        <v>26.608064082752001</v>
      </c>
      <c r="BD14" s="15">
        <f t="shared" si="6"/>
        <v>2099.3226845441304</v>
      </c>
      <c r="BF14" s="16">
        <f t="shared" si="7"/>
        <v>23.029280760704001</v>
      </c>
      <c r="BG14" s="17">
        <f t="shared" si="8"/>
        <v>1873.45294473539</v>
      </c>
      <c r="BI14">
        <v>50</v>
      </c>
      <c r="BJ14" t="s">
        <v>38</v>
      </c>
      <c r="BK14" s="2">
        <v>46097.80741898148</v>
      </c>
      <c r="BL14">
        <v>274</v>
      </c>
      <c r="BM14" t="s">
        <v>13</v>
      </c>
      <c r="BN14">
        <v>0</v>
      </c>
      <c r="BO14">
        <v>2.8839999999999999</v>
      </c>
      <c r="BP14" s="3">
        <v>774735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39</v>
      </c>
      <c r="C15" s="2">
        <v>46097.828668981485</v>
      </c>
      <c r="D15">
        <v>68</v>
      </c>
      <c r="E15" t="s">
        <v>13</v>
      </c>
      <c r="F15">
        <v>0</v>
      </c>
      <c r="G15">
        <v>6.0739999999999998</v>
      </c>
      <c r="H15" s="3">
        <v>2876</v>
      </c>
      <c r="I15">
        <v>6.0000000000000001E-3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39</v>
      </c>
      <c r="Q15" s="2">
        <v>46097.828668981485</v>
      </c>
      <c r="R15">
        <v>68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39</v>
      </c>
      <c r="AE15" s="2">
        <v>46097.828668981485</v>
      </c>
      <c r="AF15">
        <v>68</v>
      </c>
      <c r="AG15" t="s">
        <v>13</v>
      </c>
      <c r="AH15">
        <v>0</v>
      </c>
      <c r="AI15">
        <v>12.324</v>
      </c>
      <c r="AJ15" s="3">
        <v>6423</v>
      </c>
      <c r="AK15">
        <v>1.19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9"/>
        <v>8.8502601095360003</v>
      </c>
      <c r="AU15" s="17">
        <f t="shared" si="0"/>
        <v>1238.9776139089099</v>
      </c>
      <c r="AW15" s="9">
        <f t="shared" si="1"/>
        <v>3.4824030399999995</v>
      </c>
      <c r="AX15" s="10">
        <f t="shared" si="2"/>
        <v>1526.6756268831</v>
      </c>
      <c r="AZ15" s="11">
        <f t="shared" si="3"/>
        <v>3.7164544246399993</v>
      </c>
      <c r="BA15" s="12">
        <f t="shared" si="4"/>
        <v>1348.3479552457998</v>
      </c>
      <c r="BC15" s="14">
        <f t="shared" si="5"/>
        <v>6.815480796368</v>
      </c>
      <c r="BD15" s="15">
        <f t="shared" si="6"/>
        <v>1326.4927206339701</v>
      </c>
      <c r="BF15" s="16">
        <f t="shared" si="7"/>
        <v>8.8502601095360003</v>
      </c>
      <c r="BG15" s="17">
        <f t="shared" si="8"/>
        <v>1238.9776139089099</v>
      </c>
      <c r="BI15">
        <v>51</v>
      </c>
      <c r="BJ15" t="s">
        <v>39</v>
      </c>
      <c r="BK15" s="2">
        <v>46097.828668981485</v>
      </c>
      <c r="BL15">
        <v>68</v>
      </c>
      <c r="BM15" t="s">
        <v>13</v>
      </c>
      <c r="BN15">
        <v>0</v>
      </c>
      <c r="BO15">
        <v>2.8820000000000001</v>
      </c>
      <c r="BP15" s="3">
        <v>815006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40</v>
      </c>
      <c r="C16" s="2">
        <v>46097.849907407406</v>
      </c>
      <c r="D16">
        <v>86</v>
      </c>
      <c r="E16" t="s">
        <v>13</v>
      </c>
      <c r="F16">
        <v>0</v>
      </c>
      <c r="G16">
        <v>6.0650000000000004</v>
      </c>
      <c r="H16" s="3">
        <v>10946</v>
      </c>
      <c r="I16">
        <v>2.1999999999999999E-2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40</v>
      </c>
      <c r="Q16" s="2">
        <v>46097.849907407406</v>
      </c>
      <c r="R16">
        <v>86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40</v>
      </c>
      <c r="AE16" s="2">
        <v>46097.849907407406</v>
      </c>
      <c r="AF16">
        <v>86</v>
      </c>
      <c r="AG16" t="s">
        <v>13</v>
      </c>
      <c r="AH16">
        <v>0</v>
      </c>
      <c r="AI16">
        <v>12.346</v>
      </c>
      <c r="AJ16" s="3">
        <v>5108</v>
      </c>
      <c r="AK16">
        <v>0.96499999999999997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9"/>
        <v>26.975181665617605</v>
      </c>
      <c r="AU16" s="17">
        <f t="shared" si="0"/>
        <v>994.23942065456004</v>
      </c>
      <c r="AW16" s="9">
        <f t="shared" si="1"/>
        <v>22.699729877468002</v>
      </c>
      <c r="AX16" s="10">
        <f t="shared" si="2"/>
        <v>1212.7315920495998</v>
      </c>
      <c r="AZ16" s="11">
        <f t="shared" si="3"/>
        <v>27.376851452259203</v>
      </c>
      <c r="BA16" s="12">
        <f t="shared" si="4"/>
        <v>1079.6797184927998</v>
      </c>
      <c r="BC16" s="14">
        <f t="shared" si="5"/>
        <v>32.504660677091998</v>
      </c>
      <c r="BD16" s="15">
        <f t="shared" si="6"/>
        <v>1027.8112820475201</v>
      </c>
      <c r="BF16" s="16">
        <f t="shared" si="7"/>
        <v>26.975181665617605</v>
      </c>
      <c r="BG16" s="17">
        <f t="shared" si="8"/>
        <v>994.23942065456004</v>
      </c>
      <c r="BI16">
        <v>52</v>
      </c>
      <c r="BJ16" t="s">
        <v>40</v>
      </c>
      <c r="BK16" s="2">
        <v>46097.849907407406</v>
      </c>
      <c r="BL16">
        <v>86</v>
      </c>
      <c r="BM16" t="s">
        <v>13</v>
      </c>
      <c r="BN16">
        <v>0</v>
      </c>
      <c r="BO16">
        <v>2.895</v>
      </c>
      <c r="BP16" s="3">
        <v>746317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41</v>
      </c>
      <c r="C17" s="2">
        <v>46097.871122685188</v>
      </c>
      <c r="D17">
        <v>105</v>
      </c>
      <c r="E17" t="s">
        <v>13</v>
      </c>
      <c r="F17">
        <v>0</v>
      </c>
      <c r="G17">
        <v>6.06</v>
      </c>
      <c r="H17" s="3">
        <v>8508</v>
      </c>
      <c r="I17">
        <v>1.7000000000000001E-2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41</v>
      </c>
      <c r="Q17" s="2">
        <v>46097.871122685188</v>
      </c>
      <c r="R17">
        <v>105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41</v>
      </c>
      <c r="AE17" s="2">
        <v>46097.871122685188</v>
      </c>
      <c r="AF17">
        <v>105</v>
      </c>
      <c r="AG17" t="s">
        <v>13</v>
      </c>
      <c r="AH17">
        <v>0</v>
      </c>
      <c r="AI17">
        <v>12.327</v>
      </c>
      <c r="AJ17" s="3">
        <v>9454</v>
      </c>
      <c r="AK17">
        <v>1.708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9"/>
        <v>23.283498158304003</v>
      </c>
      <c r="AU17" s="17">
        <f t="shared" si="0"/>
        <v>1803.5566427716401</v>
      </c>
      <c r="AW17" s="9">
        <f t="shared" ref="AW17:AW29" si="10">IF(H17&lt;10000,((H17^2*0.00000054)+(H17*-0.004765)+(12.72)),(IF(H17&lt;200000,((H17^2*-0.000000001577)+(H17*0.003043)+(-10.42)),(IF(H17&lt;8000000,((H17^2*-0.0000000000186)+(H17*0.00194)+(154.1)),((V17^2*-0.00000002)+(V17*0.2565)+(-1032)))))))</f>
        <v>11.267854559999998</v>
      </c>
      <c r="AX17" s="10">
        <f t="shared" ref="AX17:AX29" si="11">IF(AJ17&lt;45000,((-0.0000004561*AJ17^2)+(0.244*AJ17)+(-21.72)),((-0.0000000409*AJ17^2)+(0.2477*AJ17)+(-1777)))</f>
        <v>2244.2906412923999</v>
      </c>
      <c r="AZ17" s="11">
        <f t="shared" ref="AZ17:AZ29" si="12">IF(H17&lt;10000,((H17^2*0.00000005714)+(H17*0.002453)+(-3.811)),(IF(H17&lt;200000,((H17^2*-0.0000000002888)+(H17*0.002899)+(-4.321)),(IF(H17&lt;8000000,((H17^2*-0.0000000000062)+(H17*0.002143)+(157)),((V17^2*-0.000000031)+(V17*0.2771)+(-709.5)))))))</f>
        <v>21.195263696960001</v>
      </c>
      <c r="BA17" s="12">
        <f t="shared" ref="BA17:BA29" si="13">IF(AJ17&lt;45000,((-0.0000000598*AJ17^2)+(0.205*AJ17)+(34.1)),((-0.00000002403*AJ17^2)+(0.2063*AJ17)+(-550.7)))</f>
        <v>1966.8251886631999</v>
      </c>
      <c r="BC17" s="14">
        <f t="shared" ref="BC17:BC29" si="14">IF(H17&lt;10000,((H17^2*0.000000008493)+(H17*0.003482)+(-3.269)),(IF(H17&lt;200000,((H17^2*-0.000000000263)+(H17*0.002682)+(3.179)),(IF(H17&lt;8000000,((H17^2*-0.000000000005099)+(H17*0.002054)+(174.8)),((V17^2*-0.00000001014)+(V17*0.2415)+(1123)))))))</f>
        <v>26.970630841551994</v>
      </c>
      <c r="BD17" s="15">
        <f t="shared" ref="BD17:BD29" si="15">IF(AJ17&lt;45000,((-0.00000004907*AJ17^2)+(0.2277*AJ17)+(-134)),((-0.00000001062*AJ17^2)+(0.2147*AJ17)+(590.6)))</f>
        <v>2014.2900158478801</v>
      </c>
      <c r="BF17" s="16">
        <f t="shared" si="7"/>
        <v>23.283498158304003</v>
      </c>
      <c r="BG17" s="17">
        <f t="shared" si="8"/>
        <v>1803.5566427716401</v>
      </c>
      <c r="BI17">
        <v>53</v>
      </c>
      <c r="BJ17" t="s">
        <v>41</v>
      </c>
      <c r="BK17" s="2">
        <v>46097.871122685188</v>
      </c>
      <c r="BL17">
        <v>105</v>
      </c>
      <c r="BM17" t="s">
        <v>13</v>
      </c>
      <c r="BN17">
        <v>0</v>
      </c>
      <c r="BO17">
        <v>2.8839999999999999</v>
      </c>
      <c r="BP17" s="3">
        <v>802620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42</v>
      </c>
      <c r="C18" s="2">
        <v>46097.89234953704</v>
      </c>
      <c r="D18">
        <v>107</v>
      </c>
      <c r="E18" t="s">
        <v>13</v>
      </c>
      <c r="F18">
        <v>0</v>
      </c>
      <c r="G18">
        <v>6.0650000000000004</v>
      </c>
      <c r="H18" s="3">
        <v>11509</v>
      </c>
      <c r="I18">
        <v>2.3E-2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42</v>
      </c>
      <c r="Q18" s="2">
        <v>46097.89234953704</v>
      </c>
      <c r="R18">
        <v>107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42</v>
      </c>
      <c r="AE18" s="2">
        <v>46097.89234953704</v>
      </c>
      <c r="AF18">
        <v>107</v>
      </c>
      <c r="AG18" t="s">
        <v>13</v>
      </c>
      <c r="AH18">
        <v>0</v>
      </c>
      <c r="AI18">
        <v>12.347</v>
      </c>
      <c r="AJ18" s="3">
        <v>5232</v>
      </c>
      <c r="AK18">
        <v>0.98599999999999999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9"/>
        <v>28.197763154711602</v>
      </c>
      <c r="AU18" s="17">
        <f t="shared" si="0"/>
        <v>1017.3121091609601</v>
      </c>
      <c r="AW18" s="9">
        <f t="shared" si="10"/>
        <v>24.393002183263</v>
      </c>
      <c r="AX18" s="10">
        <f t="shared" si="11"/>
        <v>1242.4027988736</v>
      </c>
      <c r="AZ18" s="11">
        <f t="shared" si="12"/>
        <v>29.005337395007203</v>
      </c>
      <c r="BA18" s="12">
        <f t="shared" si="13"/>
        <v>1105.0230453247998</v>
      </c>
      <c r="BC18" s="14">
        <f t="shared" si="14"/>
        <v>34.011301787697001</v>
      </c>
      <c r="BD18" s="15">
        <f t="shared" si="15"/>
        <v>1055.9831664563201</v>
      </c>
      <c r="BF18" s="16">
        <f t="shared" si="7"/>
        <v>28.197763154711602</v>
      </c>
      <c r="BG18" s="17">
        <f t="shared" si="8"/>
        <v>1017.3121091609601</v>
      </c>
      <c r="BI18">
        <v>54</v>
      </c>
      <c r="BJ18" t="s">
        <v>42</v>
      </c>
      <c r="BK18" s="2">
        <v>46097.89234953704</v>
      </c>
      <c r="BL18">
        <v>107</v>
      </c>
      <c r="BM18" t="s">
        <v>13</v>
      </c>
      <c r="BN18">
        <v>0</v>
      </c>
      <c r="BO18">
        <v>2.89</v>
      </c>
      <c r="BP18" s="3">
        <v>814654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43</v>
      </c>
      <c r="C19" s="2">
        <v>46097.913587962961</v>
      </c>
      <c r="D19">
        <v>218</v>
      </c>
      <c r="E19" t="s">
        <v>13</v>
      </c>
      <c r="F19">
        <v>0</v>
      </c>
      <c r="G19">
        <v>6.0730000000000004</v>
      </c>
      <c r="H19" s="3">
        <v>2714</v>
      </c>
      <c r="I19">
        <v>6.0000000000000001E-3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43</v>
      </c>
      <c r="Q19" s="2">
        <v>46097.913587962961</v>
      </c>
      <c r="R19">
        <v>218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43</v>
      </c>
      <c r="AE19" s="2">
        <v>46097.913587962961</v>
      </c>
      <c r="AF19">
        <v>218</v>
      </c>
      <c r="AG19" t="s">
        <v>13</v>
      </c>
      <c r="AH19">
        <v>0</v>
      </c>
      <c r="AI19">
        <v>12.333</v>
      </c>
      <c r="AJ19" s="3">
        <v>6164</v>
      </c>
      <c r="AK19">
        <v>1.145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9"/>
        <v>8.4316134336560005</v>
      </c>
      <c r="AU19" s="17">
        <f t="shared" si="0"/>
        <v>1190.7646373278401</v>
      </c>
      <c r="AW19" s="9">
        <f t="shared" si="10"/>
        <v>3.7653198400000019</v>
      </c>
      <c r="AX19" s="10">
        <f t="shared" si="11"/>
        <v>1464.9665279344001</v>
      </c>
      <c r="AZ19" s="11">
        <f t="shared" si="12"/>
        <v>3.2673235834399996</v>
      </c>
      <c r="BA19" s="12">
        <f t="shared" si="13"/>
        <v>1295.4479052191998</v>
      </c>
      <c r="BC19" s="14">
        <f t="shared" si="14"/>
        <v>6.2437057054280007</v>
      </c>
      <c r="BD19" s="15">
        <f t="shared" si="15"/>
        <v>1267.6783904532801</v>
      </c>
      <c r="BF19" s="16">
        <f t="shared" si="7"/>
        <v>8.4316134336560005</v>
      </c>
      <c r="BG19" s="17">
        <f t="shared" si="8"/>
        <v>1190.7646373278401</v>
      </c>
      <c r="BI19">
        <v>55</v>
      </c>
      <c r="BJ19" t="s">
        <v>43</v>
      </c>
      <c r="BK19" s="2">
        <v>46097.913587962961</v>
      </c>
      <c r="BL19">
        <v>218</v>
      </c>
      <c r="BM19" t="s">
        <v>13</v>
      </c>
      <c r="BN19">
        <v>0</v>
      </c>
      <c r="BO19">
        <v>2.8849999999999998</v>
      </c>
      <c r="BP19" s="3">
        <v>798898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44</v>
      </c>
      <c r="C20" s="2">
        <v>46097.93482638889</v>
      </c>
      <c r="D20">
        <v>287</v>
      </c>
      <c r="E20" t="s">
        <v>13</v>
      </c>
      <c r="F20">
        <v>0</v>
      </c>
      <c r="G20">
        <v>6.0629999999999997</v>
      </c>
      <c r="H20" s="3">
        <v>6934</v>
      </c>
      <c r="I20">
        <v>1.4E-2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44</v>
      </c>
      <c r="Q20" s="2">
        <v>46097.93482638889</v>
      </c>
      <c r="R20">
        <v>287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44</v>
      </c>
      <c r="AE20" s="2">
        <v>46097.93482638889</v>
      </c>
      <c r="AF20">
        <v>287</v>
      </c>
      <c r="AG20" t="s">
        <v>13</v>
      </c>
      <c r="AH20">
        <v>0</v>
      </c>
      <c r="AI20">
        <v>12.318</v>
      </c>
      <c r="AJ20" s="3">
        <v>20473</v>
      </c>
      <c r="AK20">
        <v>3.59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9"/>
        <v>19.273499557815999</v>
      </c>
      <c r="AU20" s="17">
        <f t="shared" si="0"/>
        <v>3861.5872540609098</v>
      </c>
      <c r="AW20" s="9">
        <f t="shared" si="10"/>
        <v>5.642882240000004</v>
      </c>
      <c r="AX20" s="10">
        <f t="shared" si="11"/>
        <v>4782.5205452030996</v>
      </c>
      <c r="AZ20" s="11">
        <f t="shared" si="12"/>
        <v>15.945413541839997</v>
      </c>
      <c r="BA20" s="12">
        <f t="shared" si="13"/>
        <v>4206.0002050058001</v>
      </c>
      <c r="BC20" s="14">
        <f t="shared" si="14"/>
        <v>21.283534463507998</v>
      </c>
      <c r="BD20" s="15">
        <f t="shared" si="15"/>
        <v>4507.1347172179703</v>
      </c>
      <c r="BF20" s="16">
        <f t="shared" si="7"/>
        <v>19.273499557815999</v>
      </c>
      <c r="BG20" s="17">
        <f t="shared" si="8"/>
        <v>3861.5872540609098</v>
      </c>
      <c r="BI20">
        <v>56</v>
      </c>
      <c r="BJ20" t="s">
        <v>44</v>
      </c>
      <c r="BK20" s="2">
        <v>46097.93482638889</v>
      </c>
      <c r="BL20">
        <v>287</v>
      </c>
      <c r="BM20" t="s">
        <v>13</v>
      </c>
      <c r="BN20">
        <v>0</v>
      </c>
      <c r="BO20">
        <v>2.8759999999999999</v>
      </c>
      <c r="BP20" s="3">
        <v>954679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45</v>
      </c>
      <c r="C21" s="2">
        <v>46097.956053240741</v>
      </c>
      <c r="D21">
        <v>358</v>
      </c>
      <c r="E21" t="s">
        <v>13</v>
      </c>
      <c r="F21">
        <v>0</v>
      </c>
      <c r="G21">
        <v>6.0650000000000004</v>
      </c>
      <c r="H21" s="3">
        <v>7481</v>
      </c>
      <c r="I21">
        <v>1.4999999999999999E-2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45</v>
      </c>
      <c r="Q21" s="2">
        <v>46097.956053240741</v>
      </c>
      <c r="R21">
        <v>358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45</v>
      </c>
      <c r="AE21" s="2">
        <v>46097.956053240741</v>
      </c>
      <c r="AF21">
        <v>358</v>
      </c>
      <c r="AG21" t="s">
        <v>13</v>
      </c>
      <c r="AH21">
        <v>0</v>
      </c>
      <c r="AI21">
        <v>12.327999999999999</v>
      </c>
      <c r="AJ21" s="3">
        <v>14941</v>
      </c>
      <c r="AK21">
        <v>2.645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9"/>
        <v>20.669149649246002</v>
      </c>
      <c r="AU21" s="17">
        <f t="shared" si="0"/>
        <v>2827.2832262849902</v>
      </c>
      <c r="AW21" s="9">
        <f t="shared" si="10"/>
        <v>7.294329939999999</v>
      </c>
      <c r="AX21" s="10">
        <f t="shared" si="11"/>
        <v>3522.0672093159001</v>
      </c>
      <c r="AZ21" s="11">
        <f t="shared" si="12"/>
        <v>17.737753727539999</v>
      </c>
      <c r="BA21" s="12">
        <f t="shared" si="13"/>
        <v>3083.6556378361997</v>
      </c>
      <c r="BC21" s="14">
        <f t="shared" si="14"/>
        <v>23.255155810973001</v>
      </c>
      <c r="BD21" s="15">
        <f t="shared" si="15"/>
        <v>3257.1116330873301</v>
      </c>
      <c r="BF21" s="16">
        <f t="shared" si="7"/>
        <v>20.669149649246002</v>
      </c>
      <c r="BG21" s="17">
        <f t="shared" si="8"/>
        <v>2827.2832262849902</v>
      </c>
      <c r="BI21">
        <v>57</v>
      </c>
      <c r="BJ21" t="s">
        <v>45</v>
      </c>
      <c r="BK21" s="2">
        <v>46097.956053240741</v>
      </c>
      <c r="BL21">
        <v>358</v>
      </c>
      <c r="BM21" t="s">
        <v>13</v>
      </c>
      <c r="BN21">
        <v>0</v>
      </c>
      <c r="BO21">
        <v>2.8719999999999999</v>
      </c>
      <c r="BP21" s="3">
        <v>1029943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46</v>
      </c>
      <c r="C22" s="2">
        <v>46097.97729166667</v>
      </c>
      <c r="D22">
        <v>390</v>
      </c>
      <c r="E22" t="s">
        <v>13</v>
      </c>
      <c r="F22">
        <v>0</v>
      </c>
      <c r="G22">
        <v>6.069</v>
      </c>
      <c r="H22" s="3">
        <v>7147</v>
      </c>
      <c r="I22">
        <v>1.4999999999999999E-2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46</v>
      </c>
      <c r="Q22" s="2">
        <v>46097.97729166667</v>
      </c>
      <c r="R22">
        <v>390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46</v>
      </c>
      <c r="AE22" s="2">
        <v>46097.97729166667</v>
      </c>
      <c r="AF22">
        <v>390</v>
      </c>
      <c r="AG22" t="s">
        <v>13</v>
      </c>
      <c r="AH22">
        <v>0</v>
      </c>
      <c r="AI22">
        <v>12.326000000000001</v>
      </c>
      <c r="AJ22" s="3">
        <v>20234</v>
      </c>
      <c r="AK22">
        <v>3.5489999999999999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6">
        <f t="shared" si="9"/>
        <v>19.817225332173997</v>
      </c>
      <c r="AU22" s="17">
        <f t="shared" si="0"/>
        <v>3816.8567541172401</v>
      </c>
      <c r="AW22" s="9">
        <f t="shared" si="10"/>
        <v>6.247533859999999</v>
      </c>
      <c r="AX22" s="10">
        <f t="shared" si="11"/>
        <v>4728.6419297883995</v>
      </c>
      <c r="AZ22" s="11">
        <f t="shared" si="12"/>
        <v>16.63927985826</v>
      </c>
      <c r="BA22" s="12">
        <f t="shared" si="13"/>
        <v>4157.5869975912001</v>
      </c>
      <c r="BC22" s="14">
        <f t="shared" si="14"/>
        <v>22.050673119236997</v>
      </c>
      <c r="BD22" s="15">
        <f t="shared" si="15"/>
        <v>4453.1918179230806</v>
      </c>
      <c r="BF22" s="16">
        <f t="shared" si="7"/>
        <v>19.817225332173997</v>
      </c>
      <c r="BG22" s="17">
        <f t="shared" si="8"/>
        <v>3816.8567541172401</v>
      </c>
      <c r="BI22">
        <v>58</v>
      </c>
      <c r="BJ22" t="s">
        <v>46</v>
      </c>
      <c r="BK22" s="2">
        <v>46097.97729166667</v>
      </c>
      <c r="BL22">
        <v>390</v>
      </c>
      <c r="BM22" t="s">
        <v>13</v>
      </c>
      <c r="BN22">
        <v>0</v>
      </c>
      <c r="BO22">
        <v>2.8879999999999999</v>
      </c>
      <c r="BP22" s="3">
        <v>840576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47</v>
      </c>
      <c r="C23" s="2">
        <v>46097.998518518521</v>
      </c>
      <c r="D23">
        <v>186</v>
      </c>
      <c r="E23" t="s">
        <v>13</v>
      </c>
      <c r="F23">
        <v>0</v>
      </c>
      <c r="G23">
        <v>6.0659999999999998</v>
      </c>
      <c r="H23" s="3">
        <v>7012</v>
      </c>
      <c r="I23">
        <v>1.4E-2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47</v>
      </c>
      <c r="Q23" s="2">
        <v>46097.998518518521</v>
      </c>
      <c r="R23">
        <v>186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47</v>
      </c>
      <c r="AE23" s="2">
        <v>46097.998518518521</v>
      </c>
      <c r="AF23">
        <v>186</v>
      </c>
      <c r="AG23" t="s">
        <v>13</v>
      </c>
      <c r="AH23">
        <v>0</v>
      </c>
      <c r="AI23">
        <v>12.326000000000001</v>
      </c>
      <c r="AJ23" s="3">
        <v>20065</v>
      </c>
      <c r="AK23">
        <v>3.52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6">
        <f t="shared" si="9"/>
        <v>19.472649513183999</v>
      </c>
      <c r="AU23" s="17">
        <f t="shared" si="0"/>
        <v>3785.2297052127501</v>
      </c>
      <c r="AW23" s="9">
        <f t="shared" si="10"/>
        <v>5.8586177600000031</v>
      </c>
      <c r="AX23" s="10">
        <f t="shared" si="11"/>
        <v>4690.5122129774991</v>
      </c>
      <c r="AZ23" s="11">
        <f t="shared" si="12"/>
        <v>16.198903748159999</v>
      </c>
      <c r="BA23" s="12">
        <f t="shared" si="13"/>
        <v>4123.349267345</v>
      </c>
      <c r="BC23" s="14">
        <f t="shared" si="14"/>
        <v>21.564369046991999</v>
      </c>
      <c r="BD23" s="15">
        <f t="shared" si="15"/>
        <v>4415.0447106792499</v>
      </c>
      <c r="BF23" s="16">
        <f t="shared" si="7"/>
        <v>19.472649513183999</v>
      </c>
      <c r="BG23" s="17">
        <f t="shared" si="8"/>
        <v>3785.2297052127501</v>
      </c>
      <c r="BI23">
        <v>59</v>
      </c>
      <c r="BJ23" t="s">
        <v>47</v>
      </c>
      <c r="BK23" s="2">
        <v>46097.998518518521</v>
      </c>
      <c r="BL23">
        <v>186</v>
      </c>
      <c r="BM23" t="s">
        <v>13</v>
      </c>
      <c r="BN23">
        <v>0</v>
      </c>
      <c r="BO23">
        <v>2.8820000000000001</v>
      </c>
      <c r="BP23" s="3">
        <v>868492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48</v>
      </c>
      <c r="C24" s="2">
        <v>46098.019768518519</v>
      </c>
      <c r="D24">
        <v>71</v>
      </c>
      <c r="E24" t="s">
        <v>13</v>
      </c>
      <c r="F24">
        <v>0</v>
      </c>
      <c r="G24">
        <v>6.0640000000000001</v>
      </c>
      <c r="H24" s="3">
        <v>9364</v>
      </c>
      <c r="I24">
        <v>1.9E-2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48</v>
      </c>
      <c r="Q24" s="2">
        <v>46098.019768518519</v>
      </c>
      <c r="R24">
        <v>71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48</v>
      </c>
      <c r="AE24" s="2">
        <v>46098.019768518519</v>
      </c>
      <c r="AF24">
        <v>71</v>
      </c>
      <c r="AG24" t="s">
        <v>13</v>
      </c>
      <c r="AH24">
        <v>0</v>
      </c>
      <c r="AI24">
        <v>12.331</v>
      </c>
      <c r="AJ24" s="3">
        <v>10457</v>
      </c>
      <c r="AK24">
        <v>1.879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8">
        <v>60</v>
      </c>
      <c r="AT24" s="16">
        <f t="shared" si="9"/>
        <v>25.456559781855997</v>
      </c>
      <c r="AU24" s="17">
        <f t="shared" si="0"/>
        <v>1990.5284953057101</v>
      </c>
      <c r="AW24" s="9">
        <f t="shared" si="10"/>
        <v>15.450167840000001</v>
      </c>
      <c r="AX24" s="10">
        <f t="shared" si="11"/>
        <v>2479.9139899710999</v>
      </c>
      <c r="AZ24" s="11">
        <f t="shared" si="12"/>
        <v>24.169184101439999</v>
      </c>
      <c r="BA24" s="12">
        <f t="shared" si="13"/>
        <v>2171.2459388297998</v>
      </c>
      <c r="BC24" s="14">
        <f t="shared" si="14"/>
        <v>30.081152424528</v>
      </c>
      <c r="BD24" s="15">
        <f t="shared" si="15"/>
        <v>2241.6931519795698</v>
      </c>
      <c r="BF24" s="16">
        <f t="shared" si="7"/>
        <v>25.456559781855997</v>
      </c>
      <c r="BG24" s="17">
        <f t="shared" si="8"/>
        <v>1990.5284953057101</v>
      </c>
      <c r="BI24">
        <v>60</v>
      </c>
      <c r="BJ24" t="s">
        <v>48</v>
      </c>
      <c r="BK24" s="2">
        <v>46098.019768518519</v>
      </c>
      <c r="BL24">
        <v>71</v>
      </c>
      <c r="BM24" t="s">
        <v>13</v>
      </c>
      <c r="BN24">
        <v>0</v>
      </c>
      <c r="BO24">
        <v>2.8780000000000001</v>
      </c>
      <c r="BP24" s="3">
        <v>959447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49</v>
      </c>
      <c r="C25" s="2">
        <v>46098.040995370371</v>
      </c>
      <c r="D25">
        <v>376</v>
      </c>
      <c r="E25" t="s">
        <v>13</v>
      </c>
      <c r="F25">
        <v>0</v>
      </c>
      <c r="G25">
        <v>6.0750000000000002</v>
      </c>
      <c r="H25" s="3">
        <v>6905</v>
      </c>
      <c r="I25">
        <v>1.4E-2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49</v>
      </c>
      <c r="Q25" s="2">
        <v>46098.040995370371</v>
      </c>
      <c r="R25">
        <v>376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49</v>
      </c>
      <c r="AE25" s="2">
        <v>46098.040995370371</v>
      </c>
      <c r="AF25">
        <v>376</v>
      </c>
      <c r="AG25" t="s">
        <v>13</v>
      </c>
      <c r="AH25">
        <v>0</v>
      </c>
      <c r="AI25">
        <v>12.342000000000001</v>
      </c>
      <c r="AJ25" s="3">
        <v>15432</v>
      </c>
      <c r="AK25">
        <v>2.7290000000000001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8">
        <v>61</v>
      </c>
      <c r="AT25" s="16">
        <f t="shared" si="9"/>
        <v>19.199445101150001</v>
      </c>
      <c r="AU25" s="17">
        <f t="shared" si="0"/>
        <v>2918.9956676729603</v>
      </c>
      <c r="AW25" s="9">
        <f t="shared" si="10"/>
        <v>5.564348500000003</v>
      </c>
      <c r="AX25" s="10">
        <f t="shared" si="11"/>
        <v>3635.0693247936001</v>
      </c>
      <c r="AZ25" s="11">
        <f t="shared" si="12"/>
        <v>15.851344488499997</v>
      </c>
      <c r="BA25" s="12">
        <f t="shared" si="13"/>
        <v>3183.4188318848001</v>
      </c>
      <c r="BC25" s="14">
        <f t="shared" si="14"/>
        <v>21.179147959325</v>
      </c>
      <c r="BD25" s="15">
        <f t="shared" si="15"/>
        <v>3368.1805451603204</v>
      </c>
      <c r="BF25" s="16">
        <f t="shared" si="7"/>
        <v>19.199445101150001</v>
      </c>
      <c r="BG25" s="17">
        <f t="shared" si="8"/>
        <v>2918.9956676729603</v>
      </c>
      <c r="BI25">
        <v>61</v>
      </c>
      <c r="BJ25" t="s">
        <v>49</v>
      </c>
      <c r="BK25" s="2">
        <v>46098.040995370371</v>
      </c>
      <c r="BL25">
        <v>376</v>
      </c>
      <c r="BM25" t="s">
        <v>13</v>
      </c>
      <c r="BN25">
        <v>0</v>
      </c>
      <c r="BO25">
        <v>2.883</v>
      </c>
      <c r="BP25" s="3">
        <v>1007098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50</v>
      </c>
      <c r="C26" s="2">
        <v>46098.062210648146</v>
      </c>
      <c r="D26">
        <v>129</v>
      </c>
      <c r="E26" t="s">
        <v>13</v>
      </c>
      <c r="F26">
        <v>0</v>
      </c>
      <c r="G26">
        <v>6.0629999999999997</v>
      </c>
      <c r="H26" s="3">
        <v>53125</v>
      </c>
      <c r="I26">
        <v>0.108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50</v>
      </c>
      <c r="Q26" s="2">
        <v>46098.062210648146</v>
      </c>
      <c r="R26">
        <v>129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50</v>
      </c>
      <c r="AE26" s="2">
        <v>46098.062210648146</v>
      </c>
      <c r="AF26">
        <v>129</v>
      </c>
      <c r="AG26" t="s">
        <v>13</v>
      </c>
      <c r="AH26">
        <v>0</v>
      </c>
      <c r="AI26">
        <v>12.292999999999999</v>
      </c>
      <c r="AJ26" s="3">
        <v>48723</v>
      </c>
      <c r="AK26">
        <v>8.4149999999999991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8">
        <v>62</v>
      </c>
      <c r="AT26" s="16">
        <f t="shared" si="9"/>
        <v>117.90819921875</v>
      </c>
      <c r="AU26" s="17">
        <f t="shared" si="0"/>
        <v>9586.7576464612321</v>
      </c>
      <c r="AW26" s="9">
        <f t="shared" si="10"/>
        <v>146.78866210937503</v>
      </c>
      <c r="AX26" s="10">
        <f t="shared" si="11"/>
        <v>10194.593333183901</v>
      </c>
      <c r="AZ26" s="11">
        <f t="shared" si="12"/>
        <v>148.8733046875</v>
      </c>
      <c r="BA26" s="12">
        <f t="shared" si="13"/>
        <v>9443.8093445821305</v>
      </c>
      <c r="BC26" s="14">
        <f t="shared" si="14"/>
        <v>144.91799414062498</v>
      </c>
      <c r="BD26" s="15">
        <f t="shared" si="15"/>
        <v>11026.216955658021</v>
      </c>
      <c r="BF26" s="16">
        <f t="shared" si="7"/>
        <v>117.90819921875</v>
      </c>
      <c r="BG26" s="17">
        <f t="shared" si="8"/>
        <v>9586.7576464612321</v>
      </c>
      <c r="BI26">
        <v>62</v>
      </c>
      <c r="BJ26" t="s">
        <v>50</v>
      </c>
      <c r="BK26" s="2">
        <v>46098.062210648146</v>
      </c>
      <c r="BL26">
        <v>129</v>
      </c>
      <c r="BM26" t="s">
        <v>13</v>
      </c>
      <c r="BN26">
        <v>0</v>
      </c>
      <c r="BO26">
        <v>2.887</v>
      </c>
      <c r="BP26" s="3">
        <v>789483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51</v>
      </c>
      <c r="C27" s="2">
        <v>46098.083449074074</v>
      </c>
      <c r="D27">
        <v>268</v>
      </c>
      <c r="E27" t="s">
        <v>13</v>
      </c>
      <c r="F27">
        <v>0</v>
      </c>
      <c r="G27">
        <v>6.0659999999999998</v>
      </c>
      <c r="H27" s="3">
        <v>9167</v>
      </c>
      <c r="I27">
        <v>1.9E-2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51</v>
      </c>
      <c r="Q27" s="2">
        <v>46098.083449074074</v>
      </c>
      <c r="R27">
        <v>268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51</v>
      </c>
      <c r="AE27" s="2">
        <v>46098.083449074074</v>
      </c>
      <c r="AF27">
        <v>268</v>
      </c>
      <c r="AG27" t="s">
        <v>13</v>
      </c>
      <c r="AH27">
        <v>0</v>
      </c>
      <c r="AI27">
        <v>12.339</v>
      </c>
      <c r="AJ27" s="3">
        <v>10808</v>
      </c>
      <c r="AK27">
        <v>1.9390000000000001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8">
        <v>63</v>
      </c>
      <c r="AT27" s="16">
        <f t="shared" si="9"/>
        <v>24.956933136253998</v>
      </c>
      <c r="AU27" s="17">
        <f t="shared" si="0"/>
        <v>2055.9763324025598</v>
      </c>
      <c r="AW27" s="9">
        <f t="shared" si="10"/>
        <v>14.417545060000004</v>
      </c>
      <c r="AX27" s="10">
        <f t="shared" si="11"/>
        <v>2562.1536527296003</v>
      </c>
      <c r="AZ27" s="11">
        <f t="shared" si="12"/>
        <v>23.477347417459999</v>
      </c>
      <c r="BA27" s="12">
        <f t="shared" si="13"/>
        <v>2242.7545907327999</v>
      </c>
      <c r="BC27" s="14">
        <f t="shared" si="14"/>
        <v>29.364193819276998</v>
      </c>
      <c r="BD27" s="15">
        <f t="shared" si="15"/>
        <v>2321.24959276352</v>
      </c>
      <c r="BF27" s="16">
        <f t="shared" si="7"/>
        <v>24.956933136253998</v>
      </c>
      <c r="BG27" s="17">
        <f t="shared" si="8"/>
        <v>2055.9763324025598</v>
      </c>
      <c r="BI27">
        <v>63</v>
      </c>
      <c r="BJ27" t="s">
        <v>51</v>
      </c>
      <c r="BK27" s="2">
        <v>46098.083449074074</v>
      </c>
      <c r="BL27">
        <v>268</v>
      </c>
      <c r="BM27" t="s">
        <v>13</v>
      </c>
      <c r="BN27">
        <v>0</v>
      </c>
      <c r="BO27">
        <v>2.88</v>
      </c>
      <c r="BP27" s="3">
        <v>920423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52</v>
      </c>
      <c r="C28" s="2">
        <v>46098.104687500003</v>
      </c>
      <c r="D28">
        <v>151</v>
      </c>
      <c r="E28" t="s">
        <v>13</v>
      </c>
      <c r="F28">
        <v>0</v>
      </c>
      <c r="G28">
        <v>6.0629999999999997</v>
      </c>
      <c r="H28" s="3">
        <v>50462</v>
      </c>
      <c r="I28">
        <v>0.10199999999999999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52</v>
      </c>
      <c r="Q28" s="2">
        <v>46098.104687500003</v>
      </c>
      <c r="R28">
        <v>151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52</v>
      </c>
      <c r="AE28" s="2">
        <v>46098.104687500003</v>
      </c>
      <c r="AF28">
        <v>151</v>
      </c>
      <c r="AG28" t="s">
        <v>13</v>
      </c>
      <c r="AH28">
        <v>0</v>
      </c>
      <c r="AI28">
        <v>12.298</v>
      </c>
      <c r="AJ28" s="3">
        <v>49439</v>
      </c>
      <c r="AK28">
        <v>8.5380000000000003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8">
        <v>64</v>
      </c>
      <c r="AT28" s="16">
        <f t="shared" si="9"/>
        <v>112.2066899796784</v>
      </c>
      <c r="AU28" s="17">
        <f t="shared" si="0"/>
        <v>9703.9124977865704</v>
      </c>
      <c r="AW28" s="9">
        <f t="shared" si="10"/>
        <v>139.12017199881203</v>
      </c>
      <c r="AX28" s="10">
        <f t="shared" si="11"/>
        <v>10369.0719179111</v>
      </c>
      <c r="AZ28" s="11">
        <f t="shared" si="12"/>
        <v>141.23293379737282</v>
      </c>
      <c r="BA28" s="12">
        <f t="shared" si="13"/>
        <v>9589.8312202543693</v>
      </c>
      <c r="BC28" s="14">
        <f t="shared" si="14"/>
        <v>137.84837726422799</v>
      </c>
      <c r="BD28" s="15">
        <f t="shared" si="15"/>
        <v>11179.19573966298</v>
      </c>
      <c r="BF28" s="16">
        <f t="shared" si="7"/>
        <v>112.2066899796784</v>
      </c>
      <c r="BG28" s="17">
        <f t="shared" si="8"/>
        <v>9703.9124977865704</v>
      </c>
      <c r="BI28">
        <v>64</v>
      </c>
      <c r="BJ28" t="s">
        <v>52</v>
      </c>
      <c r="BK28" s="2">
        <v>46098.104687500003</v>
      </c>
      <c r="BL28">
        <v>151</v>
      </c>
      <c r="BM28" t="s">
        <v>13</v>
      </c>
      <c r="BN28">
        <v>0</v>
      </c>
      <c r="BO28">
        <v>2.8849999999999998</v>
      </c>
      <c r="BP28" s="3">
        <v>848854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53</v>
      </c>
      <c r="C29" s="2">
        <v>46098.125902777778</v>
      </c>
      <c r="D29">
        <v>116</v>
      </c>
      <c r="E29" t="s">
        <v>13</v>
      </c>
      <c r="F29">
        <v>0</v>
      </c>
      <c r="G29">
        <v>6.0720000000000001</v>
      </c>
      <c r="H29" s="3">
        <v>7496</v>
      </c>
      <c r="I29">
        <v>1.4999999999999999E-2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53</v>
      </c>
      <c r="Q29" s="2">
        <v>46098.125902777778</v>
      </c>
      <c r="R29">
        <v>116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53</v>
      </c>
      <c r="AE29" s="2">
        <v>46098.125902777778</v>
      </c>
      <c r="AF29">
        <v>116</v>
      </c>
      <c r="AG29" t="s">
        <v>13</v>
      </c>
      <c r="AH29">
        <v>0</v>
      </c>
      <c r="AI29">
        <v>12.33</v>
      </c>
      <c r="AJ29" s="3">
        <v>20743</v>
      </c>
      <c r="AK29" s="13">
        <v>3.6360000000000001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8">
        <v>65</v>
      </c>
      <c r="AT29" s="16">
        <f t="shared" si="9"/>
        <v>20.707390280576</v>
      </c>
      <c r="AU29" s="17">
        <f t="shared" si="0"/>
        <v>3912.1245366337102</v>
      </c>
      <c r="AW29" s="9">
        <f t="shared" si="10"/>
        <v>7.3441686400000012</v>
      </c>
      <c r="AX29" s="10">
        <f t="shared" si="11"/>
        <v>4843.3249184510996</v>
      </c>
      <c r="AZ29" s="11">
        <f t="shared" si="12"/>
        <v>17.78738551424</v>
      </c>
      <c r="BA29" s="12">
        <f t="shared" si="13"/>
        <v>4260.6847314697998</v>
      </c>
      <c r="BC29" s="14">
        <f t="shared" si="14"/>
        <v>23.309293805887997</v>
      </c>
      <c r="BD29" s="15">
        <f t="shared" si="15"/>
        <v>4568.0676505555703</v>
      </c>
      <c r="BF29" s="16">
        <f t="shared" si="7"/>
        <v>20.707390280576</v>
      </c>
      <c r="BG29" s="17">
        <f t="shared" si="8"/>
        <v>3912.1245366337102</v>
      </c>
      <c r="BI29">
        <v>65</v>
      </c>
      <c r="BJ29" t="s">
        <v>53</v>
      </c>
      <c r="BK29" s="2">
        <v>46098.125902777778</v>
      </c>
      <c r="BL29">
        <v>116</v>
      </c>
      <c r="BM29" t="s">
        <v>13</v>
      </c>
      <c r="BN29">
        <v>0</v>
      </c>
      <c r="BO29">
        <v>2.8780000000000001</v>
      </c>
      <c r="BP29" s="3">
        <v>970979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C30" s="2"/>
      <c r="H30" s="3"/>
      <c r="Q30" s="2"/>
      <c r="AE30" s="2"/>
      <c r="AJ30" s="3"/>
      <c r="AS30" s="8"/>
      <c r="AT30" s="14"/>
      <c r="AU30" s="15"/>
      <c r="AW30" s="9"/>
      <c r="AX30" s="10"/>
      <c r="AZ30" s="11"/>
      <c r="BA30" s="12"/>
      <c r="BC30" s="14"/>
      <c r="BD30" s="15"/>
      <c r="BF30" s="14"/>
      <c r="BG30" s="15"/>
      <c r="BK30" s="2"/>
      <c r="BP30" s="3"/>
    </row>
    <row r="31" spans="1:73" x14ac:dyDescent="0.35">
      <c r="C31" s="2"/>
      <c r="H31" s="3"/>
      <c r="Q31" s="2"/>
      <c r="AE31" s="2"/>
      <c r="AJ31" s="3"/>
      <c r="AS31" s="8"/>
      <c r="AT31" s="14"/>
      <c r="AU31" s="15"/>
      <c r="AW31" s="9"/>
      <c r="AX31" s="10"/>
      <c r="AZ31" s="11"/>
      <c r="BA31" s="12"/>
      <c r="BC31" s="14"/>
      <c r="BD31" s="15"/>
      <c r="BF31" s="14"/>
      <c r="BG31" s="15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8"/>
      <c r="AT32" s="14"/>
      <c r="AU32" s="15"/>
      <c r="AW32" s="9"/>
      <c r="AX32" s="10"/>
      <c r="AZ32" s="11"/>
      <c r="BA32" s="12"/>
      <c r="BC32" s="14"/>
      <c r="BD32" s="15"/>
      <c r="BF32" s="14"/>
      <c r="BG32" s="15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8"/>
      <c r="AT33" s="14"/>
      <c r="AU33" s="15"/>
      <c r="AW33" s="9"/>
      <c r="AX33" s="10"/>
      <c r="AZ33" s="11"/>
      <c r="BA33" s="12"/>
      <c r="BC33" s="14"/>
      <c r="BD33" s="15"/>
      <c r="BF33" s="14"/>
      <c r="BG33" s="15"/>
      <c r="BK33" s="2"/>
      <c r="BP33" s="3"/>
    </row>
    <row r="34" spans="3:68" x14ac:dyDescent="0.35">
      <c r="C34" s="2"/>
      <c r="H34" s="3"/>
      <c r="Q34" s="2"/>
      <c r="AE34" s="2"/>
      <c r="AJ34" s="3"/>
      <c r="AS34" s="8"/>
      <c r="AT34" s="14"/>
      <c r="AU34" s="15"/>
      <c r="AW34" s="9"/>
      <c r="AX34" s="10"/>
      <c r="AZ34" s="11"/>
      <c r="BA34" s="12"/>
      <c r="BC34" s="14"/>
      <c r="BD34" s="15"/>
      <c r="BF34" s="14"/>
      <c r="BG34" s="15"/>
      <c r="BK34" s="2"/>
      <c r="BP34" s="3"/>
    </row>
    <row r="35" spans="3:68" x14ac:dyDescent="0.35">
      <c r="C35" s="2"/>
      <c r="H35" s="3"/>
      <c r="Q35" s="2"/>
      <c r="AE35" s="2"/>
      <c r="AS35" s="8"/>
      <c r="AT35" s="14"/>
      <c r="AU35" s="15"/>
      <c r="AW35" s="9"/>
      <c r="AX35" s="10"/>
      <c r="AZ35" s="11"/>
      <c r="BA35" s="12"/>
      <c r="BC35" s="14"/>
      <c r="BD35" s="15"/>
      <c r="BF35" s="14"/>
      <c r="BG35" s="15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3:68" x14ac:dyDescent="0.3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3:68" x14ac:dyDescent="0.3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3:68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3:68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3:68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2026-03-27T16:29:32Z</dcterms:modified>
</cp:coreProperties>
</file>