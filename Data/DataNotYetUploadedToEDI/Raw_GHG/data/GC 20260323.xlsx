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E94E6881-DC6B-41B1-94EF-0FE30708EEF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BG16" i="1" l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<sst xmlns="http://schemas.openxmlformats.org/spreadsheetml/2006/main" count="645" uniqueCount="56">
  <si>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</si>
  <si>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</si>
  <si>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</si>
  <si>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</si>
  <si>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</si>
  <si>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</si>
  <si>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</si>
  <si>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</si>
  <si>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</si>
  <si>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</si>
  <si>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</si>
  <si>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</si>
  <si>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</si>
  <si>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</si>
  <si>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</si>
  <si>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</si>
  <si>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</si>
  <si>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</si>
  <si>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</si>
  <si>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</si>
  <si>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</si>
  <si>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</si>
  <si>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</si>
  <si>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</si>
  <si>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</si>
  <si>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</si>
  <si>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</si>
  <si>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</si>
  <si>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</si>
  <si>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</si>
  <si>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</si>
  <si>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</si>
  <si>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</si>
  <si>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</si>
  <si>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</si>
  <si>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FMI20260323_001.gcd</t>
  </si>
  <si>
    <t>FMI20260323_002.gcd</t>
  </si>
  <si>
    <t>FMI20260323_003.gcd</t>
  </si>
  <si>
    <t>FMI20260323_004.gcd</t>
  </si>
  <si>
    <t>FMI20260323_005.gcd</t>
  </si>
  <si>
    <t>FMI20260323_006.gcd</t>
  </si>
  <si>
    <t>FMI20260323_007.gcd</t>
  </si>
  <si>
    <t>FMI20260323_008.gcd</t>
  </si>
  <si>
    <t>FMI20260323_009.gcd</t>
  </si>
  <si>
    <t>FMI20260323_010.gcd</t>
  </si>
  <si>
    <t>FMI20260323_011.gcd</t>
  </si>
  <si>
    <t>FMI20260323_012.gcd</t>
  </si>
  <si>
    <t>FMI20260323_013.gcd</t>
  </si>
  <si>
    <t>FMI20260323_014.gcd</t>
  </si>
  <si>
    <t>FMI20260323_015.gcd</t>
  </si>
  <si>
    <t>FMI20260323_016.gcd</t>
  </si>
  <si>
    <t>FMI20260323_017.gcd</t>
  </si>
  <si>
    <t>FMI20260323_018.gcd</t>
  </si>
  <si>
    <t>FMI20260323_019.gcd</t>
  </si>
  <si>
    <t>FMI20260323_020.gcd</t>
  </si>
  <si>
    <t>FMI20260323_021.gcd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</si>
</sst>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3" fontId="0" fillId="33" borderId="0" xfId="0" applyNumberFormat="1" applyFill="1"/>
    <xf numFmtId="3" fontId="0" fillId="34" borderId="0" xfId="0" applyNumberFormat="1" applyFill="1"/>
    <xf numFmtId="4" fontId="0" fillId="0" borderId="0" xfId="0" applyNumberFormat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  <xf numFmtId="0" fontId="16" fillId="0" borderId="0" xfId="0" applyFont="1" applyFill="1"/>
    <xf numFmtId="0" fontId="16" fillId="0" borderId="0" xfId="0" applyFont="1" applyFill="1" applyAlignment="1">
      <alignment wrapText="1"/>
    </xf>
    <xf numFmtId="2" fontId="16" fillId="33" borderId="0" xfId="0" applyNumberFormat="1" applyFont="1" applyFill="1"/>
    <xf numFmtId="2" fontId="16" fillId="34" borderId="0" xfId="0" applyNumberFormat="1" applyFont="1" applyFill="1"/>
    <xf numFmtId="2" fontId="16" fillId="35" borderId="0" xfId="0" applyNumberFormat="1" applyFont="1" applyFill="1"/>
    <xf numFmtId="2" fontId="16" fillId="36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D1" workbookViewId="0">
      <selection activeCell="AM42" sqref="AM42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49" width="10.1796875" style="15" customWidth="1"/>
    <col min="50" max="50" width="10.1796875" customWidth="1"/>
    <col min="52" max="52" width="10.1796875" style="15" customWidth="1"/>
    <col min="53" max="53" width="10.1796875" customWidth="1"/>
    <col min="54" max="54" width="8.7265625" style="7"/>
    <col min="55" max="55" width="10.1796875" style="15" customWidth="1"/>
    <col min="56" max="56" width="10.1796875" customWidth="1"/>
    <col min="58" max="58" width="10.1796875" style="15" customWidth="1"/>
    <col min="59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16" t="s">
        <v>22</v>
      </c>
      <c r="AX8" s="5" t="s">
        <v>23</v>
      </c>
      <c r="AZ8" s="16" t="s">
        <v>25</v>
      </c>
      <c r="BA8" s="5" t="s">
        <v>30</v>
      </c>
      <c r="BB8" s="6"/>
      <c r="BC8" s="16" t="s">
        <v>28</v>
      </c>
      <c r="BD8" s="5" t="s">
        <v>29</v>
      </c>
      <c r="BE8" s="5"/>
      <c r="BF8" s="16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46104.682604166665</v>
      </c>
      <c r="D9" t="s">
        <v>31</v>
      </c>
      <c r="E9" t="s">
        <v>13</v>
      </c>
      <c r="F9">
        <v>0</v>
      </c>
      <c r="G9">
        <v>6.0860000000000003</v>
      </c>
      <c r="H9" s="3">
        <v>1638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46104.682604166665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46104.682604166665</v>
      </c>
      <c r="AF9" t="s">
        <v>31</v>
      </c>
      <c r="AG9" t="s">
        <v>13</v>
      </c>
      <c r="AH9">
        <v>0</v>
      </c>
      <c r="AI9">
        <v>12.367000000000001</v>
      </c>
      <c r="AJ9" s="3">
        <v>2066</v>
      </c>
      <c r="AK9">
        <v>0.44500000000000001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3">
        <f t="shared" ref="AT9:AT29" si="0">IF($H9&lt;10000,(($H9^2*-0.000000003714)+($H9*0.002605)+(1.389)),(IF($H9&lt;200000,(($H9^2*-0.0000000003764)+($H9*0.00218)+(3.158)),(IF($H9&lt;8000000,(($H9^2*-0.000000000004719)+($H9*0.001816)+(146.1)),(($V9^2*0.000000002578)+($V9*0.2173)+(2294)))))))</f>
        <v>5.6460251745840004</v>
      </c>
      <c r="AU9" s="14">
        <f t="shared" ref="AU9:AU29" si="1">IF($AJ9&lt;45000,((0.00000003579*$AJ9^2)+(0.1857*$AJ9)+(44.75)),((0.0000000022829*$AJ9^2)+(0.1634*$AJ9)+(1620)))</f>
        <v>428.55896446124001</v>
      </c>
      <c r="AW9" s="17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6.3637737599999999</v>
      </c>
      <c r="AX9" s="9">
        <f t="shared" ref="AX9:AX14" si="3">IF(AJ9&lt;45000,((-0.0000004561*AJ9^2)+(0.244*AJ9)+(-21.72)),((-0.0000000409*AJ9^2)+(0.2477*AJ9)+(-1777)))</f>
        <v>480.43720282840002</v>
      </c>
      <c r="AZ9" s="18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0.36032313415999973</v>
      </c>
      <c r="BA9" s="10">
        <f t="shared" ref="BA9:BA14" si="5">IF(AJ9&lt;45000,((-0.0000000598*AJ9^2)+(0.205*AJ9)+(34.1)),((-0.00000002403*AJ9^2)+(0.2063*AJ9)+(-550.7)))</f>
        <v>457.37475231119998</v>
      </c>
      <c r="BC9" s="19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2.4573030926919994</v>
      </c>
      <c r="BD9" s="12">
        <f t="shared" ref="BD9:BD14" si="7">IF(AJ9&lt;45000,((-0.00000004907*AJ9^2)+(0.2277*AJ9)+(-134)),((-0.00000001062*AJ9^2)+(0.2147*AJ9)+(590.6)))</f>
        <v>336.21875177108001</v>
      </c>
      <c r="BF9" s="20">
        <f t="shared" ref="BF9:BF29" si="8">IF($H9&lt;10000,(($H9^2*-0.000000003714)+($H9*0.002605)+(1.389)),(IF($H9&lt;200000,(($H9^2*-0.0000000003764)+($H9*0.00218)+(3.158)),(IF($H9&lt;8000000,(($H9^2*-0.000000000004719)+($H9*0.001816)+(146.1)),(($V9^2*0.000000002578)+($V9*0.2173)+(2294)))))))</f>
        <v>5.6460251745840004</v>
      </c>
      <c r="BG9" s="14">
        <f t="shared" ref="BG9:BG29" si="9">IF($AJ9&lt;45000,((0.00000003579*$AJ9^2)+(0.1857*$AJ9)+(44.75)),((0.0000000022829*$AJ9^2)+(0.1634*$AJ9)+(1620)))</f>
        <v>428.55896446124001</v>
      </c>
      <c r="BI9">
        <v>45</v>
      </c>
      <c r="BJ9" t="s">
        <v>35</v>
      </c>
      <c r="BK9" s="2">
        <v>46104.682604166665</v>
      </c>
      <c r="BL9" t="s">
        <v>31</v>
      </c>
      <c r="BM9" t="s">
        <v>13</v>
      </c>
      <c r="BN9">
        <v>0</v>
      </c>
      <c r="BO9">
        <v>2.7280000000000002</v>
      </c>
      <c r="BP9" s="3">
        <v>4971447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46104.70380787037</v>
      </c>
      <c r="D10" t="s">
        <v>32</v>
      </c>
      <c r="E10" t="s">
        <v>13</v>
      </c>
      <c r="F10">
        <v>0</v>
      </c>
      <c r="G10">
        <v>6.0490000000000004</v>
      </c>
      <c r="H10" s="3">
        <v>1080142</v>
      </c>
      <c r="I10">
        <v>2.1970000000000001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46104.70380787037</v>
      </c>
      <c r="R10" t="s">
        <v>32</v>
      </c>
      <c r="S10" t="s">
        <v>13</v>
      </c>
      <c r="T10">
        <v>0</v>
      </c>
      <c r="U10">
        <v>6.0039999999999996</v>
      </c>
      <c r="V10" s="3">
        <v>8521</v>
      </c>
      <c r="W10">
        <v>2.0910000000000002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46104.70380787037</v>
      </c>
      <c r="AF10" t="s">
        <v>32</v>
      </c>
      <c r="AG10" t="s">
        <v>13</v>
      </c>
      <c r="AH10">
        <v>0</v>
      </c>
      <c r="AI10">
        <v>12.342000000000001</v>
      </c>
      <c r="AJ10" s="3">
        <v>9568</v>
      </c>
      <c r="AK10">
        <v>1.7270000000000001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3">
        <f t="shared" si="0"/>
        <v>2102.1321828931659</v>
      </c>
      <c r="AU10" s="14">
        <f t="shared" si="1"/>
        <v>1824.8040536729602</v>
      </c>
      <c r="AW10" s="17">
        <f t="shared" si="2"/>
        <v>2227.8747346329496</v>
      </c>
      <c r="AX10" s="9">
        <f t="shared" si="3"/>
        <v>2271.1175847936001</v>
      </c>
      <c r="AZ10" s="18">
        <f t="shared" si="4"/>
        <v>2464.5107242109834</v>
      </c>
      <c r="BA10" s="10">
        <f t="shared" si="5"/>
        <v>1990.0655118847997</v>
      </c>
      <c r="BC10" s="19">
        <f t="shared" si="6"/>
        <v>2387.4626303319042</v>
      </c>
      <c r="BD10" s="12">
        <f t="shared" si="7"/>
        <v>2040.1414071603203</v>
      </c>
      <c r="BF10" s="20">
        <f t="shared" si="8"/>
        <v>2102.1321828931659</v>
      </c>
      <c r="BG10" s="14">
        <f t="shared" si="9"/>
        <v>1824.8040536729602</v>
      </c>
      <c r="BI10">
        <v>46</v>
      </c>
      <c r="BJ10" t="s">
        <v>36</v>
      </c>
      <c r="BK10" s="2">
        <v>46104.70380787037</v>
      </c>
      <c r="BL10" t="s">
        <v>32</v>
      </c>
      <c r="BM10" t="s">
        <v>13</v>
      </c>
      <c r="BN10">
        <v>0</v>
      </c>
      <c r="BO10">
        <v>2.7189999999999999</v>
      </c>
      <c r="BP10" s="3">
        <v>5270928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46104.725011574075</v>
      </c>
      <c r="D11" t="s">
        <v>26</v>
      </c>
      <c r="E11" t="s">
        <v>13</v>
      </c>
      <c r="F11">
        <v>0</v>
      </c>
      <c r="G11">
        <v>6.0650000000000004</v>
      </c>
      <c r="H11" s="3">
        <v>2770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46104.725011574075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46104.725011574075</v>
      </c>
      <c r="AF11" t="s">
        <v>26</v>
      </c>
      <c r="AG11" t="s">
        <v>13</v>
      </c>
      <c r="AH11">
        <v>0</v>
      </c>
      <c r="AI11">
        <v>12.340999999999999</v>
      </c>
      <c r="AJ11" s="3">
        <v>1349</v>
      </c>
      <c r="AK11">
        <v>0.32300000000000001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3">
        <f t="shared" si="0"/>
        <v>8.576352849400001</v>
      </c>
      <c r="AU11" s="14">
        <f t="shared" si="1"/>
        <v>295.32443067779002</v>
      </c>
      <c r="AW11" s="17">
        <f t="shared" si="2"/>
        <v>3.6643160000000012</v>
      </c>
      <c r="AX11" s="9">
        <f t="shared" si="3"/>
        <v>306.60598876389997</v>
      </c>
      <c r="AZ11" s="18">
        <f t="shared" si="4"/>
        <v>3.4222395060000004</v>
      </c>
      <c r="BA11" s="10">
        <f t="shared" si="5"/>
        <v>310.53617590019996</v>
      </c>
      <c r="BC11" s="19">
        <f t="shared" si="6"/>
        <v>6.4413059396999994</v>
      </c>
      <c r="BD11" s="12">
        <f t="shared" si="7"/>
        <v>173.07800236493</v>
      </c>
      <c r="BF11" s="20">
        <f t="shared" si="8"/>
        <v>8.576352849400001</v>
      </c>
      <c r="BG11" s="14">
        <f t="shared" si="9"/>
        <v>295.32443067779002</v>
      </c>
      <c r="BI11">
        <v>47</v>
      </c>
      <c r="BJ11" t="s">
        <v>37</v>
      </c>
      <c r="BK11" s="2">
        <v>46104.725011574075</v>
      </c>
      <c r="BL11" t="s">
        <v>26</v>
      </c>
      <c r="BM11" t="s">
        <v>13</v>
      </c>
      <c r="BN11">
        <v>0</v>
      </c>
      <c r="BO11">
        <v>2.7189999999999999</v>
      </c>
      <c r="BP11" s="3">
        <v>5318490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46104.746238425927</v>
      </c>
      <c r="D12">
        <v>150</v>
      </c>
      <c r="E12" t="s">
        <v>13</v>
      </c>
      <c r="F12">
        <v>0</v>
      </c>
      <c r="G12">
        <v>6.0529999999999999</v>
      </c>
      <c r="H12" s="3">
        <v>64088</v>
      </c>
      <c r="I12">
        <v>0.13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46104.746238425927</v>
      </c>
      <c r="R12">
        <v>150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46104.746238425927</v>
      </c>
      <c r="AF12">
        <v>150</v>
      </c>
      <c r="AG12" t="s">
        <v>13</v>
      </c>
      <c r="AH12">
        <v>0</v>
      </c>
      <c r="AI12">
        <v>12.236000000000001</v>
      </c>
      <c r="AJ12" s="3">
        <v>76096</v>
      </c>
      <c r="AK12">
        <v>13.089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3">
        <f t="shared" si="0"/>
        <v>141.32386291555838</v>
      </c>
      <c r="AU12" s="14">
        <f t="shared" si="1"/>
        <v>14067.305763516004</v>
      </c>
      <c r="AW12" s="17">
        <f t="shared" si="2"/>
        <v>178.12261645971202</v>
      </c>
      <c r="AX12" s="9">
        <f t="shared" si="3"/>
        <v>16835.143610265601</v>
      </c>
      <c r="AZ12" s="18">
        <f t="shared" si="4"/>
        <v>180.2839319203328</v>
      </c>
      <c r="BA12" s="10">
        <f t="shared" si="5"/>
        <v>15008.756652779521</v>
      </c>
      <c r="BC12" s="19">
        <f t="shared" si="6"/>
        <v>173.98280353132802</v>
      </c>
      <c r="BD12" s="12">
        <f t="shared" si="7"/>
        <v>16866.915015086081</v>
      </c>
      <c r="BF12" s="20">
        <f t="shared" si="8"/>
        <v>141.32386291555838</v>
      </c>
      <c r="BG12" s="14">
        <f t="shared" si="9"/>
        <v>14067.305763516004</v>
      </c>
      <c r="BI12">
        <v>48</v>
      </c>
      <c r="BJ12" t="s">
        <v>38</v>
      </c>
      <c r="BK12" s="2">
        <v>46104.746238425927</v>
      </c>
      <c r="BL12">
        <v>150</v>
      </c>
      <c r="BM12" t="s">
        <v>13</v>
      </c>
      <c r="BN12">
        <v>0</v>
      </c>
      <c r="BO12">
        <v>2.8940000000000001</v>
      </c>
      <c r="BP12" s="3">
        <v>602449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46104.767465277779</v>
      </c>
      <c r="D13">
        <v>368</v>
      </c>
      <c r="E13" t="s">
        <v>13</v>
      </c>
      <c r="F13">
        <v>0</v>
      </c>
      <c r="G13">
        <v>6.0620000000000003</v>
      </c>
      <c r="H13" s="3">
        <v>6116</v>
      </c>
      <c r="I13">
        <v>1.2999999999999999E-2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46104.767465277779</v>
      </c>
      <c r="R13">
        <v>368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46104.767465277779</v>
      </c>
      <c r="AF13">
        <v>368</v>
      </c>
      <c r="AG13" t="s">
        <v>13</v>
      </c>
      <c r="AH13">
        <v>0</v>
      </c>
      <c r="AI13">
        <v>12.311</v>
      </c>
      <c r="AJ13" s="3">
        <v>17070</v>
      </c>
      <c r="AK13">
        <v>3.0089999999999999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3">
        <f t="shared" si="0"/>
        <v>17.182256136416001</v>
      </c>
      <c r="AU13" s="14">
        <f t="shared" si="1"/>
        <v>3225.0776655709997</v>
      </c>
      <c r="AW13" s="17">
        <f t="shared" si="2"/>
        <v>3.7762062400000023</v>
      </c>
      <c r="AX13" s="9">
        <f t="shared" si="3"/>
        <v>4010.4593471100002</v>
      </c>
      <c r="AZ13" s="18">
        <f t="shared" si="4"/>
        <v>13.328895755839998</v>
      </c>
      <c r="BA13" s="10">
        <f t="shared" si="5"/>
        <v>3516.02518298</v>
      </c>
      <c r="BC13" s="19">
        <f t="shared" si="6"/>
        <v>18.344596537807995</v>
      </c>
      <c r="BD13" s="12">
        <f t="shared" si="7"/>
        <v>3738.5407429570005</v>
      </c>
      <c r="BF13" s="20">
        <f t="shared" si="8"/>
        <v>17.182256136416001</v>
      </c>
      <c r="BG13" s="14">
        <f t="shared" si="9"/>
        <v>3225.0776655709997</v>
      </c>
      <c r="BI13">
        <v>49</v>
      </c>
      <c r="BJ13" t="s">
        <v>39</v>
      </c>
      <c r="BK13" s="2">
        <v>46104.767465277779</v>
      </c>
      <c r="BL13">
        <v>368</v>
      </c>
      <c r="BM13" t="s">
        <v>13</v>
      </c>
      <c r="BN13">
        <v>0</v>
      </c>
      <c r="BO13">
        <v>2.8889999999999998</v>
      </c>
      <c r="BP13" s="3">
        <v>696309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46104.788703703707</v>
      </c>
      <c r="D14">
        <v>174</v>
      </c>
      <c r="E14" t="s">
        <v>13</v>
      </c>
      <c r="F14">
        <v>0</v>
      </c>
      <c r="G14">
        <v>6.06</v>
      </c>
      <c r="H14" s="3">
        <v>7705</v>
      </c>
      <c r="I14">
        <v>1.6E-2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46104.788703703707</v>
      </c>
      <c r="R14">
        <v>174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46104.788703703707</v>
      </c>
      <c r="AF14">
        <v>174</v>
      </c>
      <c r="AG14" t="s">
        <v>13</v>
      </c>
      <c r="AH14">
        <v>0</v>
      </c>
      <c r="AI14">
        <v>12.323</v>
      </c>
      <c r="AJ14" s="3">
        <v>9222</v>
      </c>
      <c r="AK14">
        <v>1.6679999999999999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3">
        <f t="shared" si="0"/>
        <v>21.240035869149999</v>
      </c>
      <c r="AU14" s="14">
        <f t="shared" si="1"/>
        <v>1760.3191707143601</v>
      </c>
      <c r="AW14" s="17">
        <f t="shared" si="2"/>
        <v>8.0638684999999999</v>
      </c>
      <c r="AX14" s="9">
        <f t="shared" si="3"/>
        <v>2189.6588459676004</v>
      </c>
      <c r="AZ14" s="18">
        <f t="shared" si="4"/>
        <v>18.481596808500001</v>
      </c>
      <c r="BA14" s="10">
        <f t="shared" si="5"/>
        <v>1919.5242920167998</v>
      </c>
      <c r="BC14" s="19">
        <f t="shared" si="6"/>
        <v>24.064014143324997</v>
      </c>
      <c r="BD14" s="12">
        <f t="shared" si="7"/>
        <v>1961.6762279141199</v>
      </c>
      <c r="BF14" s="20">
        <f t="shared" si="8"/>
        <v>21.240035869149999</v>
      </c>
      <c r="BG14" s="14">
        <f t="shared" si="9"/>
        <v>1760.3191707143601</v>
      </c>
      <c r="BI14">
        <v>50</v>
      </c>
      <c r="BJ14" t="s">
        <v>40</v>
      </c>
      <c r="BK14" s="2">
        <v>46104.788703703707</v>
      </c>
      <c r="BL14">
        <v>174</v>
      </c>
      <c r="BM14" t="s">
        <v>13</v>
      </c>
      <c r="BN14">
        <v>0</v>
      </c>
      <c r="BO14">
        <v>2.891</v>
      </c>
      <c r="BP14" s="3">
        <v>676321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46104.809907407405</v>
      </c>
      <c r="D15">
        <v>393</v>
      </c>
      <c r="E15" t="s">
        <v>13</v>
      </c>
      <c r="F15">
        <v>0</v>
      </c>
      <c r="G15">
        <v>6.0590000000000002</v>
      </c>
      <c r="H15" s="3">
        <v>7205</v>
      </c>
      <c r="I15">
        <v>1.4999999999999999E-2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46104.809907407405</v>
      </c>
      <c r="R15">
        <v>393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46104.809907407405</v>
      </c>
      <c r="AF15">
        <v>393</v>
      </c>
      <c r="AG15" t="s">
        <v>13</v>
      </c>
      <c r="AH15">
        <v>0</v>
      </c>
      <c r="AI15">
        <v>12.303000000000001</v>
      </c>
      <c r="AJ15" s="3">
        <v>26018</v>
      </c>
      <c r="AK15">
        <v>4.5369999999999999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3">
        <f t="shared" si="0"/>
        <v>19.965223739149998</v>
      </c>
      <c r="AU15" s="14">
        <f t="shared" si="1"/>
        <v>4900.5201510359593</v>
      </c>
      <c r="AW15" s="17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6.4206684999999997</v>
      </c>
      <c r="AX15" s="9">
        <f t="shared" ref="AX15:AX16" si="11">IF(AJ15&lt;45000,((-0.0000004561*AJ15^2)+(0.244*AJ15)+(-21.72)),((-0.0000000409*AJ15^2)+(0.2477*AJ15)+(-1777)))</f>
        <v>6017.9213426235992</v>
      </c>
      <c r="AZ15" s="18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16.829118108499998</v>
      </c>
      <c r="BA15" s="10">
        <f t="shared" ref="BA15:BA16" si="13">IF(AJ15&lt;45000,((-0.0000000598*AJ15^2)+(0.205*AJ15)+(34.1)),((-0.00000002403*AJ15^2)+(0.2063*AJ15)+(-550.7)))</f>
        <v>5327.3092078248001</v>
      </c>
      <c r="BC15" s="19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22.259698828325</v>
      </c>
      <c r="BD15" s="12">
        <f t="shared" ref="BD15:BD16" si="15">IF(AJ15&lt;45000,((-0.00000004907*AJ15^2)+(0.2277*AJ15)+(-134)),((-0.00000001062*AJ15^2)+(0.2147*AJ15)+(590.6)))</f>
        <v>5757.0813345813203</v>
      </c>
      <c r="BF15" s="20">
        <f t="shared" si="8"/>
        <v>19.965223739149998</v>
      </c>
      <c r="BG15" s="14">
        <f t="shared" si="9"/>
        <v>4900.5201510359593</v>
      </c>
      <c r="BI15">
        <v>51</v>
      </c>
      <c r="BJ15" t="s">
        <v>41</v>
      </c>
      <c r="BK15" s="2">
        <v>46104.809907407405</v>
      </c>
      <c r="BL15">
        <v>393</v>
      </c>
      <c r="BM15" t="s">
        <v>13</v>
      </c>
      <c r="BN15">
        <v>0</v>
      </c>
      <c r="BO15">
        <v>2.89</v>
      </c>
      <c r="BP15" s="3">
        <v>693464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46104.831134259257</v>
      </c>
      <c r="D16">
        <v>363</v>
      </c>
      <c r="E16" t="s">
        <v>13</v>
      </c>
      <c r="F16">
        <v>0</v>
      </c>
      <c r="G16">
        <v>6.0780000000000003</v>
      </c>
      <c r="H16" s="3">
        <v>1681</v>
      </c>
      <c r="I16">
        <v>4.0000000000000001E-3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46104.831134259257</v>
      </c>
      <c r="R16">
        <v>363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46104.831134259257</v>
      </c>
      <c r="AF16">
        <v>363</v>
      </c>
      <c r="AG16" t="s">
        <v>13</v>
      </c>
      <c r="AH16">
        <v>0</v>
      </c>
      <c r="AI16">
        <v>12.324999999999999</v>
      </c>
      <c r="AJ16" s="3">
        <v>4629</v>
      </c>
      <c r="AK16">
        <v>0.88300000000000001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3">
        <f t="shared" si="0"/>
        <v>5.7575101236460009</v>
      </c>
      <c r="AU16" s="14">
        <f t="shared" si="1"/>
        <v>905.12219527139007</v>
      </c>
      <c r="AW16" s="17">
        <f t="shared" si="10"/>
        <v>6.2359459399999997</v>
      </c>
      <c r="AX16" s="9">
        <f t="shared" si="11"/>
        <v>1097.9828529398999</v>
      </c>
      <c r="AZ16" s="18">
        <f t="shared" si="12"/>
        <v>0.47395698353999993</v>
      </c>
      <c r="BA16" s="10">
        <f t="shared" si="13"/>
        <v>981.76362706819998</v>
      </c>
      <c r="BC16" s="19">
        <f t="shared" si="14"/>
        <v>2.6082411881729994</v>
      </c>
      <c r="BD16" s="12">
        <f t="shared" si="15"/>
        <v>918.97184565612997</v>
      </c>
      <c r="BF16" s="20">
        <f t="shared" si="8"/>
        <v>5.7575101236460009</v>
      </c>
      <c r="BG16" s="14">
        <f t="shared" si="9"/>
        <v>905.12219527139007</v>
      </c>
      <c r="BI16">
        <v>52</v>
      </c>
      <c r="BJ16" t="s">
        <v>42</v>
      </c>
      <c r="BK16" s="2">
        <v>46104.831134259257</v>
      </c>
      <c r="BL16">
        <v>363</v>
      </c>
      <c r="BM16" t="s">
        <v>13</v>
      </c>
      <c r="BN16">
        <v>0</v>
      </c>
      <c r="BO16">
        <v>2.8879999999999999</v>
      </c>
      <c r="BP16" s="3">
        <v>741980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46104.852349537039</v>
      </c>
      <c r="D17">
        <v>252</v>
      </c>
      <c r="E17" t="s">
        <v>13</v>
      </c>
      <c r="F17">
        <v>0</v>
      </c>
      <c r="G17">
        <v>6.0720000000000001</v>
      </c>
      <c r="H17" s="3">
        <v>1658</v>
      </c>
      <c r="I17">
        <v>3.0000000000000001E-3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46104.852349537039</v>
      </c>
      <c r="R17">
        <v>252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46104.852349537039</v>
      </c>
      <c r="AF17">
        <v>252</v>
      </c>
      <c r="AG17" t="s">
        <v>13</v>
      </c>
      <c r="AH17">
        <v>0</v>
      </c>
      <c r="AI17">
        <v>12.337</v>
      </c>
      <c r="AJ17" s="3">
        <v>5421</v>
      </c>
      <c r="AK17">
        <v>1.0189999999999999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3">
        <f t="shared" si="0"/>
        <v>5.6978803477040003</v>
      </c>
      <c r="AU17" s="14">
        <f t="shared" si="1"/>
        <v>1052.4814693553899</v>
      </c>
      <c r="AW17" s="17">
        <f t="shared" ref="AW17:AW29" si="16">IF(H17&lt;10000,((H17^2*0.00000054)+(H17*-0.004765)+(12.72)),(IF(H17&lt;200000,((H17^2*-0.000000001577)+(H17*0.003043)+(-10.42)),(IF(H17&lt;8000000,((H17^2*-0.0000000000186)+(H17*0.00194)+(154.1)),((V17^2*-0.00000002)+(V17*0.2565)+(-1032)))))))</f>
        <v>6.3040705600000004</v>
      </c>
      <c r="AX17" s="9">
        <f t="shared" ref="AX17:AX29" si="17">IF(AJ17&lt;45000,((-0.0000004561*AJ17^2)+(0.244*AJ17)+(-21.72)),((-0.0000000409*AJ17^2)+(0.2477*AJ17)+(-1777)))</f>
        <v>1287.6004793799</v>
      </c>
      <c r="AZ17" s="18">
        <f t="shared" ref="AZ17:AZ29" si="18">IF(H17&lt;10000,((H17^2*0.00000005714)+(H17*0.002453)+(-3.811)),(IF(H17&lt;200000,((H17^2*-0.0000000002888)+(H17*0.002899)+(-4.321)),(IF(H17&lt;8000000,((H17^2*-0.0000000000062)+(H17*0.002143)+(157)),((V17^2*-0.000000031)+(V17*0.2771)+(-709.5)))))))</f>
        <v>0.41314980295999959</v>
      </c>
      <c r="BA17" s="10">
        <f t="shared" ref="BA17:BA29" si="19">IF(AJ17&lt;45000,((-0.0000000598*AJ17^2)+(0.205*AJ17)+(34.1)),((-0.00000002403*AJ17^2)+(0.2063*AJ17)+(-550.7)))</f>
        <v>1143.6476429881998</v>
      </c>
      <c r="BC17" s="19">
        <f t="shared" ref="BC17:BC29" si="20">IF(H17&lt;10000,((H17^2*0.000000008493)+(H17*0.003482)+(-3.269)),(IF(H17&lt;200000,((H17^2*-0.000000000263)+(H17*0.002682)+(3.179)),(IF(H17&lt;8000000,((H17^2*-0.000000000005099)+(H17*0.002054)+(174.8)),((V17^2*-0.00000001014)+(V17*0.2415)+(1123)))))))</f>
        <v>2.527502951252</v>
      </c>
      <c r="BD17" s="12">
        <f t="shared" ref="BD17:BD29" si="21">IF(AJ17&lt;45000,((-0.00000004907*AJ17^2)+(0.2277*AJ17)+(-134)),((-0.00000001062*AJ17^2)+(0.2147*AJ17)+(590.6)))</f>
        <v>1098.9196680841301</v>
      </c>
      <c r="BF17" s="20">
        <f t="shared" si="8"/>
        <v>5.6978803477040003</v>
      </c>
      <c r="BG17" s="14">
        <f t="shared" si="9"/>
        <v>1052.4814693553899</v>
      </c>
      <c r="BI17">
        <v>53</v>
      </c>
      <c r="BJ17" t="s">
        <v>43</v>
      </c>
      <c r="BK17" s="2">
        <v>46104.852349537039</v>
      </c>
      <c r="BL17">
        <v>252</v>
      </c>
      <c r="BM17" t="s">
        <v>13</v>
      </c>
      <c r="BN17">
        <v>0</v>
      </c>
      <c r="BO17">
        <v>2.89</v>
      </c>
      <c r="BP17" s="3">
        <v>710664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46104.87358796296</v>
      </c>
      <c r="D18">
        <v>384</v>
      </c>
      <c r="E18" t="s">
        <v>13</v>
      </c>
      <c r="F18">
        <v>0</v>
      </c>
      <c r="G18">
        <v>6.06</v>
      </c>
      <c r="H18" s="3">
        <v>11169</v>
      </c>
      <c r="I18">
        <v>2.3E-2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46104.87358796296</v>
      </c>
      <c r="R18">
        <v>384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46104.87358796296</v>
      </c>
      <c r="AF18">
        <v>384</v>
      </c>
      <c r="AG18" t="s">
        <v>13</v>
      </c>
      <c r="AH18">
        <v>0</v>
      </c>
      <c r="AI18">
        <v>12.331</v>
      </c>
      <c r="AJ18" s="3">
        <v>2917</v>
      </c>
      <c r="AK18">
        <v>0.59099999999999997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3">
        <f t="shared" si="0"/>
        <v>27.459465394439601</v>
      </c>
      <c r="AU18" s="14">
        <f t="shared" si="1"/>
        <v>586.74143313731008</v>
      </c>
      <c r="AW18" s="17">
        <f t="shared" si="16"/>
        <v>23.370541673303002</v>
      </c>
      <c r="AX18" s="9">
        <f t="shared" si="17"/>
        <v>686.1470957270999</v>
      </c>
      <c r="AZ18" s="18">
        <f t="shared" si="18"/>
        <v>28.021904193183204</v>
      </c>
      <c r="BA18" s="10">
        <f t="shared" si="19"/>
        <v>631.57616843779999</v>
      </c>
      <c r="BC18" s="19">
        <f t="shared" si="20"/>
        <v>33.101449654456999</v>
      </c>
      <c r="BD18" s="12">
        <f t="shared" si="21"/>
        <v>529.78336881677001</v>
      </c>
      <c r="BF18" s="20">
        <f t="shared" si="8"/>
        <v>27.459465394439601</v>
      </c>
      <c r="BG18" s="14">
        <f t="shared" si="9"/>
        <v>586.74143313731008</v>
      </c>
      <c r="BI18">
        <v>54</v>
      </c>
      <c r="BJ18" t="s">
        <v>44</v>
      </c>
      <c r="BK18" s="2">
        <v>46104.87358796296</v>
      </c>
      <c r="BL18">
        <v>384</v>
      </c>
      <c r="BM18" t="s">
        <v>13</v>
      </c>
      <c r="BN18">
        <v>0</v>
      </c>
      <c r="BO18">
        <v>2.8879999999999999</v>
      </c>
      <c r="BP18" s="3">
        <v>737313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46104.894814814812</v>
      </c>
      <c r="D19">
        <v>349</v>
      </c>
      <c r="E19" t="s">
        <v>13</v>
      </c>
      <c r="F19">
        <v>0</v>
      </c>
      <c r="G19">
        <v>6.0590000000000002</v>
      </c>
      <c r="H19" s="3">
        <v>71369</v>
      </c>
      <c r="I19">
        <v>0.14499999999999999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46104.894814814812</v>
      </c>
      <c r="R19">
        <v>349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46104.894814814812</v>
      </c>
      <c r="AF19">
        <v>349</v>
      </c>
      <c r="AG19" t="s">
        <v>13</v>
      </c>
      <c r="AH19">
        <v>0</v>
      </c>
      <c r="AI19">
        <v>12.256</v>
      </c>
      <c r="AJ19" s="3">
        <v>75956</v>
      </c>
      <c r="AK19">
        <v>13.065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3">
        <f t="shared" si="0"/>
        <v>156.82521374179959</v>
      </c>
      <c r="AU19" s="14">
        <f t="shared" si="1"/>
        <v>14044.381166784495</v>
      </c>
      <c r="AW19" s="17">
        <f t="shared" si="16"/>
        <v>198.72336362810302</v>
      </c>
      <c r="AX19" s="9">
        <f t="shared" si="17"/>
        <v>16801.336260017601</v>
      </c>
      <c r="AZ19" s="18">
        <f t="shared" si="18"/>
        <v>201.1067183343032</v>
      </c>
      <c r="BA19" s="10">
        <f t="shared" si="19"/>
        <v>14980.386186117921</v>
      </c>
      <c r="BC19" s="19">
        <f t="shared" si="20"/>
        <v>193.25105851565698</v>
      </c>
      <c r="BD19" s="12">
        <f t="shared" si="21"/>
        <v>16837.083085999682</v>
      </c>
      <c r="BF19" s="20">
        <f t="shared" si="8"/>
        <v>156.82521374179959</v>
      </c>
      <c r="BG19" s="14">
        <f t="shared" si="9"/>
        <v>14044.381166784495</v>
      </c>
      <c r="BI19">
        <v>55</v>
      </c>
      <c r="BJ19" t="s">
        <v>45</v>
      </c>
      <c r="BK19" s="2">
        <v>46104.894814814812</v>
      </c>
      <c r="BL19">
        <v>349</v>
      </c>
      <c r="BM19" t="s">
        <v>13</v>
      </c>
      <c r="BN19">
        <v>0</v>
      </c>
      <c r="BO19">
        <v>2.891</v>
      </c>
      <c r="BP19" s="3">
        <v>700410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46104.916018518517</v>
      </c>
      <c r="D20">
        <v>122</v>
      </c>
      <c r="E20" t="s">
        <v>13</v>
      </c>
      <c r="F20">
        <v>0</v>
      </c>
      <c r="G20">
        <v>6.0620000000000003</v>
      </c>
      <c r="H20" s="3">
        <v>7936</v>
      </c>
      <c r="I20">
        <v>1.6E-2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46104.916018518517</v>
      </c>
      <c r="R20">
        <v>122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46104.916018518517</v>
      </c>
      <c r="AF20">
        <v>122</v>
      </c>
      <c r="AG20" t="s">
        <v>13</v>
      </c>
      <c r="AH20">
        <v>0</v>
      </c>
      <c r="AI20">
        <v>12.308</v>
      </c>
      <c r="AJ20" s="3">
        <v>27722</v>
      </c>
      <c r="AK20">
        <v>4.8280000000000003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3">
        <f t="shared" si="0"/>
        <v>21.828371923456</v>
      </c>
      <c r="AU20" s="14">
        <f t="shared" si="1"/>
        <v>5220.2303472743606</v>
      </c>
      <c r="AW20" s="17">
        <f t="shared" si="16"/>
        <v>8.9142118400000019</v>
      </c>
      <c r="AX20" s="9">
        <f t="shared" si="17"/>
        <v>6391.9309155675992</v>
      </c>
      <c r="AZ20" s="18">
        <f t="shared" si="18"/>
        <v>19.25469068544</v>
      </c>
      <c r="BA20" s="10">
        <f t="shared" si="19"/>
        <v>5671.1531448167998</v>
      </c>
      <c r="BC20" s="19">
        <f t="shared" si="20"/>
        <v>24.899041955328002</v>
      </c>
      <c r="BD20" s="12">
        <f t="shared" si="21"/>
        <v>6140.5886494341212</v>
      </c>
      <c r="BF20" s="20">
        <f t="shared" si="8"/>
        <v>21.828371923456</v>
      </c>
      <c r="BG20" s="14">
        <f t="shared" si="9"/>
        <v>5220.2303472743606</v>
      </c>
      <c r="BI20">
        <v>56</v>
      </c>
      <c r="BJ20" t="s">
        <v>46</v>
      </c>
      <c r="BK20" s="2">
        <v>46104.916018518517</v>
      </c>
      <c r="BL20">
        <v>122</v>
      </c>
      <c r="BM20" t="s">
        <v>13</v>
      </c>
      <c r="BN20">
        <v>0</v>
      </c>
      <c r="BO20">
        <v>2.8860000000000001</v>
      </c>
      <c r="BP20" s="3">
        <v>781688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46104.937245370369</v>
      </c>
      <c r="D21">
        <v>351</v>
      </c>
      <c r="E21" t="s">
        <v>13</v>
      </c>
      <c r="F21">
        <v>0</v>
      </c>
      <c r="G21">
        <v>6.0640000000000001</v>
      </c>
      <c r="H21" s="3">
        <v>13460</v>
      </c>
      <c r="I21">
        <v>2.7E-2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46104.937245370369</v>
      </c>
      <c r="R21">
        <v>351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46104.937245370369</v>
      </c>
      <c r="AF21">
        <v>351</v>
      </c>
      <c r="AG21" t="s">
        <v>13</v>
      </c>
      <c r="AH21">
        <v>0</v>
      </c>
      <c r="AI21">
        <v>12.340999999999999</v>
      </c>
      <c r="AJ21" s="3">
        <v>3509</v>
      </c>
      <c r="AK21">
        <v>0.69199999999999995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3">
        <f t="shared" si="0"/>
        <v>32.432607009759998</v>
      </c>
      <c r="AU21" s="14">
        <f t="shared" si="1"/>
        <v>696.81198516898996</v>
      </c>
      <c r="AW21" s="17">
        <f t="shared" si="16"/>
        <v>30.2530723868</v>
      </c>
      <c r="AX21" s="9">
        <f t="shared" si="17"/>
        <v>828.86000375590004</v>
      </c>
      <c r="AZ21" s="18">
        <f t="shared" si="18"/>
        <v>34.647217641920008</v>
      </c>
      <c r="BA21" s="10">
        <f t="shared" si="19"/>
        <v>752.7086777561999</v>
      </c>
      <c r="BC21" s="19">
        <f t="shared" si="20"/>
        <v>39.231071869200001</v>
      </c>
      <c r="BD21" s="12">
        <f t="shared" si="21"/>
        <v>664.39509711533003</v>
      </c>
      <c r="BF21" s="20">
        <f t="shared" si="8"/>
        <v>32.432607009759998</v>
      </c>
      <c r="BG21" s="14">
        <f t="shared" si="9"/>
        <v>696.81198516898996</v>
      </c>
      <c r="BI21">
        <v>57</v>
      </c>
      <c r="BJ21" t="s">
        <v>47</v>
      </c>
      <c r="BK21" s="2">
        <v>46104.937245370369</v>
      </c>
      <c r="BL21">
        <v>351</v>
      </c>
      <c r="BM21" t="s">
        <v>13</v>
      </c>
      <c r="BN21">
        <v>0</v>
      </c>
      <c r="BO21">
        <v>2.8879999999999999</v>
      </c>
      <c r="BP21" s="3">
        <v>767101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46104.958437499998</v>
      </c>
      <c r="D22">
        <v>172</v>
      </c>
      <c r="E22" t="s">
        <v>13</v>
      </c>
      <c r="F22">
        <v>0</v>
      </c>
      <c r="G22">
        <v>6.069</v>
      </c>
      <c r="H22" s="3">
        <v>13827</v>
      </c>
      <c r="I22">
        <v>2.8000000000000001E-2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46104.958437499998</v>
      </c>
      <c r="R22">
        <v>172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46104.958437499998</v>
      </c>
      <c r="AF22">
        <v>172</v>
      </c>
      <c r="AG22" t="s">
        <v>13</v>
      </c>
      <c r="AH22">
        <v>0</v>
      </c>
      <c r="AI22">
        <v>12.340999999999999</v>
      </c>
      <c r="AJ22" s="3">
        <v>4074</v>
      </c>
      <c r="AK22">
        <v>0.78800000000000003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3">
        <f t="shared" si="0"/>
        <v>33.228897616324403</v>
      </c>
      <c r="AU22" s="14">
        <f t="shared" si="1"/>
        <v>801.88582366603998</v>
      </c>
      <c r="AW22" s="17">
        <f t="shared" si="16"/>
        <v>31.354060789967001</v>
      </c>
      <c r="AX22" s="9">
        <f t="shared" si="17"/>
        <v>964.76589119639993</v>
      </c>
      <c r="AZ22" s="18">
        <f t="shared" si="18"/>
        <v>35.708258503704805</v>
      </c>
      <c r="BA22" s="10">
        <f t="shared" si="19"/>
        <v>868.27747093519997</v>
      </c>
      <c r="BC22" s="19">
        <f t="shared" si="20"/>
        <v>40.212732100673001</v>
      </c>
      <c r="BD22" s="12">
        <f t="shared" si="21"/>
        <v>792.83536185268008</v>
      </c>
      <c r="BF22" s="20">
        <f t="shared" si="8"/>
        <v>33.228897616324403</v>
      </c>
      <c r="BG22" s="14">
        <f t="shared" si="9"/>
        <v>801.88582366603998</v>
      </c>
      <c r="BI22">
        <v>58</v>
      </c>
      <c r="BJ22" t="s">
        <v>48</v>
      </c>
      <c r="BK22" s="2">
        <v>46104.958437499998</v>
      </c>
      <c r="BL22">
        <v>172</v>
      </c>
      <c r="BM22" t="s">
        <v>13</v>
      </c>
      <c r="BN22">
        <v>0</v>
      </c>
      <c r="BO22">
        <v>2.8919999999999999</v>
      </c>
      <c r="BP22" s="3">
        <v>807938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46104.979675925926</v>
      </c>
      <c r="D23">
        <v>401</v>
      </c>
      <c r="E23" t="s">
        <v>13</v>
      </c>
      <c r="F23">
        <v>0</v>
      </c>
      <c r="G23">
        <v>6.0659999999999998</v>
      </c>
      <c r="H23" s="3">
        <v>8502</v>
      </c>
      <c r="I23">
        <v>1.7000000000000001E-2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46104.979675925926</v>
      </c>
      <c r="R23">
        <v>401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46104.979675925926</v>
      </c>
      <c r="AF23">
        <v>401</v>
      </c>
      <c r="AG23" t="s">
        <v>13</v>
      </c>
      <c r="AH23">
        <v>0</v>
      </c>
      <c r="AI23">
        <v>12.315</v>
      </c>
      <c r="AJ23" s="3">
        <v>25959</v>
      </c>
      <c r="AK23">
        <v>4.5270000000000001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3">
        <f t="shared" si="0"/>
        <v>23.268247209144</v>
      </c>
      <c r="AU23" s="14">
        <f t="shared" si="1"/>
        <v>4889.4540958829903</v>
      </c>
      <c r="AW23" s="17">
        <f t="shared" si="16"/>
        <v>11.241332160000001</v>
      </c>
      <c r="AX23" s="9">
        <f t="shared" si="17"/>
        <v>6004.9240384959003</v>
      </c>
      <c r="AZ23" s="18">
        <f t="shared" si="18"/>
        <v>21.174713988560001</v>
      </c>
      <c r="BA23" s="10">
        <f t="shared" si="19"/>
        <v>5315.3975930761999</v>
      </c>
      <c r="BC23" s="19">
        <f t="shared" si="20"/>
        <v>26.948872045971996</v>
      </c>
      <c r="BD23" s="12">
        <f t="shared" si="21"/>
        <v>5743.7975147533298</v>
      </c>
      <c r="BF23" s="20">
        <f t="shared" si="8"/>
        <v>23.268247209144</v>
      </c>
      <c r="BG23" s="14">
        <f t="shared" si="9"/>
        <v>4889.4540958829903</v>
      </c>
      <c r="BI23">
        <v>59</v>
      </c>
      <c r="BJ23" t="s">
        <v>49</v>
      </c>
      <c r="BK23" s="2">
        <v>46104.979675925926</v>
      </c>
      <c r="BL23">
        <v>401</v>
      </c>
      <c r="BM23" t="s">
        <v>13</v>
      </c>
      <c r="BN23">
        <v>0</v>
      </c>
      <c r="BO23">
        <v>2.8839999999999999</v>
      </c>
      <c r="BP23" s="3">
        <v>835927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46105.000844907408</v>
      </c>
      <c r="D24">
        <v>319</v>
      </c>
      <c r="E24" t="s">
        <v>13</v>
      </c>
      <c r="F24">
        <v>0</v>
      </c>
      <c r="G24">
        <v>6.0759999999999996</v>
      </c>
      <c r="H24" s="3">
        <v>8078</v>
      </c>
      <c r="I24">
        <v>1.6E-2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46105.000844907408</v>
      </c>
      <c r="R24">
        <v>319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46105.000844907408</v>
      </c>
      <c r="AF24">
        <v>319</v>
      </c>
      <c r="AG24" t="s">
        <v>13</v>
      </c>
      <c r="AH24">
        <v>0</v>
      </c>
      <c r="AI24">
        <v>12.323</v>
      </c>
      <c r="AJ24" s="3">
        <v>24689</v>
      </c>
      <c r="AK24">
        <v>4.3099999999999996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3">
        <f t="shared" si="0"/>
        <v>22.189836332023997</v>
      </c>
      <c r="AU24" s="14">
        <f t="shared" si="1"/>
        <v>4651.3129771445901</v>
      </c>
      <c r="AW24" s="17">
        <f t="shared" si="16"/>
        <v>9.4655353600000058</v>
      </c>
      <c r="AX24" s="9">
        <f t="shared" si="17"/>
        <v>5724.3817405518994</v>
      </c>
      <c r="AZ24" s="18">
        <f t="shared" si="18"/>
        <v>19.732952359759999</v>
      </c>
      <c r="BA24" s="10">
        <f t="shared" si="19"/>
        <v>5058.8941060841998</v>
      </c>
      <c r="BC24" s="19">
        <f t="shared" si="20"/>
        <v>25.412798935411999</v>
      </c>
      <c r="BD24" s="12">
        <f t="shared" si="21"/>
        <v>5457.7748424005304</v>
      </c>
      <c r="BF24" s="20">
        <f t="shared" si="8"/>
        <v>22.189836332023997</v>
      </c>
      <c r="BG24" s="14">
        <f t="shared" si="9"/>
        <v>4651.3129771445901</v>
      </c>
      <c r="BI24">
        <v>60</v>
      </c>
      <c r="BJ24" t="s">
        <v>50</v>
      </c>
      <c r="BK24" s="2">
        <v>46105.000844907408</v>
      </c>
      <c r="BL24">
        <v>319</v>
      </c>
      <c r="BM24" t="s">
        <v>13</v>
      </c>
      <c r="BN24">
        <v>0</v>
      </c>
      <c r="BO24">
        <v>2.895</v>
      </c>
      <c r="BP24" s="3">
        <v>770567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46105.022048611114</v>
      </c>
      <c r="D25">
        <v>130</v>
      </c>
      <c r="E25" t="s">
        <v>13</v>
      </c>
      <c r="F25">
        <v>0</v>
      </c>
      <c r="G25">
        <v>6.0679999999999996</v>
      </c>
      <c r="H25" s="3">
        <v>7115</v>
      </c>
      <c r="I25">
        <v>1.4999999999999999E-2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46105.022048611114</v>
      </c>
      <c r="R25">
        <v>130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46105.022048611114</v>
      </c>
      <c r="AF25">
        <v>130</v>
      </c>
      <c r="AG25" t="s">
        <v>13</v>
      </c>
      <c r="AH25">
        <v>0</v>
      </c>
      <c r="AI25">
        <v>12.326000000000001</v>
      </c>
      <c r="AJ25" s="3">
        <v>16758</v>
      </c>
      <c r="AK25">
        <v>2.9550000000000001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3">
        <f t="shared" si="0"/>
        <v>19.735560342349999</v>
      </c>
      <c r="AU25" s="14">
        <f t="shared" si="1"/>
        <v>3166.7615258855599</v>
      </c>
      <c r="AW25" s="17">
        <f t="shared" si="16"/>
        <v>6.1535665000000019</v>
      </c>
      <c r="AX25" s="9">
        <f t="shared" si="17"/>
        <v>3939.1451797596001</v>
      </c>
      <c r="AZ25" s="18">
        <f t="shared" si="18"/>
        <v>16.534706076499997</v>
      </c>
      <c r="BA25" s="10">
        <f t="shared" si="19"/>
        <v>3452.6963322727997</v>
      </c>
      <c r="BC25" s="19">
        <f t="shared" si="20"/>
        <v>21.935373049924998</v>
      </c>
      <c r="BD25" s="12">
        <f t="shared" si="21"/>
        <v>3668.0162442245201</v>
      </c>
      <c r="BF25" s="20">
        <f t="shared" si="8"/>
        <v>19.735560342349999</v>
      </c>
      <c r="BG25" s="14">
        <f t="shared" si="9"/>
        <v>3166.7615258855599</v>
      </c>
      <c r="BI25">
        <v>61</v>
      </c>
      <c r="BJ25" t="s">
        <v>51</v>
      </c>
      <c r="BK25" s="2">
        <v>46105.022048611114</v>
      </c>
      <c r="BL25">
        <v>130</v>
      </c>
      <c r="BM25" t="s">
        <v>13</v>
      </c>
      <c r="BN25">
        <v>0</v>
      </c>
      <c r="BO25">
        <v>2.8839999999999999</v>
      </c>
      <c r="BP25" s="3">
        <v>848891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46105.043298611112</v>
      </c>
      <c r="D26">
        <v>205</v>
      </c>
      <c r="E26" t="s">
        <v>13</v>
      </c>
      <c r="F26">
        <v>0</v>
      </c>
      <c r="G26">
        <v>6.0720000000000001</v>
      </c>
      <c r="H26" s="3">
        <v>6332</v>
      </c>
      <c r="I26">
        <v>1.2999999999999999E-2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46105.043298611112</v>
      </c>
      <c r="R26">
        <v>205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46105.043298611112</v>
      </c>
      <c r="AF26">
        <v>205</v>
      </c>
      <c r="AG26" t="s">
        <v>13</v>
      </c>
      <c r="AH26">
        <v>0</v>
      </c>
      <c r="AI26">
        <v>12.321</v>
      </c>
      <c r="AJ26" s="3">
        <v>22890</v>
      </c>
      <c r="AK26">
        <v>4.0030000000000001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3">
        <f t="shared" si="0"/>
        <v>17.734950052063997</v>
      </c>
      <c r="AU26" s="14">
        <f t="shared" si="1"/>
        <v>4314.1752456590002</v>
      </c>
      <c r="AW26" s="17">
        <f t="shared" si="16"/>
        <v>4.1989009600000013</v>
      </c>
      <c r="AX26" s="9">
        <f t="shared" si="17"/>
        <v>5324.4654471899994</v>
      </c>
      <c r="AZ26" s="18">
        <f t="shared" si="18"/>
        <v>14.012379959359997</v>
      </c>
      <c r="BA26" s="10">
        <f t="shared" si="19"/>
        <v>4695.2176644199999</v>
      </c>
      <c r="BC26" s="19">
        <f t="shared" si="20"/>
        <v>19.119544244431999</v>
      </c>
      <c r="BD26" s="12">
        <f t="shared" si="21"/>
        <v>5052.3426704530002</v>
      </c>
      <c r="BF26" s="20">
        <f t="shared" si="8"/>
        <v>17.734950052063997</v>
      </c>
      <c r="BG26" s="14">
        <f t="shared" si="9"/>
        <v>4314.1752456590002</v>
      </c>
      <c r="BI26">
        <v>62</v>
      </c>
      <c r="BJ26" t="s">
        <v>52</v>
      </c>
      <c r="BK26" s="2">
        <v>46105.043298611112</v>
      </c>
      <c r="BL26">
        <v>205</v>
      </c>
      <c r="BM26" t="s">
        <v>13</v>
      </c>
      <c r="BN26">
        <v>0</v>
      </c>
      <c r="BO26">
        <v>2.8839999999999999</v>
      </c>
      <c r="BP26" s="3">
        <v>853181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46105.06453703704</v>
      </c>
      <c r="D27">
        <v>225</v>
      </c>
      <c r="E27" t="s">
        <v>13</v>
      </c>
      <c r="F27">
        <v>0</v>
      </c>
      <c r="G27">
        <v>6.0679999999999996</v>
      </c>
      <c r="H27" s="3">
        <v>12046</v>
      </c>
      <c r="I27">
        <v>2.5000000000000001E-2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46105.06453703704</v>
      </c>
      <c r="R27">
        <v>225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46105.06453703704</v>
      </c>
      <c r="AF27">
        <v>225</v>
      </c>
      <c r="AG27" t="s">
        <v>13</v>
      </c>
      <c r="AH27">
        <v>0</v>
      </c>
      <c r="AI27">
        <v>12.358000000000001</v>
      </c>
      <c r="AJ27" s="3">
        <v>4128</v>
      </c>
      <c r="AK27">
        <v>0.79800000000000004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3">
        <f t="shared" si="0"/>
        <v>29.363662057937603</v>
      </c>
      <c r="AU27" s="14">
        <f t="shared" si="1"/>
        <v>811.92947534336008</v>
      </c>
      <c r="AW27" s="17">
        <f t="shared" si="16"/>
        <v>26.007145655068001</v>
      </c>
      <c r="AX27" s="9">
        <f t="shared" si="17"/>
        <v>977.73988085759993</v>
      </c>
      <c r="AZ27" s="18">
        <f t="shared" si="18"/>
        <v>30.558447353699201</v>
      </c>
      <c r="BA27" s="10">
        <f t="shared" si="19"/>
        <v>879.32098503679993</v>
      </c>
      <c r="BC27" s="19">
        <f t="shared" si="20"/>
        <v>35.448209091492004</v>
      </c>
      <c r="BD27" s="12">
        <f t="shared" si="21"/>
        <v>805.10942835712001</v>
      </c>
      <c r="BF27" s="20">
        <f t="shared" si="8"/>
        <v>29.363662057937603</v>
      </c>
      <c r="BG27" s="14">
        <f t="shared" si="9"/>
        <v>811.92947534336008</v>
      </c>
      <c r="BI27">
        <v>63</v>
      </c>
      <c r="BJ27" t="s">
        <v>53</v>
      </c>
      <c r="BK27" s="2">
        <v>46105.06453703704</v>
      </c>
      <c r="BL27">
        <v>225</v>
      </c>
      <c r="BM27" t="s">
        <v>13</v>
      </c>
      <c r="BN27">
        <v>0</v>
      </c>
      <c r="BO27">
        <v>2.887</v>
      </c>
      <c r="BP27" s="3">
        <v>806099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46105.085763888892</v>
      </c>
      <c r="D28">
        <v>253</v>
      </c>
      <c r="E28" t="s">
        <v>13</v>
      </c>
      <c r="F28">
        <v>0</v>
      </c>
      <c r="G28">
        <v>6.0679999999999996</v>
      </c>
      <c r="H28" s="3">
        <v>9066</v>
      </c>
      <c r="I28">
        <v>1.7999999999999999E-2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46105.085763888892</v>
      </c>
      <c r="R28">
        <v>253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46105.085763888892</v>
      </c>
      <c r="AF28">
        <v>253</v>
      </c>
      <c r="AG28" t="s">
        <v>13</v>
      </c>
      <c r="AH28">
        <v>0</v>
      </c>
      <c r="AI28">
        <v>12.343</v>
      </c>
      <c r="AJ28" s="3">
        <v>10345</v>
      </c>
      <c r="AK28">
        <v>1.86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3">
        <f t="shared" si="0"/>
        <v>24.700667589816</v>
      </c>
      <c r="AU28" s="14">
        <f t="shared" si="1"/>
        <v>1969.6467109047501</v>
      </c>
      <c r="AW28" s="17">
        <f t="shared" si="16"/>
        <v>13.904382239999999</v>
      </c>
      <c r="AX28" s="9">
        <f t="shared" si="17"/>
        <v>2453.6486226974998</v>
      </c>
      <c r="AZ28" s="18">
        <f t="shared" si="18"/>
        <v>23.124369221839999</v>
      </c>
      <c r="BA28" s="10">
        <f t="shared" si="19"/>
        <v>2148.4252623049997</v>
      </c>
      <c r="BC28" s="19">
        <f t="shared" si="20"/>
        <v>28.996871679508004</v>
      </c>
      <c r="BD28" s="12">
        <f t="shared" si="21"/>
        <v>2216.3050764432501</v>
      </c>
      <c r="BF28" s="20">
        <f t="shared" si="8"/>
        <v>24.700667589816</v>
      </c>
      <c r="BG28" s="14">
        <f t="shared" si="9"/>
        <v>1969.6467109047501</v>
      </c>
      <c r="BI28">
        <v>64</v>
      </c>
      <c r="BJ28" t="s">
        <v>54</v>
      </c>
      <c r="BK28" s="2">
        <v>46105.085763888892</v>
      </c>
      <c r="BL28">
        <v>253</v>
      </c>
      <c r="BM28" t="s">
        <v>13</v>
      </c>
      <c r="BN28">
        <v>0</v>
      </c>
      <c r="BO28">
        <v>2.8839999999999999</v>
      </c>
      <c r="BP28" s="3">
        <v>876474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46105.106990740744</v>
      </c>
      <c r="D29">
        <v>377</v>
      </c>
      <c r="E29" t="s">
        <v>13</v>
      </c>
      <c r="F29">
        <v>0</v>
      </c>
      <c r="G29">
        <v>6.0759999999999996</v>
      </c>
      <c r="H29" s="3">
        <v>6143</v>
      </c>
      <c r="I29">
        <v>1.2999999999999999E-2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46105.106990740744</v>
      </c>
      <c r="R29">
        <v>377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46105.106990740744</v>
      </c>
      <c r="AF29">
        <v>377</v>
      </c>
      <c r="AG29" t="s">
        <v>13</v>
      </c>
      <c r="AH29">
        <v>0</v>
      </c>
      <c r="AI29">
        <v>12.335000000000001</v>
      </c>
      <c r="AJ29" s="3">
        <v>22655</v>
      </c>
      <c r="AK29" s="11">
        <v>3.9630000000000001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3">
        <f t="shared" si="0"/>
        <v>17.251361828413998</v>
      </c>
      <c r="AU29" s="14">
        <f t="shared" si="1"/>
        <v>4270.1526826047502</v>
      </c>
      <c r="AW29" s="17">
        <f t="shared" si="16"/>
        <v>3.8262874599999979</v>
      </c>
      <c r="AX29" s="9">
        <f t="shared" si="17"/>
        <v>5272.0071196974995</v>
      </c>
      <c r="AZ29" s="18">
        <f t="shared" si="18"/>
        <v>13.414039695859998</v>
      </c>
      <c r="BA29" s="10">
        <f t="shared" si="19"/>
        <v>4647.6827083050002</v>
      </c>
      <c r="BC29" s="19">
        <f t="shared" si="20"/>
        <v>18.441421661356998</v>
      </c>
      <c r="BD29" s="12">
        <f t="shared" si="21"/>
        <v>4999.3583703432505</v>
      </c>
      <c r="BF29" s="20">
        <f t="shared" si="8"/>
        <v>17.251361828413998</v>
      </c>
      <c r="BG29" s="14">
        <f t="shared" si="9"/>
        <v>4270.1526826047502</v>
      </c>
      <c r="BI29">
        <v>65</v>
      </c>
      <c r="BJ29" t="s">
        <v>55</v>
      </c>
      <c r="BK29" s="2">
        <v>46105.106990740744</v>
      </c>
      <c r="BL29">
        <v>377</v>
      </c>
      <c r="BM29" t="s">
        <v>13</v>
      </c>
      <c r="BN29">
        <v>0</v>
      </c>
      <c r="BO29">
        <v>2.8929999999999998</v>
      </c>
      <c r="BP29" s="3">
        <v>840419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C30" s="2"/>
      <c r="H30" s="3"/>
      <c r="Q30" s="2"/>
      <c r="AE30" s="2"/>
      <c r="AJ30" s="3"/>
      <c r="AS30" s="8"/>
      <c r="AT30" s="13"/>
      <c r="AU30" s="14"/>
      <c r="AW30" s="17"/>
      <c r="AX30" s="9"/>
      <c r="AZ30" s="18"/>
      <c r="BA30" s="10"/>
      <c r="BC30" s="19"/>
      <c r="BD30" s="12"/>
      <c r="BF30" s="20"/>
      <c r="BG30" s="14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3"/>
      <c r="AU31" s="14"/>
      <c r="AW31" s="17"/>
      <c r="AX31" s="9"/>
      <c r="AZ31" s="18"/>
      <c r="BA31" s="10"/>
      <c r="BC31" s="19"/>
      <c r="BD31" s="12"/>
      <c r="BF31" s="20"/>
      <c r="BG31" s="14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3"/>
      <c r="AU32" s="14"/>
      <c r="AW32" s="17"/>
      <c r="AX32" s="9"/>
      <c r="AZ32" s="18"/>
      <c r="BA32" s="10"/>
      <c r="BC32" s="19"/>
      <c r="BD32" s="12"/>
      <c r="BF32" s="20"/>
      <c r="BG32" s="14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3"/>
      <c r="AU33" s="14"/>
      <c r="AW33" s="17"/>
      <c r="AX33" s="9"/>
      <c r="AZ33" s="18"/>
      <c r="BA33" s="10"/>
      <c r="BC33" s="19"/>
      <c r="BD33" s="12"/>
      <c r="BF33" s="20"/>
      <c r="BG33" s="14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3"/>
      <c r="AU34" s="14"/>
      <c r="AW34" s="17"/>
      <c r="AX34" s="9"/>
      <c r="AZ34" s="18"/>
      <c r="BA34" s="10"/>
      <c r="BC34" s="19"/>
      <c r="BD34" s="12"/>
      <c r="BF34" s="20"/>
      <c r="BG34" s="14"/>
      <c r="BK34" s="2"/>
      <c r="BP34" s="3"/>
    </row>
    <row r="35" spans="3:68" x14ac:dyDescent="0.35">
      <c r="C35" s="2"/>
      <c r="H35" s="3"/>
      <c r="Q35" s="2"/>
      <c r="AE35" s="2"/>
      <c r="AS35" s="8"/>
      <c r="AT35" s="13"/>
      <c r="AU35" s="14"/>
      <c r="AW35" s="17"/>
      <c r="AX35" s="9"/>
      <c r="AZ35" s="18"/>
      <c r="BA35" s="10"/>
      <c r="BC35" s="19"/>
      <c r="BD35" s="12"/>
      <c r="BF35" s="20"/>
      <c r="BG35" s="14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3"/>
      <c r="AU36" s="14"/>
      <c r="AW36" s="17"/>
      <c r="AX36" s="9"/>
      <c r="AZ36" s="18"/>
      <c r="BA36" s="10"/>
      <c r="BC36" s="19"/>
      <c r="BD36" s="12"/>
      <c r="BF36" s="20"/>
      <c r="BG36" s="14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3"/>
      <c r="AU37" s="14"/>
      <c r="AW37" s="17"/>
      <c r="AX37" s="9"/>
      <c r="AZ37" s="18"/>
      <c r="BA37" s="10"/>
      <c r="BC37" s="19"/>
      <c r="BD37" s="12"/>
      <c r="BF37" s="20"/>
      <c r="BG37" s="14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3"/>
      <c r="AU38" s="14"/>
      <c r="AW38" s="17"/>
      <c r="AX38" s="9"/>
      <c r="AZ38" s="18"/>
      <c r="BA38" s="10"/>
      <c r="BC38" s="19"/>
      <c r="BD38" s="12"/>
      <c r="BF38" s="20"/>
      <c r="BG38" s="14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3"/>
      <c r="AU39" s="14"/>
      <c r="AW39" s="17"/>
      <c r="AX39" s="9"/>
      <c r="AZ39" s="18"/>
      <c r="BA39" s="10"/>
      <c r="BC39" s="19"/>
      <c r="BD39" s="12"/>
      <c r="BF39" s="20"/>
      <c r="BG39" s="14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3"/>
      <c r="AU40" s="14"/>
      <c r="AW40" s="17"/>
      <c r="AX40" s="9"/>
      <c r="AZ40" s="18"/>
      <c r="BA40" s="10"/>
      <c r="BC40" s="19"/>
      <c r="BD40" s="12"/>
      <c r="BF40" s="20"/>
      <c r="BG40" s="14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3"/>
      <c r="AU41" s="14"/>
      <c r="AW41" s="17"/>
      <c r="AX41" s="9"/>
      <c r="AZ41" s="18"/>
      <c r="BA41" s="10"/>
      <c r="BC41" s="19"/>
      <c r="BD41" s="12"/>
      <c r="BF41" s="20"/>
      <c r="BG41" s="14"/>
      <c r="BK41" s="2"/>
      <c r="BP41" s="3"/>
    </row>
    <row r="42" spans="3:68" x14ac:dyDescent="0.35">
      <c r="C42" s="2"/>
      <c r="H42" s="3"/>
      <c r="Q42" s="2"/>
      <c r="AE42" s="2"/>
      <c r="AS42" s="8"/>
      <c r="AT42" s="13"/>
      <c r="AU42" s="14"/>
      <c r="AW42" s="17"/>
      <c r="AX42" s="9"/>
      <c r="AZ42" s="18"/>
      <c r="BA42" s="10"/>
      <c r="BC42" s="19"/>
      <c r="BD42" s="12"/>
      <c r="BF42" s="20"/>
      <c r="BG42" s="14"/>
      <c r="BK42" s="2"/>
      <c r="BP42" s="3"/>
    </row>
    <row r="43" spans="3:68" x14ac:dyDescent="0.35">
      <c r="C43" s="2"/>
      <c r="H43" s="3"/>
      <c r="Q43" s="2"/>
      <c r="AE43" s="2"/>
      <c r="AS43" s="8"/>
      <c r="AT43" s="13"/>
      <c r="AU43" s="14"/>
      <c r="AW43" s="17"/>
      <c r="AX43" s="9"/>
      <c r="AZ43" s="18"/>
      <c r="BA43" s="10"/>
      <c r="BC43" s="19"/>
      <c r="BD43" s="12"/>
      <c r="BF43" s="20"/>
      <c r="BG43" s="14"/>
      <c r="BK43" s="2"/>
      <c r="BP4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2026-03-27T16:44:02Z</dcterms:modified>
</cp:coreProperties>
</file>