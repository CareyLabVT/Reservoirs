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57ED7608-EA6A-437D-A2FC-039D20F1702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AT36" i="1"/>
  <c r="AU36" i="1"/>
  <c r="AW36" i="1"/>
  <c r="AX36" i="1"/>
  <c r="AZ36" i="1"/>
  <c r="BA36" i="1"/>
  <c r="BC36" i="1"/>
  <c r="BD36" i="1"/>
  <c r="BF36" i="1"/>
  <c r="BG36" i="1"/>
  <c r="AT37" i="1"/>
  <c r="AU37" i="1"/>
  <c r="AW37" i="1"/>
  <c r="AX37" i="1"/>
  <c r="AZ37" i="1"/>
  <c r="BA37" i="1"/>
  <c r="BC37" i="1"/>
  <c r="BD37" i="1"/>
  <c r="BF37" i="1"/>
  <c r="BG37" i="1"/>
  <c r="AT38" i="1"/>
  <c r="AU38" i="1"/>
  <c r="AW38" i="1"/>
  <c r="AX38" i="1"/>
  <c r="AZ38" i="1"/>
  <c r="BA38" i="1"/>
  <c r="BC38" i="1"/>
  <c r="BD38" i="1"/>
  <c r="BF38" i="1"/>
  <c r="BG38" i="1"/>
  <c r="BG16" i="1" l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<sst xmlns="http://schemas.openxmlformats.org/spreadsheetml/2006/main" count="888" uniqueCount="65">
  <si>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</si>
  <si>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</si>
  <si>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</si>
  <si>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</si>
  <si>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</si>
  <si>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</si>
  <si>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</si>
  <si>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</si>
  <si>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</si>
  <si>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</si>
  <si>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</si>
  <si>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</si>
  <si>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</si>
  <si>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</si>
  <si>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</si>
  <si>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</si>
  <si>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</si>
  <si>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</si>
  <si>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</si>
  <si>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</si>
  <si>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</si>
  <si>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</si>
  <si>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</si>
  <si>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</si>
  <si>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</si>
  <si>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</si>
  <si>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</si>
  <si>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</si>
  <si>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</si>
  <si>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</si>
  <si>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</si>
  <si>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</si>
  <si>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</si>
  <si>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</si>
  <si>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</si>
  <si>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FMI20260331_001.gcd</t>
  </si>
  <si>
    <t>FMI20260331_002.gcd</t>
  </si>
  <si>
    <t>FMI20260331_003.gcd</t>
  </si>
  <si>
    <t>FMI20260331_004.gcd</t>
  </si>
  <si>
    <t>FMI20260331_005.gcd</t>
  </si>
  <si>
    <t>FMI20260331_006.gcd</t>
  </si>
  <si>
    <t>FMI20260331_007.gcd</t>
  </si>
  <si>
    <t>FMI20260331_008.gcd</t>
  </si>
  <si>
    <t>FMI20260331_009.gcd</t>
  </si>
  <si>
    <t>FMI20260331_010.gcd</t>
  </si>
  <si>
    <t>FMI20260331_011.gcd</t>
  </si>
  <si>
    <t>FMI20260331_012.gcd</t>
  </si>
  <si>
    <t>FMI20260331_013.gcd</t>
  </si>
  <si>
    <t>FMI20260331_014.gcd</t>
  </si>
  <si>
    <t>FMI20260331_015.gcd</t>
  </si>
  <si>
    <t>FMI20260331_016.gcd</t>
  </si>
  <si>
    <t>FMI20260331_017.gcd</t>
  </si>
  <si>
    <t>FMI20260331_018.gcd</t>
  </si>
  <si>
    <t>FMI20260331_019.gcd</t>
  </si>
  <si>
    <t>FMI20260331_020.gcd</t>
  </si>
  <si>
    <t>FMI20260331_021.gcd</t>
  </si>
  <si>
    <t>FMI20260331_022.gcd</t>
  </si>
  <si>
    <t>FMI20260331_023.gcd</t>
  </si>
  <si>
    <t>FMI20260331_024.gcd</t>
  </si>
  <si>
    <t>FMI20260331_025.gcd</t>
  </si>
  <si>
    <t>FMI20260331_026.gcd</t>
  </si>
  <si>
    <t>FMI20260331_027.gcd</t>
  </si>
  <si>
    <t>FMI20260331_028.gcd</t>
  </si>
  <si>
    <t>FMI20260331_029.gcd</t>
  </si>
  <si>
    <t>FMI20260331_030.gcd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</si>
</sst>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workbookViewId="0">
      <selection activeCell="A9" sqref="A9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7265625" customWidth="1"/>
    <col min="46" max="47" width="10.1796875" customWidth="1"/>
    <col min="49" max="50" width="10.1796875" customWidth="1"/>
    <col min="52" max="53" width="10.1796875" customWidth="1"/>
    <col min="54" max="54" width="8.7265625" style="7"/>
    <col min="55" max="56" width="10.1796875" customWidth="1"/>
    <col min="58" max="59" width="10.179687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46112.669618055559</v>
      </c>
      <c r="D9" t="s">
        <v>31</v>
      </c>
      <c r="E9" t="s">
        <v>13</v>
      </c>
      <c r="F9">
        <v>0</v>
      </c>
      <c r="G9">
        <v>6.0910000000000002</v>
      </c>
      <c r="H9" s="3">
        <v>1463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46112.669618055559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46112.669618055559</v>
      </c>
      <c r="AF9" t="s">
        <v>31</v>
      </c>
      <c r="AG9" t="s">
        <v>13</v>
      </c>
      <c r="AH9">
        <v>0</v>
      </c>
      <c r="AI9">
        <v>12.372999999999999</v>
      </c>
      <c r="AJ9" s="3">
        <v>2009</v>
      </c>
      <c r="AK9">
        <v>0.435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29" si="0">IF($H9&lt;10000,(($H9^2*-0.000000003714)+($H9*0.002605)+(1.389)),(IF($H9&lt;200000,(($H9^2*-0.0000000003764)+($H9*0.00218)+(3.158)),(IF($H9&lt;8000000,(($H9^2*-0.000000000004719)+($H9*0.001816)+(146.1)),(($V9^2*0.000000002578)+($V9*0.2173)+(2294)))))))</f>
        <v>5.1921656695339999</v>
      </c>
      <c r="AU9" s="17">
        <f t="shared" ref="AU9:AU29" si="1">IF($AJ9&lt;45000,((0.00000003579*$AJ9^2)+(0.1857*$AJ9)+(44.75)),((0.0000000022829*$AJ9^2)+(0.1634*$AJ9)+(1620)))</f>
        <v>417.96575133899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6.904604260000001</v>
      </c>
      <c r="AX9" s="10">
        <f t="shared" ref="AX9:AX14" si="3">IF(AJ9&lt;45000,((-0.0000004561*AJ9^2)+(0.244*AJ9)+(-21.72)),((-0.0000000409*AJ9^2)+(0.2477*AJ9)+(-1777)))</f>
        <v>466.63514345589999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-9.9960315340000161E-2</v>
      </c>
      <c r="BA9" s="12">
        <f t="shared" ref="BA9:BA14" si="5">IF(AJ9&lt;45000,((-0.0000000598*AJ9^2)+(0.205*AJ9)+(34.1)),((-0.00000002403*AJ9^2)+(0.2063*AJ9)+(-550.7)))</f>
        <v>445.70364235620002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1.8433441539169992</v>
      </c>
      <c r="BD9" s="15">
        <f t="shared" ref="BD9:BD14" si="7">IF(AJ9&lt;45000,((-0.00000004907*AJ9^2)+(0.2277*AJ9)+(-134)),((-0.00000001062*AJ9^2)+(0.2147*AJ9)+(590.6)))</f>
        <v>323.25124950533007</v>
      </c>
      <c r="BF9" s="16">
        <f t="shared" ref="BF9:BF29" si="8">IF($H9&lt;10000,(($H9^2*-0.000000003714)+($H9*0.002605)+(1.389)),(IF($H9&lt;200000,(($H9^2*-0.0000000003764)+($H9*0.00218)+(3.158)),(IF($H9&lt;8000000,(($H9^2*-0.000000000004719)+($H9*0.001816)+(146.1)),(($V9^2*0.000000002578)+($V9*0.2173)+(2294)))))))</f>
        <v>5.1921656695339999</v>
      </c>
      <c r="BG9" s="17">
        <f t="shared" ref="BG9:BG29" si="9">IF($AJ9&lt;45000,((0.00000003579*$AJ9^2)+(0.1857*$AJ9)+(44.75)),((0.0000000022829*$AJ9^2)+(0.1634*$AJ9)+(1620)))</f>
        <v>417.96575133899</v>
      </c>
      <c r="BI9">
        <v>45</v>
      </c>
      <c r="BJ9" t="s">
        <v>35</v>
      </c>
      <c r="BK9" s="2">
        <v>46112.669618055559</v>
      </c>
      <c r="BL9" t="s">
        <v>31</v>
      </c>
      <c r="BM9" t="s">
        <v>13</v>
      </c>
      <c r="BN9">
        <v>0</v>
      </c>
      <c r="BO9">
        <v>2.722</v>
      </c>
      <c r="BP9" s="3">
        <v>5193598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46112.690833333334</v>
      </c>
      <c r="D10" t="s">
        <v>32</v>
      </c>
      <c r="E10" t="s">
        <v>13</v>
      </c>
      <c r="F10">
        <v>0</v>
      </c>
      <c r="G10">
        <v>6.0620000000000003</v>
      </c>
      <c r="H10" s="3">
        <v>820617</v>
      </c>
      <c r="I10">
        <v>1.6679999999999999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46112.690833333334</v>
      </c>
      <c r="R10" t="s">
        <v>32</v>
      </c>
      <c r="S10" t="s">
        <v>13</v>
      </c>
      <c r="T10">
        <v>0</v>
      </c>
      <c r="U10">
        <v>6.0110000000000001</v>
      </c>
      <c r="V10" s="3">
        <v>6585</v>
      </c>
      <c r="W10">
        <v>1.6519999999999999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46112.690833333334</v>
      </c>
      <c r="AF10" t="s">
        <v>32</v>
      </c>
      <c r="AG10" t="s">
        <v>13</v>
      </c>
      <c r="AH10">
        <v>0</v>
      </c>
      <c r="AI10">
        <v>12.37</v>
      </c>
      <c r="AJ10" s="3">
        <v>8419</v>
      </c>
      <c r="AK10">
        <v>1.5309999999999999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1633.1626395418084</v>
      </c>
      <c r="AU10" s="17">
        <f t="shared" si="1"/>
        <v>1610.69507948819</v>
      </c>
      <c r="AW10" s="9">
        <f t="shared" si="2"/>
        <v>1733.5715119511847</v>
      </c>
      <c r="AX10" s="10">
        <f t="shared" si="3"/>
        <v>2000.1878322278999</v>
      </c>
      <c r="AZ10" s="11">
        <f t="shared" si="4"/>
        <v>1911.4070749837281</v>
      </c>
      <c r="BA10" s="12">
        <f t="shared" si="5"/>
        <v>1755.7564022521999</v>
      </c>
      <c r="BC10" s="14">
        <f t="shared" si="6"/>
        <v>1856.9135888827466</v>
      </c>
      <c r="BD10" s="15">
        <f t="shared" si="7"/>
        <v>1779.5282399417299</v>
      </c>
      <c r="BF10" s="16">
        <f t="shared" si="8"/>
        <v>1633.1626395418084</v>
      </c>
      <c r="BG10" s="17">
        <f t="shared" si="9"/>
        <v>1610.69507948819</v>
      </c>
      <c r="BI10">
        <v>46</v>
      </c>
      <c r="BJ10" t="s">
        <v>36</v>
      </c>
      <c r="BK10" s="2">
        <v>46112.690833333334</v>
      </c>
      <c r="BL10" t="s">
        <v>32</v>
      </c>
      <c r="BM10" t="s">
        <v>13</v>
      </c>
      <c r="BN10">
        <v>0</v>
      </c>
      <c r="BO10">
        <v>2.7320000000000002</v>
      </c>
      <c r="BP10" s="3">
        <v>5091551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46112.712071759262</v>
      </c>
      <c r="D11" t="s">
        <v>26</v>
      </c>
      <c r="E11" t="s">
        <v>13</v>
      </c>
      <c r="F11">
        <v>0</v>
      </c>
      <c r="G11">
        <v>6.0720000000000001</v>
      </c>
      <c r="H11" s="3">
        <v>2442</v>
      </c>
      <c r="I11">
        <v>5.0000000000000001E-3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46112.712071759262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46112.712071759262</v>
      </c>
      <c r="AF11" t="s">
        <v>26</v>
      </c>
      <c r="AG11" t="s">
        <v>13</v>
      </c>
      <c r="AH11">
        <v>0</v>
      </c>
      <c r="AI11">
        <v>12.363</v>
      </c>
      <c r="AJ11" s="3">
        <v>1652</v>
      </c>
      <c r="AK11">
        <v>0.375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7.7282620661040005</v>
      </c>
      <c r="AU11" s="17">
        <f t="shared" si="1"/>
        <v>351.62407463216005</v>
      </c>
      <c r="AW11" s="9">
        <f t="shared" si="2"/>
        <v>4.30408656</v>
      </c>
      <c r="AX11" s="10">
        <f t="shared" si="3"/>
        <v>380.12325566559991</v>
      </c>
      <c r="AZ11" s="11">
        <f t="shared" si="4"/>
        <v>2.5199726189599998</v>
      </c>
      <c r="BA11" s="12">
        <f t="shared" si="5"/>
        <v>372.5967995808</v>
      </c>
      <c r="BC11" s="14">
        <f t="shared" si="6"/>
        <v>5.2846908504519998</v>
      </c>
      <c r="BD11" s="15">
        <f t="shared" si="7"/>
        <v>242.02648286672002</v>
      </c>
      <c r="BF11" s="16">
        <f t="shared" si="8"/>
        <v>7.7282620661040005</v>
      </c>
      <c r="BG11" s="17">
        <f t="shared" si="9"/>
        <v>351.62407463216005</v>
      </c>
      <c r="BI11">
        <v>47</v>
      </c>
      <c r="BJ11" t="s">
        <v>37</v>
      </c>
      <c r="BK11" s="2">
        <v>46112.712071759262</v>
      </c>
      <c r="BL11" t="s">
        <v>26</v>
      </c>
      <c r="BM11" t="s">
        <v>13</v>
      </c>
      <c r="BN11">
        <v>0</v>
      </c>
      <c r="BO11">
        <v>2.72</v>
      </c>
      <c r="BP11" s="3">
        <v>5287036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46112.733287037037</v>
      </c>
      <c r="D12">
        <v>362</v>
      </c>
      <c r="E12" t="s">
        <v>13</v>
      </c>
      <c r="F12">
        <v>0</v>
      </c>
      <c r="G12">
        <v>6.0620000000000003</v>
      </c>
      <c r="H12" s="3">
        <v>11134</v>
      </c>
      <c r="I12">
        <v>2.3E-2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46112.733287037037</v>
      </c>
      <c r="R12">
        <v>362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46112.733287037037</v>
      </c>
      <c r="AF12">
        <v>362</v>
      </c>
      <c r="AG12" t="s">
        <v>13</v>
      </c>
      <c r="AH12">
        <v>0</v>
      </c>
      <c r="AI12">
        <v>12.331</v>
      </c>
      <c r="AJ12" s="3">
        <v>6700</v>
      </c>
      <c r="AK12">
        <v>1.2370000000000001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27.383459214161601</v>
      </c>
      <c r="AU12" s="17">
        <f t="shared" si="1"/>
        <v>1290.5466131000001</v>
      </c>
      <c r="AW12" s="9">
        <f t="shared" si="2"/>
        <v>23.265267687388004</v>
      </c>
      <c r="AX12" s="10">
        <f t="shared" si="3"/>
        <v>1592.605671</v>
      </c>
      <c r="AZ12" s="11">
        <f t="shared" si="4"/>
        <v>27.920664631907208</v>
      </c>
      <c r="BA12" s="12">
        <f t="shared" si="5"/>
        <v>1404.9155779999999</v>
      </c>
      <c r="BC12" s="14">
        <f t="shared" si="6"/>
        <v>33.007784953571999</v>
      </c>
      <c r="BD12" s="15">
        <f t="shared" si="7"/>
        <v>1389.3872477000002</v>
      </c>
      <c r="BF12" s="16">
        <f t="shared" si="8"/>
        <v>27.383459214161601</v>
      </c>
      <c r="BG12" s="17">
        <f t="shared" si="9"/>
        <v>1290.5466131000001</v>
      </c>
      <c r="BI12">
        <v>48</v>
      </c>
      <c r="BJ12" t="s">
        <v>38</v>
      </c>
      <c r="BK12" s="2">
        <v>46112.733287037037</v>
      </c>
      <c r="BL12">
        <v>362</v>
      </c>
      <c r="BM12" t="s">
        <v>13</v>
      </c>
      <c r="BN12">
        <v>0</v>
      </c>
      <c r="BO12">
        <v>2.8940000000000001</v>
      </c>
      <c r="BP12" s="3">
        <v>626318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46112.754513888889</v>
      </c>
      <c r="D13">
        <v>290</v>
      </c>
      <c r="E13" t="s">
        <v>13</v>
      </c>
      <c r="F13">
        <v>0</v>
      </c>
      <c r="G13">
        <v>6.06</v>
      </c>
      <c r="H13" s="3">
        <v>7789</v>
      </c>
      <c r="I13">
        <v>1.6E-2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46112.754513888889</v>
      </c>
      <c r="R13">
        <v>290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46112.754513888889</v>
      </c>
      <c r="AF13">
        <v>290</v>
      </c>
      <c r="AG13" t="s">
        <v>13</v>
      </c>
      <c r="AH13">
        <v>0</v>
      </c>
      <c r="AI13">
        <v>12.295</v>
      </c>
      <c r="AJ13" s="3">
        <v>6165</v>
      </c>
      <c r="AK13">
        <v>1.1459999999999999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21.454022113006001</v>
      </c>
      <c r="AU13" s="17">
        <f t="shared" si="1"/>
        <v>1190.95077858275</v>
      </c>
      <c r="AW13" s="9">
        <f t="shared" si="2"/>
        <v>8.3664163400000024</v>
      </c>
      <c r="AX13" s="10">
        <f t="shared" si="3"/>
        <v>1465.2049046775001</v>
      </c>
      <c r="AZ13" s="11">
        <f t="shared" si="4"/>
        <v>18.76201628994</v>
      </c>
      <c r="BA13" s="12">
        <f t="shared" si="5"/>
        <v>1295.6521679449997</v>
      </c>
      <c r="BC13" s="14">
        <f t="shared" si="6"/>
        <v>24.367555748853</v>
      </c>
      <c r="BD13" s="15">
        <f t="shared" si="7"/>
        <v>1267.9054854692502</v>
      </c>
      <c r="BF13" s="16">
        <f t="shared" si="8"/>
        <v>21.454022113006001</v>
      </c>
      <c r="BG13" s="17">
        <f t="shared" si="9"/>
        <v>1190.95077858275</v>
      </c>
      <c r="BI13">
        <v>49</v>
      </c>
      <c r="BJ13" t="s">
        <v>39</v>
      </c>
      <c r="BK13" s="2">
        <v>46112.754513888889</v>
      </c>
      <c r="BL13">
        <v>290</v>
      </c>
      <c r="BM13" t="s">
        <v>13</v>
      </c>
      <c r="BN13">
        <v>0</v>
      </c>
      <c r="BO13">
        <v>2.89</v>
      </c>
      <c r="BP13" s="3">
        <v>691526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46112.775717592594</v>
      </c>
      <c r="D14">
        <v>328</v>
      </c>
      <c r="E14" t="s">
        <v>13</v>
      </c>
      <c r="F14">
        <v>0</v>
      </c>
      <c r="G14">
        <v>6.0590000000000002</v>
      </c>
      <c r="H14" s="3">
        <v>13377</v>
      </c>
      <c r="I14">
        <v>2.7E-2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46112.775717592594</v>
      </c>
      <c r="R14">
        <v>328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46112.775717592594</v>
      </c>
      <c r="AF14">
        <v>328</v>
      </c>
      <c r="AG14" t="s">
        <v>13</v>
      </c>
      <c r="AH14">
        <v>0</v>
      </c>
      <c r="AI14">
        <v>12.333</v>
      </c>
      <c r="AJ14" s="3">
        <v>8709</v>
      </c>
      <c r="AK14">
        <v>1.58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32.252505429844398</v>
      </c>
      <c r="AU14" s="17">
        <f t="shared" si="1"/>
        <v>1664.7258527129902</v>
      </c>
      <c r="AW14" s="9">
        <f t="shared" si="2"/>
        <v>30.004016108567001</v>
      </c>
      <c r="AX14" s="10">
        <f t="shared" si="3"/>
        <v>2068.6823287959005</v>
      </c>
      <c r="AZ14" s="11">
        <f t="shared" si="4"/>
        <v>34.407243935544805</v>
      </c>
      <c r="BA14" s="12">
        <f t="shared" si="5"/>
        <v>1814.9093684761997</v>
      </c>
      <c r="BC14" s="14">
        <f t="shared" si="6"/>
        <v>39.009051694073001</v>
      </c>
      <c r="BD14" s="15">
        <f t="shared" si="7"/>
        <v>1845.3175033633302</v>
      </c>
      <c r="BF14" s="16">
        <f t="shared" si="8"/>
        <v>32.252505429844398</v>
      </c>
      <c r="BG14" s="17">
        <f t="shared" si="9"/>
        <v>1664.7258527129902</v>
      </c>
      <c r="BI14">
        <v>50</v>
      </c>
      <c r="BJ14" t="s">
        <v>40</v>
      </c>
      <c r="BK14" s="2">
        <v>46112.775717592594</v>
      </c>
      <c r="BL14">
        <v>328</v>
      </c>
      <c r="BM14" t="s">
        <v>13</v>
      </c>
      <c r="BN14">
        <v>0</v>
      </c>
      <c r="BO14">
        <v>2.891</v>
      </c>
      <c r="BP14" s="3">
        <v>666272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46112.796932870369</v>
      </c>
      <c r="D15">
        <v>127</v>
      </c>
      <c r="E15" t="s">
        <v>13</v>
      </c>
      <c r="F15">
        <v>0</v>
      </c>
      <c r="G15">
        <v>6.0609999999999999</v>
      </c>
      <c r="H15" s="3">
        <v>10602</v>
      </c>
      <c r="I15">
        <v>2.1999999999999999E-2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46112.796932870369</v>
      </c>
      <c r="R15">
        <v>127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46112.796932870369</v>
      </c>
      <c r="AF15">
        <v>127</v>
      </c>
      <c r="AG15" t="s">
        <v>13</v>
      </c>
      <c r="AH15">
        <v>0</v>
      </c>
      <c r="AI15">
        <v>12.333</v>
      </c>
      <c r="AJ15" s="3">
        <v>5709</v>
      </c>
      <c r="AK15">
        <v>1.0680000000000001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26.228051735134404</v>
      </c>
      <c r="AU15" s="17">
        <f t="shared" si="1"/>
        <v>1106.0777920529899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21.664627408892002</v>
      </c>
      <c r="AX15" s="10">
        <f t="shared" ref="AX15:AX16" si="11">IF(AJ15&lt;45000,((-0.0000004561*AJ15^2)+(0.244*AJ15)+(-21.72)),((-0.0000000409*AJ15^2)+(0.2477*AJ15)+(-1777)))</f>
        <v>1356.4104781958999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26.381736185724797</v>
      </c>
      <c r="BA15" s="12">
        <f t="shared" ref="BA15:BA16" si="13">IF(AJ15&lt;45000,((-0.0000000598*AJ15^2)+(0.205*AJ15)+(34.1)),((-0.00000002403*AJ15^2)+(0.2063*AJ15)+(-550.7)))</f>
        <v>1202.4959576761999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31.584002167747997</v>
      </c>
      <c r="BD15" s="15">
        <f t="shared" ref="BD15:BD16" si="15">IF(AJ15&lt;45000,((-0.00000004907*AJ15^2)+(0.2277*AJ15)+(-134)),((-0.00000001062*AJ15^2)+(0.2147*AJ15)+(590.6)))</f>
        <v>1164.3399771433301</v>
      </c>
      <c r="BF15" s="16">
        <f t="shared" si="8"/>
        <v>26.228051735134404</v>
      </c>
      <c r="BG15" s="17">
        <f t="shared" si="9"/>
        <v>1106.0777920529899</v>
      </c>
      <c r="BI15">
        <v>51</v>
      </c>
      <c r="BJ15" t="s">
        <v>41</v>
      </c>
      <c r="BK15" s="2">
        <v>46112.796932870369</v>
      </c>
      <c r="BL15">
        <v>127</v>
      </c>
      <c r="BM15" t="s">
        <v>13</v>
      </c>
      <c r="BN15">
        <v>0</v>
      </c>
      <c r="BO15">
        <v>2.8879999999999999</v>
      </c>
      <c r="BP15" s="3">
        <v>728134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46112.818136574075</v>
      </c>
      <c r="D16">
        <v>286</v>
      </c>
      <c r="E16" t="s">
        <v>13</v>
      </c>
      <c r="F16">
        <v>0</v>
      </c>
      <c r="G16">
        <v>6.0609999999999999</v>
      </c>
      <c r="H16" s="3">
        <v>8298</v>
      </c>
      <c r="I16">
        <v>1.7000000000000001E-2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46112.818136574075</v>
      </c>
      <c r="R16">
        <v>286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46112.818136574075</v>
      </c>
      <c r="AF16">
        <v>286</v>
      </c>
      <c r="AG16" t="s">
        <v>13</v>
      </c>
      <c r="AH16">
        <v>0</v>
      </c>
      <c r="AI16">
        <v>12.335000000000001</v>
      </c>
      <c r="AJ16" s="3">
        <v>9445</v>
      </c>
      <c r="AK16">
        <v>1.706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22.749555829943997</v>
      </c>
      <c r="AU16" s="17">
        <f t="shared" si="1"/>
        <v>1801.8792552147499</v>
      </c>
      <c r="AW16" s="9">
        <f t="shared" si="10"/>
        <v>10.362704159999995</v>
      </c>
      <c r="AX16" s="10">
        <f t="shared" si="11"/>
        <v>2242.1722197975</v>
      </c>
      <c r="AZ16" s="11">
        <f t="shared" si="12"/>
        <v>20.47847178056</v>
      </c>
      <c r="BA16" s="12">
        <f t="shared" si="13"/>
        <v>1964.9903601049998</v>
      </c>
      <c r="BC16" s="14">
        <f t="shared" si="14"/>
        <v>26.209436836371999</v>
      </c>
      <c r="BD16" s="15">
        <f t="shared" si="15"/>
        <v>2012.2490622132505</v>
      </c>
      <c r="BF16" s="16">
        <f t="shared" si="8"/>
        <v>22.749555829943997</v>
      </c>
      <c r="BG16" s="17">
        <f t="shared" si="9"/>
        <v>1801.8792552147499</v>
      </c>
      <c r="BI16">
        <v>52</v>
      </c>
      <c r="BJ16" t="s">
        <v>42</v>
      </c>
      <c r="BK16" s="2">
        <v>46112.818136574075</v>
      </c>
      <c r="BL16">
        <v>286</v>
      </c>
      <c r="BM16" t="s">
        <v>13</v>
      </c>
      <c r="BN16">
        <v>0</v>
      </c>
      <c r="BO16">
        <v>2.8849999999999998</v>
      </c>
      <c r="BP16" s="3">
        <v>770047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46112.839363425926</v>
      </c>
      <c r="D17">
        <v>249</v>
      </c>
      <c r="E17" t="s">
        <v>13</v>
      </c>
      <c r="F17">
        <v>0</v>
      </c>
      <c r="G17">
        <v>6.0609999999999999</v>
      </c>
      <c r="H17" s="3">
        <v>10921</v>
      </c>
      <c r="I17">
        <v>2.1999999999999999E-2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46112.839363425926</v>
      </c>
      <c r="R17">
        <v>249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46112.839363425926</v>
      </c>
      <c r="AF17">
        <v>249</v>
      </c>
      <c r="AG17" t="s">
        <v>13</v>
      </c>
      <c r="AH17">
        <v>0</v>
      </c>
      <c r="AI17">
        <v>12.337</v>
      </c>
      <c r="AJ17" s="3">
        <v>6007</v>
      </c>
      <c r="AK17">
        <v>1.119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26.920887434087604</v>
      </c>
      <c r="AU17" s="17">
        <f t="shared" si="1"/>
        <v>1161.54134811371</v>
      </c>
      <c r="AW17" s="9">
        <f t="shared" ref="AW17:AW38" si="16">IF(H17&lt;10000,((H17^2*0.00000054)+(H17*-0.004765)+(12.72)),(IF(H17&lt;200000,((H17^2*-0.000000001577)+(H17*0.003043)+(-10.42)),(IF(H17&lt;8000000,((H17^2*-0.0000000000186)+(H17*0.00194)+(154.1)),((V17^2*-0.00000002)+(V17*0.2565)+(-1032)))))))</f>
        <v>22.624516983943003</v>
      </c>
      <c r="AX17" s="10">
        <f t="shared" ref="AX17:AX38" si="17">IF(AJ17&lt;45000,((-0.0000004561*AJ17^2)+(0.244*AJ17)+(-21.72)),((-0.0000000409*AJ17^2)+(0.2477*AJ17)+(-1777)))</f>
        <v>1427.5300652510998</v>
      </c>
      <c r="AZ17" s="11">
        <f t="shared" ref="AZ17:AZ38" si="18">IF(H17&lt;10000,((H17^2*0.00000005714)+(H17*0.002453)+(-3.811)),(IF(H17&lt;200000,((H17^2*-0.0000000002888)+(H17*0.002899)+(-4.321)),(IF(H17&lt;8000000,((H17^2*-0.0000000000062)+(H17*0.002143)+(157)),((V17^2*-0.000000031)+(V17*0.2771)+(-709.5)))))))</f>
        <v>27.3045343319992</v>
      </c>
      <c r="BA17" s="12">
        <f t="shared" ref="BA17:BA38" si="19">IF(AJ17&lt;45000,((-0.0000000598*AJ17^2)+(0.205*AJ17)+(34.1)),((-0.00000002403*AJ17^2)+(0.2063*AJ17)+(-550.7)))</f>
        <v>1263.3771738697999</v>
      </c>
      <c r="BC17" s="14">
        <f t="shared" ref="BC17:BC38" si="20">IF(H17&lt;10000,((H17^2*0.000000008493)+(H17*0.003482)+(-3.269)),(IF(H17&lt;200000,((H17^2*-0.000000000263)+(H17*0.002682)+(3.179)),(IF(H17&lt;8000000,((H17^2*-0.000000000005099)+(H17*0.002054)+(174.8)),((V17^2*-0.00000001014)+(V17*0.2415)+(1123)))))))</f>
        <v>32.437754452617</v>
      </c>
      <c r="BD17" s="15">
        <f t="shared" ref="BD17:BD38" si="21">IF(AJ17&lt;45000,((-0.00000004907*AJ17^2)+(0.2277*AJ17)+(-134)),((-0.00000001062*AJ17^2)+(0.2147*AJ17)+(590.6)))</f>
        <v>1232.02325571557</v>
      </c>
      <c r="BF17" s="16">
        <f t="shared" si="8"/>
        <v>26.920887434087604</v>
      </c>
      <c r="BG17" s="17">
        <f t="shared" si="9"/>
        <v>1161.54134811371</v>
      </c>
      <c r="BI17">
        <v>53</v>
      </c>
      <c r="BJ17" t="s">
        <v>43</v>
      </c>
      <c r="BK17" s="2">
        <v>46112.839363425926</v>
      </c>
      <c r="BL17">
        <v>249</v>
      </c>
      <c r="BM17" t="s">
        <v>13</v>
      </c>
      <c r="BN17">
        <v>0</v>
      </c>
      <c r="BO17">
        <v>2.8769999999999998</v>
      </c>
      <c r="BP17" s="3">
        <v>906759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46112.860590277778</v>
      </c>
      <c r="D18">
        <v>379</v>
      </c>
      <c r="E18" t="s">
        <v>13</v>
      </c>
      <c r="F18">
        <v>0</v>
      </c>
      <c r="G18">
        <v>6.0579999999999998</v>
      </c>
      <c r="H18" s="3">
        <v>26482</v>
      </c>
      <c r="I18">
        <v>5.3999999999999999E-2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46112.860590277778</v>
      </c>
      <c r="R18">
        <v>379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46112.860590277778</v>
      </c>
      <c r="AF18">
        <v>379</v>
      </c>
      <c r="AG18" t="s">
        <v>13</v>
      </c>
      <c r="AH18">
        <v>0</v>
      </c>
      <c r="AI18">
        <v>12.321999999999999</v>
      </c>
      <c r="AJ18" s="3">
        <v>12462</v>
      </c>
      <c r="AK18">
        <v>2.222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60.624792063646403</v>
      </c>
      <c r="AU18" s="17">
        <f t="shared" si="1"/>
        <v>2364.5016386807602</v>
      </c>
      <c r="AW18" s="9">
        <f t="shared" si="16"/>
        <v>69.058781697051998</v>
      </c>
      <c r="AX18" s="10">
        <f t="shared" si="17"/>
        <v>2948.1750113916</v>
      </c>
      <c r="AZ18" s="11">
        <f t="shared" si="18"/>
        <v>72.247783621628813</v>
      </c>
      <c r="BA18" s="12">
        <f t="shared" si="19"/>
        <v>2579.5229736488</v>
      </c>
      <c r="BC18" s="14">
        <f t="shared" si="20"/>
        <v>74.019283066787992</v>
      </c>
      <c r="BD18" s="15">
        <f t="shared" si="21"/>
        <v>2695.9767581429201</v>
      </c>
      <c r="BF18" s="16">
        <f t="shared" si="8"/>
        <v>60.624792063646403</v>
      </c>
      <c r="BG18" s="17">
        <f t="shared" si="9"/>
        <v>2364.5016386807602</v>
      </c>
      <c r="BI18">
        <v>54</v>
      </c>
      <c r="BJ18" t="s">
        <v>44</v>
      </c>
      <c r="BK18" s="2">
        <v>46112.860590277778</v>
      </c>
      <c r="BL18">
        <v>379</v>
      </c>
      <c r="BM18" t="s">
        <v>13</v>
      </c>
      <c r="BN18">
        <v>0</v>
      </c>
      <c r="BO18">
        <v>2.8860000000000001</v>
      </c>
      <c r="BP18" s="3">
        <v>739296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46112.88181712963</v>
      </c>
      <c r="D19">
        <v>33</v>
      </c>
      <c r="E19" t="s">
        <v>13</v>
      </c>
      <c r="F19">
        <v>0</v>
      </c>
      <c r="G19">
        <v>6.0570000000000004</v>
      </c>
      <c r="H19" s="3">
        <v>12828</v>
      </c>
      <c r="I19">
        <v>2.5999999999999999E-2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46112.88181712963</v>
      </c>
      <c r="R19">
        <v>33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46112.88181712963</v>
      </c>
      <c r="AF19">
        <v>33</v>
      </c>
      <c r="AG19" t="s">
        <v>13</v>
      </c>
      <c r="AH19">
        <v>0</v>
      </c>
      <c r="AI19">
        <v>12.336</v>
      </c>
      <c r="AJ19" s="3">
        <v>6479</v>
      </c>
      <c r="AK19">
        <v>1.1990000000000001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31.061100525382404</v>
      </c>
      <c r="AU19" s="17">
        <f t="shared" si="1"/>
        <v>1249.40267261339</v>
      </c>
      <c r="AW19" s="9">
        <f t="shared" si="16"/>
        <v>28.356096690031997</v>
      </c>
      <c r="AX19" s="10">
        <f t="shared" si="17"/>
        <v>1540.0100891599</v>
      </c>
      <c r="AZ19" s="11">
        <f t="shared" si="18"/>
        <v>32.819847769740804</v>
      </c>
      <c r="BA19" s="12">
        <f t="shared" si="19"/>
        <v>1359.7847490281999</v>
      </c>
      <c r="BC19" s="14">
        <f t="shared" si="20"/>
        <v>37.540417355408003</v>
      </c>
      <c r="BD19" s="15">
        <f t="shared" si="21"/>
        <v>1339.2084669701301</v>
      </c>
      <c r="BF19" s="16">
        <f t="shared" si="8"/>
        <v>31.061100525382404</v>
      </c>
      <c r="BG19" s="17">
        <f t="shared" si="9"/>
        <v>1249.40267261339</v>
      </c>
      <c r="BI19">
        <v>55</v>
      </c>
      <c r="BJ19" t="s">
        <v>45</v>
      </c>
      <c r="BK19" s="2">
        <v>46112.88181712963</v>
      </c>
      <c r="BL19">
        <v>33</v>
      </c>
      <c r="BM19" t="s">
        <v>13</v>
      </c>
      <c r="BN19">
        <v>0</v>
      </c>
      <c r="BO19">
        <v>2.8780000000000001</v>
      </c>
      <c r="BP19" s="3">
        <v>897088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46112.903032407405</v>
      </c>
      <c r="D20">
        <v>69</v>
      </c>
      <c r="E20" t="s">
        <v>13</v>
      </c>
      <c r="F20">
        <v>0</v>
      </c>
      <c r="G20">
        <v>6.0590000000000002</v>
      </c>
      <c r="H20" s="3">
        <v>7562</v>
      </c>
      <c r="I20">
        <v>1.4999999999999999E-2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46112.903032407405</v>
      </c>
      <c r="R20">
        <v>69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46112.903032407405</v>
      </c>
      <c r="AF20">
        <v>69</v>
      </c>
      <c r="AG20" t="s">
        <v>13</v>
      </c>
      <c r="AH20">
        <v>0</v>
      </c>
      <c r="AI20">
        <v>12.271000000000001</v>
      </c>
      <c r="AJ20" s="3">
        <v>29184</v>
      </c>
      <c r="AK20">
        <v>5.0780000000000003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20.875629203384001</v>
      </c>
      <c r="AU20" s="17">
        <f t="shared" si="1"/>
        <v>5494.7013525862403</v>
      </c>
      <c r="AW20" s="9">
        <f t="shared" si="16"/>
        <v>7.5663457600000026</v>
      </c>
      <c r="AX20" s="10">
        <f t="shared" si="17"/>
        <v>6710.7129590783998</v>
      </c>
      <c r="AZ20" s="11">
        <f t="shared" si="18"/>
        <v>18.006070846159997</v>
      </c>
      <c r="BA20" s="12">
        <f t="shared" si="19"/>
        <v>5965.8879898112</v>
      </c>
      <c r="BC20" s="14">
        <f t="shared" si="20"/>
        <v>23.547546387091998</v>
      </c>
      <c r="BD20" s="15">
        <f t="shared" si="21"/>
        <v>6469.4035936460805</v>
      </c>
      <c r="BF20" s="16">
        <f t="shared" si="8"/>
        <v>20.875629203384001</v>
      </c>
      <c r="BG20" s="17">
        <f t="shared" si="9"/>
        <v>5494.7013525862403</v>
      </c>
      <c r="BI20">
        <v>56</v>
      </c>
      <c r="BJ20" t="s">
        <v>46</v>
      </c>
      <c r="BK20" s="2">
        <v>46112.903032407405</v>
      </c>
      <c r="BL20">
        <v>69</v>
      </c>
      <c r="BM20" t="s">
        <v>13</v>
      </c>
      <c r="BN20">
        <v>0</v>
      </c>
      <c r="BO20">
        <v>2.8849999999999998</v>
      </c>
      <c r="BP20" s="3">
        <v>751247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46112.924247685187</v>
      </c>
      <c r="D21">
        <v>277</v>
      </c>
      <c r="E21" t="s">
        <v>13</v>
      </c>
      <c r="F21">
        <v>0</v>
      </c>
      <c r="G21">
        <v>6.0590000000000002</v>
      </c>
      <c r="H21" s="3">
        <v>8882</v>
      </c>
      <c r="I21">
        <v>1.7999999999999999E-2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46112.924247685187</v>
      </c>
      <c r="R21">
        <v>277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46112.924247685187</v>
      </c>
      <c r="AF21">
        <v>277</v>
      </c>
      <c r="AG21" t="s">
        <v>13</v>
      </c>
      <c r="AH21">
        <v>0</v>
      </c>
      <c r="AI21">
        <v>12.33</v>
      </c>
      <c r="AJ21" s="3">
        <v>6580</v>
      </c>
      <c r="AK21">
        <v>1.2170000000000001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24.233612822264</v>
      </c>
      <c r="AU21" s="17">
        <f t="shared" si="1"/>
        <v>1268.205578156</v>
      </c>
      <c r="AW21" s="9">
        <f t="shared" si="16"/>
        <v>12.997828960000001</v>
      </c>
      <c r="AX21" s="10">
        <f t="shared" si="17"/>
        <v>1564.0525119599999</v>
      </c>
      <c r="AZ21" s="11">
        <f t="shared" si="18"/>
        <v>22.48431625736</v>
      </c>
      <c r="BA21" s="12">
        <f t="shared" si="19"/>
        <v>1380.4108752799998</v>
      </c>
      <c r="BC21" s="14">
        <f t="shared" si="20"/>
        <v>28.328136124532001</v>
      </c>
      <c r="BD21" s="15">
        <f t="shared" si="21"/>
        <v>1362.1414456520001</v>
      </c>
      <c r="BF21" s="16">
        <f t="shared" si="8"/>
        <v>24.233612822264</v>
      </c>
      <c r="BG21" s="17">
        <f t="shared" si="9"/>
        <v>1268.205578156</v>
      </c>
      <c r="BI21">
        <v>57</v>
      </c>
      <c r="BJ21" t="s">
        <v>47</v>
      </c>
      <c r="BK21" s="2">
        <v>46112.924247685187</v>
      </c>
      <c r="BL21">
        <v>277</v>
      </c>
      <c r="BM21" t="s">
        <v>13</v>
      </c>
      <c r="BN21">
        <v>0</v>
      </c>
      <c r="BO21">
        <v>2.8839999999999999</v>
      </c>
      <c r="BP21" s="3">
        <v>778419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46112.945474537039</v>
      </c>
      <c r="D22">
        <v>282</v>
      </c>
      <c r="E22" t="s">
        <v>13</v>
      </c>
      <c r="F22">
        <v>0</v>
      </c>
      <c r="G22">
        <v>6.0629999999999997</v>
      </c>
      <c r="H22" s="3">
        <v>4713</v>
      </c>
      <c r="I22">
        <v>0.01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46112.945474537039</v>
      </c>
      <c r="R22">
        <v>282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46112.945474537039</v>
      </c>
      <c r="AF22">
        <v>282</v>
      </c>
      <c r="AG22" t="s">
        <v>13</v>
      </c>
      <c r="AH22">
        <v>0</v>
      </c>
      <c r="AI22">
        <v>12.313000000000001</v>
      </c>
      <c r="AJ22" s="3">
        <v>20265</v>
      </c>
      <c r="AK22">
        <v>3.5550000000000002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0"/>
        <v>13.583868261533999</v>
      </c>
      <c r="AU22" s="17">
        <f t="shared" si="1"/>
        <v>3822.6583873527502</v>
      </c>
      <c r="AW22" s="9">
        <f t="shared" si="16"/>
        <v>2.2572342600000006</v>
      </c>
      <c r="AX22" s="10">
        <f t="shared" si="17"/>
        <v>4735.6333103774996</v>
      </c>
      <c r="AZ22" s="11">
        <f t="shared" si="18"/>
        <v>9.0192037646599985</v>
      </c>
      <c r="BA22" s="12">
        <f t="shared" si="19"/>
        <v>4163.8669205450005</v>
      </c>
      <c r="BC22" s="14">
        <f t="shared" si="20"/>
        <v>13.330315649916999</v>
      </c>
      <c r="BD22" s="15">
        <f t="shared" si="21"/>
        <v>4460.1889120592505</v>
      </c>
      <c r="BF22" s="16">
        <f t="shared" si="8"/>
        <v>13.583868261533999</v>
      </c>
      <c r="BG22" s="17">
        <f t="shared" si="9"/>
        <v>3822.6583873527502</v>
      </c>
      <c r="BI22">
        <v>58</v>
      </c>
      <c r="BJ22" t="s">
        <v>48</v>
      </c>
      <c r="BK22" s="2">
        <v>46112.945474537039</v>
      </c>
      <c r="BL22">
        <v>282</v>
      </c>
      <c r="BM22" t="s">
        <v>13</v>
      </c>
      <c r="BN22">
        <v>0</v>
      </c>
      <c r="BO22">
        <v>2.8820000000000001</v>
      </c>
      <c r="BP22" s="3">
        <v>809514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46112.966689814813</v>
      </c>
      <c r="D23">
        <v>216</v>
      </c>
      <c r="E23" t="s">
        <v>13</v>
      </c>
      <c r="F23">
        <v>0</v>
      </c>
      <c r="G23">
        <v>6.0590000000000002</v>
      </c>
      <c r="H23" s="3">
        <v>14341</v>
      </c>
      <c r="I23">
        <v>2.9000000000000001E-2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46112.966689814813</v>
      </c>
      <c r="R23">
        <v>216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46112.966689814813</v>
      </c>
      <c r="AF23">
        <v>216</v>
      </c>
      <c r="AG23" t="s">
        <v>13</v>
      </c>
      <c r="AH23">
        <v>0</v>
      </c>
      <c r="AI23">
        <v>12.327999999999999</v>
      </c>
      <c r="AJ23" s="3">
        <v>6250</v>
      </c>
      <c r="AK23">
        <v>1.1599999999999999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0"/>
        <v>34.343967964631602</v>
      </c>
      <c r="AU23" s="17">
        <f t="shared" si="1"/>
        <v>1206.7730468750001</v>
      </c>
      <c r="AW23" s="9">
        <f t="shared" si="16"/>
        <v>32.895330428862998</v>
      </c>
      <c r="AX23" s="10">
        <f t="shared" si="17"/>
        <v>1485.46359375</v>
      </c>
      <c r="AZ23" s="11">
        <f t="shared" si="18"/>
        <v>37.194163155647203</v>
      </c>
      <c r="BA23" s="12">
        <f t="shared" si="19"/>
        <v>1313.0140624999999</v>
      </c>
      <c r="BC23" s="14">
        <f t="shared" si="20"/>
        <v>41.587472294096997</v>
      </c>
      <c r="BD23" s="15">
        <f t="shared" si="21"/>
        <v>1287.208203125</v>
      </c>
      <c r="BF23" s="16">
        <f t="shared" si="8"/>
        <v>34.343967964631602</v>
      </c>
      <c r="BG23" s="17">
        <f t="shared" si="9"/>
        <v>1206.7730468750001</v>
      </c>
      <c r="BI23">
        <v>59</v>
      </c>
      <c r="BJ23" t="s">
        <v>49</v>
      </c>
      <c r="BK23" s="2">
        <v>46112.966689814813</v>
      </c>
      <c r="BL23">
        <v>216</v>
      </c>
      <c r="BM23" t="s">
        <v>13</v>
      </c>
      <c r="BN23">
        <v>0</v>
      </c>
      <c r="BO23">
        <v>2.883</v>
      </c>
      <c r="BP23" s="3">
        <v>807860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46112.987916666665</v>
      </c>
      <c r="D24">
        <v>298</v>
      </c>
      <c r="E24" t="s">
        <v>13</v>
      </c>
      <c r="F24">
        <v>0</v>
      </c>
      <c r="G24">
        <v>6.0640000000000001</v>
      </c>
      <c r="H24" s="3">
        <v>16238</v>
      </c>
      <c r="I24">
        <v>3.3000000000000002E-2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46112.987916666665</v>
      </c>
      <c r="R24">
        <v>298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46112.987916666665</v>
      </c>
      <c r="AF24">
        <v>298</v>
      </c>
      <c r="AG24" t="s">
        <v>13</v>
      </c>
      <c r="AH24">
        <v>0</v>
      </c>
      <c r="AI24">
        <v>12.336</v>
      </c>
      <c r="AJ24" s="3">
        <v>8562</v>
      </c>
      <c r="AK24">
        <v>1.5549999999999999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8">
        <v>60</v>
      </c>
      <c r="AT24" s="16">
        <f t="shared" si="0"/>
        <v>38.457593616798398</v>
      </c>
      <c r="AU24" s="17">
        <f t="shared" si="1"/>
        <v>1637.3370877367602</v>
      </c>
      <c r="AW24" s="9">
        <f t="shared" si="16"/>
        <v>38.576422240412001</v>
      </c>
      <c r="AX24" s="10">
        <f t="shared" si="17"/>
        <v>2033.9722923516003</v>
      </c>
      <c r="AZ24" s="11">
        <f t="shared" si="18"/>
        <v>42.676813340412806</v>
      </c>
      <c r="BA24" s="12">
        <f t="shared" si="19"/>
        <v>1784.9261909287998</v>
      </c>
      <c r="BC24" s="14">
        <f t="shared" si="20"/>
        <v>46.659970094628001</v>
      </c>
      <c r="BD24" s="15">
        <f t="shared" si="21"/>
        <v>1811.9701840949201</v>
      </c>
      <c r="BF24" s="16">
        <f t="shared" si="8"/>
        <v>38.457593616798398</v>
      </c>
      <c r="BG24" s="17">
        <f t="shared" si="9"/>
        <v>1637.3370877367602</v>
      </c>
      <c r="BI24">
        <v>60</v>
      </c>
      <c r="BJ24" t="s">
        <v>50</v>
      </c>
      <c r="BK24" s="2">
        <v>46112.987916666665</v>
      </c>
      <c r="BL24">
        <v>298</v>
      </c>
      <c r="BM24" t="s">
        <v>13</v>
      </c>
      <c r="BN24">
        <v>0</v>
      </c>
      <c r="BO24">
        <v>2.8929999999999998</v>
      </c>
      <c r="BP24" s="3">
        <v>751356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46113.009120370371</v>
      </c>
      <c r="D25">
        <v>305</v>
      </c>
      <c r="E25" t="s">
        <v>13</v>
      </c>
      <c r="F25">
        <v>0</v>
      </c>
      <c r="G25">
        <v>6.0620000000000003</v>
      </c>
      <c r="H25" s="3">
        <v>7358</v>
      </c>
      <c r="I25">
        <v>1.4999999999999999E-2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46113.009120370371</v>
      </c>
      <c r="R25">
        <v>305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46113.009120370371</v>
      </c>
      <c r="AF25">
        <v>305</v>
      </c>
      <c r="AG25" t="s">
        <v>13</v>
      </c>
      <c r="AH25">
        <v>0</v>
      </c>
      <c r="AI25">
        <v>12.295999999999999</v>
      </c>
      <c r="AJ25" s="3">
        <v>30439</v>
      </c>
      <c r="AK25">
        <v>5.2919999999999998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8">
        <v>61</v>
      </c>
      <c r="AT25" s="16">
        <f t="shared" si="0"/>
        <v>20.355513430904001</v>
      </c>
      <c r="AU25" s="17">
        <f t="shared" si="1"/>
        <v>5730.4329060845903</v>
      </c>
      <c r="AW25" s="9">
        <f t="shared" si="16"/>
        <v>6.8948185599999992</v>
      </c>
      <c r="AX25" s="10">
        <f t="shared" si="17"/>
        <v>6982.8044259519002</v>
      </c>
      <c r="AZ25" s="11">
        <f t="shared" si="18"/>
        <v>17.331742970960001</v>
      </c>
      <c r="BA25" s="12">
        <f t="shared" si="19"/>
        <v>6218.6883432842005</v>
      </c>
      <c r="BC25" s="14">
        <f t="shared" si="20"/>
        <v>22.811368412851998</v>
      </c>
      <c r="BD25" s="15">
        <f t="shared" si="21"/>
        <v>6751.4953393805308</v>
      </c>
      <c r="BF25" s="16">
        <f t="shared" si="8"/>
        <v>20.355513430904001</v>
      </c>
      <c r="BG25" s="17">
        <f t="shared" si="9"/>
        <v>5730.4329060845903</v>
      </c>
      <c r="BI25">
        <v>61</v>
      </c>
      <c r="BJ25" t="s">
        <v>51</v>
      </c>
      <c r="BK25" s="2">
        <v>46113.009120370371</v>
      </c>
      <c r="BL25">
        <v>305</v>
      </c>
      <c r="BM25" t="s">
        <v>13</v>
      </c>
      <c r="BN25">
        <v>0</v>
      </c>
      <c r="BO25">
        <v>2.883</v>
      </c>
      <c r="BP25" s="3">
        <v>790322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46113.030335648145</v>
      </c>
      <c r="D26">
        <v>80</v>
      </c>
      <c r="E26" t="s">
        <v>13</v>
      </c>
      <c r="F26">
        <v>0</v>
      </c>
      <c r="G26">
        <v>6.0590000000000002</v>
      </c>
      <c r="H26" s="3">
        <v>11824</v>
      </c>
      <c r="I26">
        <v>2.4E-2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46113.030335648145</v>
      </c>
      <c r="R26">
        <v>80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46113.030335648145</v>
      </c>
      <c r="AF26">
        <v>80</v>
      </c>
      <c r="AG26" t="s">
        <v>13</v>
      </c>
      <c r="AH26">
        <v>0</v>
      </c>
      <c r="AI26">
        <v>12.323</v>
      </c>
      <c r="AJ26" s="3">
        <v>2099</v>
      </c>
      <c r="AK26">
        <v>0.45100000000000001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8">
        <v>62</v>
      </c>
      <c r="AT26" s="16">
        <f t="shared" si="0"/>
        <v>28.881696654233604</v>
      </c>
      <c r="AU26" s="17">
        <f t="shared" si="1"/>
        <v>434.69198361779002</v>
      </c>
      <c r="AW26" s="9">
        <f t="shared" si="16"/>
        <v>25.339956398847995</v>
      </c>
      <c r="AX26" s="10">
        <f t="shared" si="17"/>
        <v>488.42651416389992</v>
      </c>
      <c r="AZ26" s="11">
        <f t="shared" si="18"/>
        <v>29.916399745331205</v>
      </c>
      <c r="BA26" s="12">
        <f t="shared" si="19"/>
        <v>464.13153310019999</v>
      </c>
      <c r="BC26" s="14">
        <f t="shared" si="20"/>
        <v>34.854198765311999</v>
      </c>
      <c r="BD26" s="15">
        <f t="shared" si="21"/>
        <v>343.72610734493003</v>
      </c>
      <c r="BF26" s="16">
        <f t="shared" si="8"/>
        <v>28.881696654233604</v>
      </c>
      <c r="BG26" s="17">
        <f t="shared" si="9"/>
        <v>434.69198361779002</v>
      </c>
      <c r="BI26">
        <v>62</v>
      </c>
      <c r="BJ26" t="s">
        <v>52</v>
      </c>
      <c r="BK26" s="2">
        <v>46113.030335648145</v>
      </c>
      <c r="BL26">
        <v>80</v>
      </c>
      <c r="BM26" t="s">
        <v>13</v>
      </c>
      <c r="BN26">
        <v>0</v>
      </c>
      <c r="BO26">
        <v>2.8820000000000001</v>
      </c>
      <c r="BP26" s="3">
        <v>803840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46113.051550925928</v>
      </c>
      <c r="D27">
        <v>367</v>
      </c>
      <c r="E27" t="s">
        <v>13</v>
      </c>
      <c r="F27">
        <v>0</v>
      </c>
      <c r="G27">
        <v>6.07</v>
      </c>
      <c r="H27" s="3">
        <v>4193</v>
      </c>
      <c r="I27">
        <v>8.9999999999999993E-3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46113.051550925928</v>
      </c>
      <c r="R27">
        <v>367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46113.051550925928</v>
      </c>
      <c r="AF27">
        <v>367</v>
      </c>
      <c r="AG27" t="s">
        <v>13</v>
      </c>
      <c r="AH27">
        <v>0</v>
      </c>
      <c r="AI27">
        <v>12.311999999999999</v>
      </c>
      <c r="AJ27" s="3">
        <v>17361</v>
      </c>
      <c r="AK27">
        <v>3.0579999999999998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8">
        <v>63</v>
      </c>
      <c r="AT27" s="16">
        <f t="shared" si="0"/>
        <v>12.246468241214</v>
      </c>
      <c r="AU27" s="17">
        <f t="shared" si="1"/>
        <v>3279.4749606485898</v>
      </c>
      <c r="AW27" s="9">
        <f t="shared" si="16"/>
        <v>2.2342294599999999</v>
      </c>
      <c r="AX27" s="10">
        <f t="shared" si="17"/>
        <v>4076.8934891919002</v>
      </c>
      <c r="AZ27" s="11">
        <f t="shared" si="18"/>
        <v>7.4790215678599985</v>
      </c>
      <c r="BA27" s="12">
        <f t="shared" si="19"/>
        <v>3575.0810216041996</v>
      </c>
      <c r="BC27" s="14">
        <f t="shared" si="20"/>
        <v>11.480343547757</v>
      </c>
      <c r="BD27" s="15">
        <f t="shared" si="21"/>
        <v>3804.3097899685304</v>
      </c>
      <c r="BF27" s="16">
        <f t="shared" si="8"/>
        <v>12.246468241214</v>
      </c>
      <c r="BG27" s="17">
        <f t="shared" si="9"/>
        <v>3279.4749606485898</v>
      </c>
      <c r="BI27">
        <v>63</v>
      </c>
      <c r="BJ27" t="s">
        <v>53</v>
      </c>
      <c r="BK27" s="2">
        <v>46113.051550925928</v>
      </c>
      <c r="BL27">
        <v>367</v>
      </c>
      <c r="BM27" t="s">
        <v>13</v>
      </c>
      <c r="BN27">
        <v>0</v>
      </c>
      <c r="BO27">
        <v>2.89</v>
      </c>
      <c r="BP27" s="3">
        <v>797811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46113.072777777779</v>
      </c>
      <c r="D28">
        <v>25</v>
      </c>
      <c r="E28" t="s">
        <v>13</v>
      </c>
      <c r="F28">
        <v>0</v>
      </c>
      <c r="G28">
        <v>6.0540000000000003</v>
      </c>
      <c r="H28" s="3">
        <v>8932</v>
      </c>
      <c r="I28">
        <v>1.7999999999999999E-2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46113.072777777779</v>
      </c>
      <c r="R28">
        <v>25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46113.072777777779</v>
      </c>
      <c r="AF28">
        <v>25</v>
      </c>
      <c r="AG28" t="s">
        <v>13</v>
      </c>
      <c r="AH28">
        <v>0</v>
      </c>
      <c r="AI28">
        <v>12.319000000000001</v>
      </c>
      <c r="AJ28" s="3">
        <v>9383</v>
      </c>
      <c r="AK28">
        <v>1.6950000000000001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8">
        <v>64</v>
      </c>
      <c r="AT28" s="16">
        <f t="shared" si="0"/>
        <v>24.360554762464002</v>
      </c>
      <c r="AU28" s="17">
        <f t="shared" si="1"/>
        <v>1790.32407625931</v>
      </c>
      <c r="AW28" s="9">
        <f t="shared" si="16"/>
        <v>13.240556960000001</v>
      </c>
      <c r="AX28" s="10">
        <f t="shared" si="17"/>
        <v>2227.5766417471</v>
      </c>
      <c r="AZ28" s="11">
        <f t="shared" si="18"/>
        <v>22.657860855359999</v>
      </c>
      <c r="BA28" s="12">
        <f t="shared" si="19"/>
        <v>1952.3501667977998</v>
      </c>
      <c r="BC28" s="14">
        <f t="shared" si="20"/>
        <v>28.509800839632</v>
      </c>
      <c r="BD28" s="15">
        <f t="shared" si="21"/>
        <v>1998.1889433907704</v>
      </c>
      <c r="BF28" s="16">
        <f t="shared" si="8"/>
        <v>24.360554762464002</v>
      </c>
      <c r="BG28" s="17">
        <f t="shared" si="9"/>
        <v>1790.32407625931</v>
      </c>
      <c r="BI28">
        <v>64</v>
      </c>
      <c r="BJ28" t="s">
        <v>54</v>
      </c>
      <c r="BK28" s="2">
        <v>46113.072777777779</v>
      </c>
      <c r="BL28">
        <v>25</v>
      </c>
      <c r="BM28" t="s">
        <v>13</v>
      </c>
      <c r="BN28">
        <v>0</v>
      </c>
      <c r="BO28">
        <v>2.88</v>
      </c>
      <c r="BP28" s="3">
        <v>828615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46113.093993055554</v>
      </c>
      <c r="D29">
        <v>234</v>
      </c>
      <c r="E29" t="s">
        <v>13</v>
      </c>
      <c r="F29">
        <v>0</v>
      </c>
      <c r="G29">
        <v>6.07</v>
      </c>
      <c r="H29" s="3">
        <v>4724</v>
      </c>
      <c r="I29">
        <v>0.01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46113.093993055554</v>
      </c>
      <c r="R29">
        <v>234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46113.093993055554</v>
      </c>
      <c r="AF29">
        <v>234</v>
      </c>
      <c r="AG29" t="s">
        <v>13</v>
      </c>
      <c r="AH29">
        <v>0</v>
      </c>
      <c r="AI29">
        <v>12.32</v>
      </c>
      <c r="AJ29" s="3">
        <v>19047</v>
      </c>
      <c r="AK29" s="13">
        <v>3.3460000000000001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8">
        <v>65</v>
      </c>
      <c r="AT29" s="16">
        <f t="shared" si="0"/>
        <v>13.612137722336</v>
      </c>
      <c r="AU29" s="17">
        <f t="shared" si="1"/>
        <v>3594.7620900001102</v>
      </c>
      <c r="AW29" s="9">
        <f t="shared" si="16"/>
        <v>2.2608750400000019</v>
      </c>
      <c r="AX29" s="10">
        <f t="shared" si="17"/>
        <v>4460.2802978750997</v>
      </c>
      <c r="AZ29" s="11">
        <f t="shared" si="18"/>
        <v>9.0521182966399998</v>
      </c>
      <c r="BA29" s="12">
        <f t="shared" si="19"/>
        <v>3917.0402651017998</v>
      </c>
      <c r="BC29" s="14">
        <f t="shared" si="20"/>
        <v>13.369499282768002</v>
      </c>
      <c r="BD29" s="15">
        <f t="shared" si="21"/>
        <v>4185.1998825843702</v>
      </c>
      <c r="BF29" s="16">
        <f t="shared" si="8"/>
        <v>13.612137722336</v>
      </c>
      <c r="BG29" s="17">
        <f t="shared" si="9"/>
        <v>3594.7620900001102</v>
      </c>
      <c r="BI29">
        <v>65</v>
      </c>
      <c r="BJ29" t="s">
        <v>55</v>
      </c>
      <c r="BK29" s="2">
        <v>46113.093993055554</v>
      </c>
      <c r="BL29">
        <v>234</v>
      </c>
      <c r="BM29" t="s">
        <v>13</v>
      </c>
      <c r="BN29">
        <v>0</v>
      </c>
      <c r="BO29">
        <v>2.891</v>
      </c>
      <c r="BP29" s="3">
        <v>783763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46113.115243055552</v>
      </c>
      <c r="D30">
        <v>397</v>
      </c>
      <c r="E30" t="s">
        <v>13</v>
      </c>
      <c r="F30">
        <v>0</v>
      </c>
      <c r="G30">
        <v>6.0579999999999998</v>
      </c>
      <c r="H30" s="3">
        <v>5112</v>
      </c>
      <c r="I30">
        <v>0.01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46113.115243055552</v>
      </c>
      <c r="R30">
        <v>397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46113.115243055552</v>
      </c>
      <c r="AF30">
        <v>397</v>
      </c>
      <c r="AG30" t="s">
        <v>13</v>
      </c>
      <c r="AH30">
        <v>0</v>
      </c>
      <c r="AI30">
        <v>12.315</v>
      </c>
      <c r="AJ30" s="3">
        <v>13541</v>
      </c>
      <c r="AK30">
        <v>2.4060000000000001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8">
        <v>66</v>
      </c>
      <c r="AT30" s="16">
        <f t="shared" ref="AT30:AT38" si="22">IF($H30&lt;10000,(($H30^2*-0.000000003714)+($H30*0.002605)+(1.389)),(IF($H30&lt;200000,(($H30^2*-0.0000000003764)+($H30*0.00218)+(3.158)),(IF($H30&lt;8000000,(($H30^2*-0.000000000004719)+($H30*0.001816)+(146.1)),(($V30^2*0.000000002578)+($V30*0.2173)+(2294)))))))</f>
        <v>14.608703731583999</v>
      </c>
      <c r="AU30" s="17">
        <f t="shared" ref="AU30:AU38" si="23">IF($AJ30&lt;45000,((0.00000003579*$AJ30^2)+(0.1857*$AJ30)+(44.75)),((0.0000000022829*$AJ30^2)+(0.1634*$AJ30)+(1620)))</f>
        <v>2565.8761071929903</v>
      </c>
      <c r="AW30" s="9">
        <f t="shared" si="16"/>
        <v>2.4728937600000016</v>
      </c>
      <c r="AX30" s="10">
        <f t="shared" si="17"/>
        <v>3198.6541055959001</v>
      </c>
      <c r="AZ30" s="11">
        <f t="shared" si="18"/>
        <v>10.221949564159999</v>
      </c>
      <c r="BA30" s="12">
        <f t="shared" si="19"/>
        <v>2799.0401508761997</v>
      </c>
      <c r="BC30" s="14">
        <f t="shared" si="20"/>
        <v>14.752927696191998</v>
      </c>
      <c r="BD30" s="15">
        <f t="shared" si="21"/>
        <v>2940.2882895233301</v>
      </c>
      <c r="BF30" s="16">
        <f t="shared" ref="BF30:BF38" si="24">IF($H30&lt;10000,(($H30^2*-0.000000003714)+($H30*0.002605)+(1.389)),(IF($H30&lt;200000,(($H30^2*-0.0000000003764)+($H30*0.00218)+(3.158)),(IF($H30&lt;8000000,(($H30^2*-0.000000000004719)+($H30*0.001816)+(146.1)),(($V30^2*0.000000002578)+($V30*0.2173)+(2294)))))))</f>
        <v>14.608703731583999</v>
      </c>
      <c r="BG30" s="17">
        <f t="shared" ref="BG30:BG38" si="25">IF($AJ30&lt;45000,((0.00000003579*$AJ30^2)+(0.1857*$AJ30)+(44.75)),((0.0000000022829*$AJ30^2)+(0.1634*$AJ30)+(1620)))</f>
        <v>2565.8761071929903</v>
      </c>
      <c r="BI30">
        <v>66</v>
      </c>
      <c r="BJ30" t="s">
        <v>56</v>
      </c>
      <c r="BK30" s="2">
        <v>46113.115243055552</v>
      </c>
      <c r="BL30">
        <v>397</v>
      </c>
      <c r="BM30" t="s">
        <v>13</v>
      </c>
      <c r="BN30">
        <v>0</v>
      </c>
      <c r="BO30">
        <v>2.88</v>
      </c>
      <c r="BP30" s="3">
        <v>822577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57</v>
      </c>
      <c r="C31" s="2">
        <v>46113.136458333334</v>
      </c>
      <c r="D31">
        <v>375</v>
      </c>
      <c r="E31" t="s">
        <v>13</v>
      </c>
      <c r="F31">
        <v>0</v>
      </c>
      <c r="G31">
        <v>6.0590000000000002</v>
      </c>
      <c r="H31" s="3">
        <v>5170</v>
      </c>
      <c r="I31">
        <v>1.0999999999999999E-2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46113.136458333334</v>
      </c>
      <c r="R31">
        <v>375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46113.136458333334</v>
      </c>
      <c r="AF31">
        <v>375</v>
      </c>
      <c r="AG31" t="s">
        <v>13</v>
      </c>
      <c r="AH31">
        <v>0</v>
      </c>
      <c r="AI31">
        <v>12.292999999999999</v>
      </c>
      <c r="AJ31" s="3">
        <v>29481</v>
      </c>
      <c r="AK31">
        <v>5.1289999999999996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8">
        <v>67</v>
      </c>
      <c r="AT31" s="16">
        <f t="shared" si="22"/>
        <v>14.757578865399999</v>
      </c>
      <c r="AU31" s="17">
        <f t="shared" si="23"/>
        <v>5550.4778398301896</v>
      </c>
      <c r="AW31" s="9">
        <f t="shared" si="16"/>
        <v>2.518556000000002</v>
      </c>
      <c r="AX31" s="10">
        <f t="shared" si="17"/>
        <v>6775.2340984478997</v>
      </c>
      <c r="AZ31" s="11">
        <f t="shared" si="18"/>
        <v>10.398299346</v>
      </c>
      <c r="BA31" s="12">
        <f t="shared" si="19"/>
        <v>6025.7310642122002</v>
      </c>
      <c r="BC31" s="14">
        <f t="shared" si="20"/>
        <v>14.959948547699996</v>
      </c>
      <c r="BD31" s="15">
        <f t="shared" si="21"/>
        <v>6536.1755222557313</v>
      </c>
      <c r="BF31" s="16">
        <f t="shared" si="24"/>
        <v>14.757578865399999</v>
      </c>
      <c r="BG31" s="17">
        <f t="shared" si="25"/>
        <v>5550.4778398301896</v>
      </c>
      <c r="BI31">
        <v>67</v>
      </c>
      <c r="BJ31" t="s">
        <v>57</v>
      </c>
      <c r="BK31" s="2">
        <v>46113.136458333334</v>
      </c>
      <c r="BL31">
        <v>375</v>
      </c>
      <c r="BM31" t="s">
        <v>13</v>
      </c>
      <c r="BN31">
        <v>0</v>
      </c>
      <c r="BO31">
        <v>2.88</v>
      </c>
      <c r="BP31" s="3">
        <v>812523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68</v>
      </c>
      <c r="B32" t="s">
        <v>58</v>
      </c>
      <c r="C32" s="2">
        <v>46113.15766203704</v>
      </c>
      <c r="D32">
        <v>330</v>
      </c>
      <c r="E32" t="s">
        <v>13</v>
      </c>
      <c r="F32">
        <v>0</v>
      </c>
      <c r="G32">
        <v>6.056</v>
      </c>
      <c r="H32" s="3">
        <v>13329</v>
      </c>
      <c r="I32">
        <v>2.7E-2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58</v>
      </c>
      <c r="Q32" s="2">
        <v>46113.15766203704</v>
      </c>
      <c r="R32">
        <v>330</v>
      </c>
      <c r="S32" t="s">
        <v>13</v>
      </c>
      <c r="T32">
        <v>0</v>
      </c>
      <c r="U32" t="s">
        <v>14</v>
      </c>
      <c r="V32" s="3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58</v>
      </c>
      <c r="AE32" s="2">
        <v>46113.15766203704</v>
      </c>
      <c r="AF32">
        <v>330</v>
      </c>
      <c r="AG32" t="s">
        <v>13</v>
      </c>
      <c r="AH32">
        <v>0</v>
      </c>
      <c r="AI32">
        <v>12.32</v>
      </c>
      <c r="AJ32" s="3">
        <v>3030</v>
      </c>
      <c r="AK32">
        <v>0.61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8">
        <v>68</v>
      </c>
      <c r="AT32" s="16">
        <f t="shared" si="22"/>
        <v>32.148347932487603</v>
      </c>
      <c r="AU32" s="17">
        <f t="shared" si="23"/>
        <v>607.749584411</v>
      </c>
      <c r="AW32" s="9">
        <f t="shared" si="16"/>
        <v>29.859973645943001</v>
      </c>
      <c r="AX32" s="10">
        <f t="shared" si="17"/>
        <v>713.41259150999986</v>
      </c>
      <c r="AZ32" s="11">
        <f t="shared" si="18"/>
        <v>34.268462144799201</v>
      </c>
      <c r="BA32" s="12">
        <f t="shared" si="19"/>
        <v>654.70098217999998</v>
      </c>
      <c r="BC32" s="14">
        <f t="shared" si="20"/>
        <v>38.880652830617002</v>
      </c>
      <c r="BD32" s="15">
        <f t="shared" si="21"/>
        <v>555.48049323700002</v>
      </c>
      <c r="BF32" s="16">
        <f t="shared" si="24"/>
        <v>32.148347932487603</v>
      </c>
      <c r="BG32" s="17">
        <f t="shared" si="25"/>
        <v>607.749584411</v>
      </c>
      <c r="BI32">
        <v>68</v>
      </c>
      <c r="BJ32" t="s">
        <v>58</v>
      </c>
      <c r="BK32" s="2">
        <v>46113.15766203704</v>
      </c>
      <c r="BL32">
        <v>330</v>
      </c>
      <c r="BM32" t="s">
        <v>13</v>
      </c>
      <c r="BN32">
        <v>0</v>
      </c>
      <c r="BO32">
        <v>2.8719999999999999</v>
      </c>
      <c r="BP32" s="3">
        <v>975967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69</v>
      </c>
      <c r="B33" t="s">
        <v>59</v>
      </c>
      <c r="C33" s="2">
        <v>46113.178900462961</v>
      </c>
      <c r="D33">
        <v>374</v>
      </c>
      <c r="E33" t="s">
        <v>13</v>
      </c>
      <c r="F33">
        <v>0</v>
      </c>
      <c r="G33">
        <v>6.0549999999999997</v>
      </c>
      <c r="H33" s="3">
        <v>12775</v>
      </c>
      <c r="I33">
        <v>2.5999999999999999E-2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59</v>
      </c>
      <c r="Q33" s="2">
        <v>46113.178900462961</v>
      </c>
      <c r="R33">
        <v>374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59</v>
      </c>
      <c r="AE33" s="2">
        <v>46113.178900462961</v>
      </c>
      <c r="AF33">
        <v>374</v>
      </c>
      <c r="AG33" t="s">
        <v>13</v>
      </c>
      <c r="AH33">
        <v>0</v>
      </c>
      <c r="AI33">
        <v>12.336</v>
      </c>
      <c r="AJ33" s="3">
        <v>2118</v>
      </c>
      <c r="AK33">
        <v>0.45400000000000001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8">
        <v>69</v>
      </c>
      <c r="AT33" s="16">
        <f t="shared" si="22"/>
        <v>30.946071284750005</v>
      </c>
      <c r="AU33" s="17">
        <f t="shared" si="23"/>
        <v>438.22315121996002</v>
      </c>
      <c r="AW33" s="9">
        <f t="shared" si="16"/>
        <v>28.196957614374995</v>
      </c>
      <c r="AX33" s="10">
        <f t="shared" si="17"/>
        <v>493.02597006359997</v>
      </c>
      <c r="AZ33" s="11">
        <f t="shared" si="18"/>
        <v>32.666592659500004</v>
      </c>
      <c r="BA33" s="12">
        <f t="shared" si="19"/>
        <v>468.02174174480001</v>
      </c>
      <c r="BC33" s="14">
        <f t="shared" si="20"/>
        <v>37.398628235624997</v>
      </c>
      <c r="BD33" s="15">
        <f t="shared" si="21"/>
        <v>348.04847570932003</v>
      </c>
      <c r="BF33" s="16">
        <f t="shared" si="24"/>
        <v>30.946071284750005</v>
      </c>
      <c r="BG33" s="17">
        <f t="shared" si="25"/>
        <v>438.22315121996002</v>
      </c>
      <c r="BI33">
        <v>69</v>
      </c>
      <c r="BJ33" t="s">
        <v>59</v>
      </c>
      <c r="BK33" s="2">
        <v>46113.178900462961</v>
      </c>
      <c r="BL33">
        <v>374</v>
      </c>
      <c r="BM33" t="s">
        <v>13</v>
      </c>
      <c r="BN33">
        <v>0</v>
      </c>
      <c r="BO33">
        <v>2.8730000000000002</v>
      </c>
      <c r="BP33" s="3">
        <v>957138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A34">
        <v>70</v>
      </c>
      <c r="B34" t="s">
        <v>60</v>
      </c>
      <c r="C34" s="2">
        <v>46113.200092592589</v>
      </c>
      <c r="D34">
        <v>327</v>
      </c>
      <c r="E34" t="s">
        <v>13</v>
      </c>
      <c r="F34">
        <v>0</v>
      </c>
      <c r="G34">
        <v>6.0549999999999997</v>
      </c>
      <c r="H34" s="3">
        <v>12368</v>
      </c>
      <c r="I34">
        <v>2.5000000000000001E-2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60</v>
      </c>
      <c r="Q34" s="2">
        <v>46113.200092592589</v>
      </c>
      <c r="R34">
        <v>327</v>
      </c>
      <c r="S34" t="s">
        <v>13</v>
      </c>
      <c r="T34">
        <v>0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60</v>
      </c>
      <c r="AE34" s="2">
        <v>46113.200092592589</v>
      </c>
      <c r="AF34">
        <v>327</v>
      </c>
      <c r="AG34" t="s">
        <v>13</v>
      </c>
      <c r="AH34">
        <v>0</v>
      </c>
      <c r="AI34">
        <v>12.329000000000001</v>
      </c>
      <c r="AJ34" s="3">
        <v>2968</v>
      </c>
      <c r="AK34">
        <v>0.59899999999999998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8">
        <v>70</v>
      </c>
      <c r="AT34" s="16">
        <f t="shared" si="22"/>
        <v>30.062663061606404</v>
      </c>
      <c r="AU34" s="17">
        <f t="shared" si="23"/>
        <v>596.22287496896001</v>
      </c>
      <c r="AW34" s="9">
        <f t="shared" si="16"/>
        <v>26.974594372351994</v>
      </c>
      <c r="AX34" s="10">
        <f t="shared" si="17"/>
        <v>698.45420415360002</v>
      </c>
      <c r="AZ34" s="11">
        <f t="shared" si="18"/>
        <v>31.489655007948805</v>
      </c>
      <c r="BA34" s="12">
        <f t="shared" si="19"/>
        <v>642.01322036479996</v>
      </c>
      <c r="BC34" s="14">
        <f t="shared" si="20"/>
        <v>36.309745567488001</v>
      </c>
      <c r="BD34" s="15">
        <f t="shared" si="21"/>
        <v>541.38134119232006</v>
      </c>
      <c r="BF34" s="16">
        <f t="shared" si="24"/>
        <v>30.062663061606404</v>
      </c>
      <c r="BG34" s="17">
        <f t="shared" si="25"/>
        <v>596.22287496896001</v>
      </c>
      <c r="BI34">
        <v>70</v>
      </c>
      <c r="BJ34" t="s">
        <v>60</v>
      </c>
      <c r="BK34" s="2">
        <v>46113.200092592589</v>
      </c>
      <c r="BL34">
        <v>327</v>
      </c>
      <c r="BM34" t="s">
        <v>13</v>
      </c>
      <c r="BN34">
        <v>0</v>
      </c>
      <c r="BO34">
        <v>2.8759999999999999</v>
      </c>
      <c r="BP34" s="3">
        <v>902244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35">
      <c r="A35">
        <v>71</v>
      </c>
      <c r="B35" t="s">
        <v>61</v>
      </c>
      <c r="C35" s="2">
        <v>46113.221284722225</v>
      </c>
      <c r="D35">
        <v>12</v>
      </c>
      <c r="E35" t="s">
        <v>13</v>
      </c>
      <c r="F35">
        <v>0</v>
      </c>
      <c r="G35">
        <v>6.0519999999999996</v>
      </c>
      <c r="H35" s="3">
        <v>58061</v>
      </c>
      <c r="I35">
        <v>0.11799999999999999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61</v>
      </c>
      <c r="Q35" s="2">
        <v>46113.221284722225</v>
      </c>
      <c r="R35">
        <v>12</v>
      </c>
      <c r="S35" t="s">
        <v>13</v>
      </c>
      <c r="T35">
        <v>0</v>
      </c>
      <c r="U35" t="s">
        <v>14</v>
      </c>
      <c r="V35" t="s">
        <v>14</v>
      </c>
      <c r="W35" t="s">
        <v>14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61</v>
      </c>
      <c r="AE35" s="2">
        <v>46113.221284722225</v>
      </c>
      <c r="AF35">
        <v>12</v>
      </c>
      <c r="AG35" t="s">
        <v>13</v>
      </c>
      <c r="AH35">
        <v>0</v>
      </c>
      <c r="AI35">
        <v>12.238</v>
      </c>
      <c r="AJ35" s="3">
        <v>72947</v>
      </c>
      <c r="AK35">
        <v>12.551</v>
      </c>
      <c r="AL35" t="s">
        <v>14</v>
      </c>
      <c r="AM35" t="s">
        <v>14</v>
      </c>
      <c r="AN35" t="s">
        <v>14</v>
      </c>
      <c r="AO35" t="s">
        <v>14</v>
      </c>
      <c r="AQ35">
        <v>1</v>
      </c>
      <c r="AS35" s="8">
        <v>71</v>
      </c>
      <c r="AT35" s="16">
        <f t="shared" si="22"/>
        <v>128.46210559301559</v>
      </c>
      <c r="AU35" s="17">
        <f t="shared" si="23"/>
        <v>13551.687715432465</v>
      </c>
      <c r="AW35" s="9">
        <f t="shared" si="16"/>
        <v>160.94343027998303</v>
      </c>
      <c r="AX35" s="10">
        <f t="shared" si="17"/>
        <v>16074.3321693119</v>
      </c>
      <c r="AZ35" s="11">
        <f t="shared" si="18"/>
        <v>163.02427117657521</v>
      </c>
      <c r="BA35" s="12">
        <f t="shared" si="19"/>
        <v>14370.396106639731</v>
      </c>
      <c r="BC35" s="14">
        <f t="shared" si="20"/>
        <v>158.01200803337701</v>
      </c>
      <c r="BD35" s="15">
        <f t="shared" si="21"/>
        <v>16195.80906772842</v>
      </c>
      <c r="BF35" s="16">
        <f t="shared" si="24"/>
        <v>128.46210559301559</v>
      </c>
      <c r="BG35" s="17">
        <f t="shared" si="25"/>
        <v>13551.687715432465</v>
      </c>
      <c r="BI35">
        <v>71</v>
      </c>
      <c r="BJ35" t="s">
        <v>61</v>
      </c>
      <c r="BK35" s="2">
        <v>46113.221284722225</v>
      </c>
      <c r="BL35">
        <v>12</v>
      </c>
      <c r="BM35" t="s">
        <v>13</v>
      </c>
      <c r="BN35">
        <v>0</v>
      </c>
      <c r="BO35">
        <v>2.88</v>
      </c>
      <c r="BP35" s="3">
        <v>804594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35">
      <c r="A36">
        <v>72</v>
      </c>
      <c r="B36" t="s">
        <v>62</v>
      </c>
      <c r="C36" s="2">
        <v>46113.242511574077</v>
      </c>
      <c r="D36">
        <v>300</v>
      </c>
      <c r="E36" t="s">
        <v>13</v>
      </c>
      <c r="F36">
        <v>0</v>
      </c>
      <c r="G36">
        <v>6.056</v>
      </c>
      <c r="H36" s="3">
        <v>4957</v>
      </c>
      <c r="I36">
        <v>0.01</v>
      </c>
      <c r="J36" t="s">
        <v>14</v>
      </c>
      <c r="K36" t="s">
        <v>14</v>
      </c>
      <c r="L36" t="s">
        <v>14</v>
      </c>
      <c r="M36" t="s">
        <v>14</v>
      </c>
      <c r="O36">
        <v>72</v>
      </c>
      <c r="P36" t="s">
        <v>62</v>
      </c>
      <c r="Q36" s="2">
        <v>46113.242511574077</v>
      </c>
      <c r="R36">
        <v>300</v>
      </c>
      <c r="S36" t="s">
        <v>13</v>
      </c>
      <c r="T36">
        <v>0</v>
      </c>
      <c r="U36" t="s">
        <v>14</v>
      </c>
      <c r="V36" s="3" t="s">
        <v>14</v>
      </c>
      <c r="W36" t="s">
        <v>14</v>
      </c>
      <c r="X36" t="s">
        <v>14</v>
      </c>
      <c r="Y36" t="s">
        <v>14</v>
      </c>
      <c r="Z36" t="s">
        <v>14</v>
      </c>
      <c r="AA36" t="s">
        <v>14</v>
      </c>
      <c r="AC36">
        <v>72</v>
      </c>
      <c r="AD36" t="s">
        <v>62</v>
      </c>
      <c r="AE36" s="2">
        <v>46113.242511574077</v>
      </c>
      <c r="AF36">
        <v>300</v>
      </c>
      <c r="AG36" t="s">
        <v>13</v>
      </c>
      <c r="AH36">
        <v>0</v>
      </c>
      <c r="AI36">
        <v>12.292</v>
      </c>
      <c r="AJ36" s="3">
        <v>30082</v>
      </c>
      <c r="AK36">
        <v>5.2309999999999999</v>
      </c>
      <c r="AL36" t="s">
        <v>14</v>
      </c>
      <c r="AM36" t="s">
        <v>14</v>
      </c>
      <c r="AN36" t="s">
        <v>14</v>
      </c>
      <c r="AO36" t="s">
        <v>14</v>
      </c>
      <c r="AQ36">
        <v>1</v>
      </c>
      <c r="AS36" s="8">
        <v>72</v>
      </c>
      <c r="AT36" s="16">
        <f t="shared" si="22"/>
        <v>14.210725152814</v>
      </c>
      <c r="AU36" s="17">
        <f t="shared" si="23"/>
        <v>5663.3647274519599</v>
      </c>
      <c r="AW36" s="9">
        <f t="shared" si="16"/>
        <v>2.3686934599999994</v>
      </c>
      <c r="AX36" s="10">
        <f t="shared" si="17"/>
        <v>6905.5509211835997</v>
      </c>
      <c r="AZ36" s="11">
        <f t="shared" si="18"/>
        <v>9.7525564518600003</v>
      </c>
      <c r="BA36" s="12">
        <f t="shared" si="19"/>
        <v>6146.7953819047998</v>
      </c>
      <c r="BC36" s="14">
        <f t="shared" si="20"/>
        <v>14.199962713556998</v>
      </c>
      <c r="BD36" s="15">
        <f t="shared" si="21"/>
        <v>6671.2666456533198</v>
      </c>
      <c r="BF36" s="16">
        <f t="shared" si="24"/>
        <v>14.210725152814</v>
      </c>
      <c r="BG36" s="17">
        <f t="shared" si="25"/>
        <v>5663.3647274519599</v>
      </c>
      <c r="BI36">
        <v>72</v>
      </c>
      <c r="BJ36" t="s">
        <v>62</v>
      </c>
      <c r="BK36" s="2">
        <v>46113.242511574077</v>
      </c>
      <c r="BL36">
        <v>300</v>
      </c>
      <c r="BM36" t="s">
        <v>13</v>
      </c>
      <c r="BN36">
        <v>0</v>
      </c>
      <c r="BO36">
        <v>2.8759999999999999</v>
      </c>
      <c r="BP36" s="3">
        <v>867691</v>
      </c>
      <c r="BQ36">
        <v>0</v>
      </c>
      <c r="BR36" t="s">
        <v>14</v>
      </c>
      <c r="BS36" t="s">
        <v>14</v>
      </c>
      <c r="BT36" t="s">
        <v>14</v>
      </c>
      <c r="BU36" t="s">
        <v>14</v>
      </c>
    </row>
    <row r="37" spans="1:73" x14ac:dyDescent="0.35">
      <c r="A37">
        <v>73</v>
      </c>
      <c r="B37" t="s">
        <v>63</v>
      </c>
      <c r="C37" s="2">
        <v>46113.263726851852</v>
      </c>
      <c r="D37">
        <v>392</v>
      </c>
      <c r="E37" t="s">
        <v>13</v>
      </c>
      <c r="F37">
        <v>0</v>
      </c>
      <c r="G37">
        <v>6.0510000000000002</v>
      </c>
      <c r="H37" s="3">
        <v>57935</v>
      </c>
      <c r="I37">
        <v>0.11799999999999999</v>
      </c>
      <c r="J37" t="s">
        <v>14</v>
      </c>
      <c r="K37" t="s">
        <v>14</v>
      </c>
      <c r="L37" t="s">
        <v>14</v>
      </c>
      <c r="M37" t="s">
        <v>14</v>
      </c>
      <c r="O37">
        <v>73</v>
      </c>
      <c r="P37" t="s">
        <v>63</v>
      </c>
      <c r="Q37" s="2">
        <v>46113.263726851852</v>
      </c>
      <c r="R37">
        <v>392</v>
      </c>
      <c r="S37" t="s">
        <v>13</v>
      </c>
      <c r="T37">
        <v>0</v>
      </c>
      <c r="U37" t="s">
        <v>14</v>
      </c>
      <c r="V37" s="3" t="s">
        <v>14</v>
      </c>
      <c r="W37" t="s">
        <v>14</v>
      </c>
      <c r="X37" t="s">
        <v>14</v>
      </c>
      <c r="Y37" t="s">
        <v>14</v>
      </c>
      <c r="Z37" t="s">
        <v>14</v>
      </c>
      <c r="AA37" t="s">
        <v>14</v>
      </c>
      <c r="AC37">
        <v>73</v>
      </c>
      <c r="AD37" t="s">
        <v>63</v>
      </c>
      <c r="AE37" s="2">
        <v>46113.263726851852</v>
      </c>
      <c r="AF37">
        <v>392</v>
      </c>
      <c r="AG37" t="s">
        <v>13</v>
      </c>
      <c r="AH37">
        <v>0</v>
      </c>
      <c r="AI37">
        <v>12.238</v>
      </c>
      <c r="AJ37" s="3">
        <v>71029</v>
      </c>
      <c r="AK37">
        <v>12.224</v>
      </c>
      <c r="AL37" t="s">
        <v>14</v>
      </c>
      <c r="AM37" t="s">
        <v>14</v>
      </c>
      <c r="AN37" t="s">
        <v>14</v>
      </c>
      <c r="AO37" t="s">
        <v>14</v>
      </c>
      <c r="AQ37">
        <v>1</v>
      </c>
      <c r="AS37" s="8">
        <v>73</v>
      </c>
      <c r="AT37" s="16">
        <f t="shared" si="22"/>
        <v>128.19292686570998</v>
      </c>
      <c r="AU37" s="17">
        <f t="shared" si="23"/>
        <v>13237.656101802117</v>
      </c>
      <c r="AW37" s="9">
        <f t="shared" si="16"/>
        <v>160.58306091717503</v>
      </c>
      <c r="AX37" s="10">
        <f t="shared" si="17"/>
        <v>15610.537939403101</v>
      </c>
      <c r="AZ37" s="11">
        <f t="shared" si="18"/>
        <v>162.66321813182</v>
      </c>
      <c r="BA37" s="12">
        <f t="shared" si="19"/>
        <v>13981.348494250771</v>
      </c>
      <c r="BC37" s="14">
        <f t="shared" si="20"/>
        <v>157.67791990882498</v>
      </c>
      <c r="BD37" s="15">
        <f t="shared" si="21"/>
        <v>15786.947137908581</v>
      </c>
      <c r="BF37" s="16">
        <f t="shared" si="24"/>
        <v>128.19292686570998</v>
      </c>
      <c r="BG37" s="17">
        <f t="shared" si="25"/>
        <v>13237.656101802117</v>
      </c>
      <c r="BI37">
        <v>73</v>
      </c>
      <c r="BJ37" t="s">
        <v>63</v>
      </c>
      <c r="BK37" s="2">
        <v>46113.263726851852</v>
      </c>
      <c r="BL37">
        <v>392</v>
      </c>
      <c r="BM37" t="s">
        <v>13</v>
      </c>
      <c r="BN37">
        <v>0</v>
      </c>
      <c r="BO37">
        <v>2.88</v>
      </c>
      <c r="BP37" s="3">
        <v>804281</v>
      </c>
      <c r="BQ37">
        <v>0</v>
      </c>
      <c r="BR37" t="s">
        <v>14</v>
      </c>
      <c r="BS37" t="s">
        <v>14</v>
      </c>
      <c r="BT37" t="s">
        <v>14</v>
      </c>
      <c r="BU37" t="s">
        <v>14</v>
      </c>
    </row>
    <row r="38" spans="1:73" x14ac:dyDescent="0.35">
      <c r="A38">
        <v>74</v>
      </c>
      <c r="B38" t="s">
        <v>64</v>
      </c>
      <c r="C38" s="2">
        <v>46113.28496527778</v>
      </c>
      <c r="D38">
        <v>386</v>
      </c>
      <c r="E38" t="s">
        <v>13</v>
      </c>
      <c r="F38">
        <v>0</v>
      </c>
      <c r="G38">
        <v>6.0590000000000002</v>
      </c>
      <c r="H38" s="3">
        <v>26995</v>
      </c>
      <c r="I38">
        <v>5.5E-2</v>
      </c>
      <c r="J38" t="s">
        <v>14</v>
      </c>
      <c r="K38" t="s">
        <v>14</v>
      </c>
      <c r="L38" t="s">
        <v>14</v>
      </c>
      <c r="M38" t="s">
        <v>14</v>
      </c>
      <c r="O38">
        <v>74</v>
      </c>
      <c r="P38" t="s">
        <v>64</v>
      </c>
      <c r="Q38" s="2">
        <v>46113.28496527778</v>
      </c>
      <c r="R38">
        <v>386</v>
      </c>
      <c r="S38" t="s">
        <v>13</v>
      </c>
      <c r="T38">
        <v>0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C38">
        <v>74</v>
      </c>
      <c r="AD38" t="s">
        <v>64</v>
      </c>
      <c r="AE38" s="2">
        <v>46113.28496527778</v>
      </c>
      <c r="AF38">
        <v>386</v>
      </c>
      <c r="AG38" t="s">
        <v>13</v>
      </c>
      <c r="AH38">
        <v>0</v>
      </c>
      <c r="AI38">
        <v>12.321999999999999</v>
      </c>
      <c r="AJ38" s="3">
        <v>12600</v>
      </c>
      <c r="AK38">
        <v>2.2450000000000001</v>
      </c>
      <c r="AL38" t="s">
        <v>14</v>
      </c>
      <c r="AM38" t="s">
        <v>14</v>
      </c>
      <c r="AN38" t="s">
        <v>14</v>
      </c>
      <c r="AO38" t="s">
        <v>14</v>
      </c>
      <c r="AQ38">
        <v>1</v>
      </c>
      <c r="AS38" s="8">
        <v>74</v>
      </c>
      <c r="AT38" s="16">
        <f t="shared" si="22"/>
        <v>61.732806018590004</v>
      </c>
      <c r="AU38" s="17">
        <f t="shared" si="23"/>
        <v>2390.2520204000002</v>
      </c>
      <c r="AW38" s="9">
        <f t="shared" si="16"/>
        <v>70.576577750574998</v>
      </c>
      <c r="AX38" s="10">
        <f t="shared" si="17"/>
        <v>2980.2695640000002</v>
      </c>
      <c r="AZ38" s="11">
        <f t="shared" si="18"/>
        <v>73.727047768779997</v>
      </c>
      <c r="BA38" s="12">
        <f t="shared" si="19"/>
        <v>2607.6061519999998</v>
      </c>
      <c r="BC38" s="14">
        <f t="shared" si="20"/>
        <v>75.387934003425002</v>
      </c>
      <c r="BD38" s="15">
        <f t="shared" si="21"/>
        <v>2727.2296468</v>
      </c>
      <c r="BF38" s="16">
        <f t="shared" si="24"/>
        <v>61.732806018590004</v>
      </c>
      <c r="BG38" s="17">
        <f t="shared" si="25"/>
        <v>2390.2520204000002</v>
      </c>
      <c r="BI38">
        <v>74</v>
      </c>
      <c r="BJ38" t="s">
        <v>64</v>
      </c>
      <c r="BK38" s="2">
        <v>46113.28496527778</v>
      </c>
      <c r="BL38">
        <v>386</v>
      </c>
      <c r="BM38" t="s">
        <v>13</v>
      </c>
      <c r="BN38">
        <v>0</v>
      </c>
      <c r="BO38">
        <v>2.887</v>
      </c>
      <c r="BP38" s="3">
        <v>808969</v>
      </c>
      <c r="BQ38">
        <v>0</v>
      </c>
      <c r="BR38" t="s">
        <v>14</v>
      </c>
      <c r="BS38" t="s">
        <v>14</v>
      </c>
      <c r="BT38" t="s">
        <v>14</v>
      </c>
      <c r="BU38" t="s">
        <v>14</v>
      </c>
    </row>
    <row r="39" spans="1:73" x14ac:dyDescent="0.3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1:73" x14ac:dyDescent="0.3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1:73" x14ac:dyDescent="0.3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1:73" x14ac:dyDescent="0.3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1:73" x14ac:dyDescent="0.3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2026-04-01T18:23:31Z</dcterms:modified>
</cp:coreProperties>
</file>