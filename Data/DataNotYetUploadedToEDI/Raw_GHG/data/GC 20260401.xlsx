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6 season misc analyses\GC 2026\"/>
    </mc:Choice>
  </mc:AlternateContent>
  <xr:revisionPtr revIDLastSave="0" documentId="8_{A91EAB55-8E2F-4C5E-BE07-E8976D9893C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7" i="1" l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BG16" i="1"/>
  <c r="BF16" i="1"/>
  <c r="BG15" i="1"/>
  <c r="BF15" i="1"/>
  <c r="BG14" i="1"/>
  <c r="BF14" i="1"/>
  <c r="BG13" i="1"/>
  <c r="BF13" i="1"/>
  <c r="BG12" i="1"/>
  <c r="BF12" i="1"/>
  <c r="BG11" i="1"/>
  <c r="BF11" i="1"/>
  <c r="BG10" i="1"/>
  <c r="BF10" i="1"/>
  <c r="BG9" i="1"/>
  <c r="BF9" i="1"/>
  <c r="AT9" i="1"/>
  <c r="AU9" i="1"/>
  <c r="AT10" i="1"/>
  <c r="AU10" i="1"/>
  <c r="AT11" i="1"/>
  <c r="AU11" i="1"/>
  <c r="AT12" i="1"/>
  <c r="AU12" i="1"/>
  <c r="AT13" i="1"/>
  <c r="AU13" i="1"/>
  <c r="AT14" i="1"/>
  <c r="AU14" i="1"/>
  <c r="AT15" i="1"/>
  <c r="AU15" i="1"/>
  <c r="AT16" i="1"/>
  <c r="AU16" i="1"/>
  <c r="AW9" i="1"/>
  <c r="AX9" i="1"/>
  <c r="AZ9" i="1"/>
  <c r="BA9" i="1"/>
  <c r="AW10" i="1"/>
  <c r="AX10" i="1"/>
  <c r="AZ10" i="1"/>
  <c r="BA10" i="1"/>
  <c r="AW11" i="1"/>
  <c r="AX11" i="1"/>
  <c r="AZ11" i="1"/>
  <c r="BA11" i="1"/>
  <c r="AW12" i="1"/>
  <c r="AX12" i="1"/>
  <c r="AZ12" i="1"/>
  <c r="BA12" i="1"/>
  <c r="AW13" i="1"/>
  <c r="AX13" i="1"/>
  <c r="AZ13" i="1"/>
  <c r="BA13" i="1"/>
  <c r="AW14" i="1"/>
  <c r="AX14" i="1"/>
  <c r="AZ14" i="1"/>
  <c r="BA14" i="1"/>
  <c r="AW15" i="1"/>
  <c r="AX15" i="1"/>
  <c r="AZ15" i="1"/>
  <c r="BA15" i="1"/>
  <c r="AW16" i="1"/>
  <c r="AX16" i="1"/>
  <c r="AZ16" i="1"/>
  <c r="BA16" i="1"/>
  <c r="BC15" i="1"/>
  <c r="BD15" i="1"/>
  <c r="BC16" i="1"/>
  <c r="BD16" i="1"/>
  <c r="BC9" i="1" l="1"/>
  <c r="BD9" i="1"/>
  <c r="BC10" i="1"/>
  <c r="BD10" i="1"/>
  <c r="BC11" i="1"/>
  <c r="BD11" i="1"/>
  <c r="BC12" i="1"/>
  <c r="BD12" i="1"/>
  <c r="BC13" i="1"/>
  <c r="BD13" i="1"/>
  <c r="BC14" i="1"/>
  <c r="BD14" i="1"/>
</calcChain>
</file>

<file path=xl/sharedStrings.xml><?xml version="1.0" encoding="utf-8"?>
<sst xmlns="http://schemas.openxmlformats.org/spreadsheetml/2006/main" count="483" uniqueCount="50">
  <si>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</si>
  <si>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</si>
  <si>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</si>
  <si>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</si>
  <si>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</si>
  <si>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</si>
  <si>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</si>
  <si>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</si>
  <si>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</si>
  <si>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</si>
  <si>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</si>
  <si>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</si>
  <si>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</si>
  <si>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</si>
  <si>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</si>
  <si>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</si>
  <si>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</si>
  <si>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</si>
  <si>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</si>
  <si>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</si>
  <si>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</si>
  <si>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</si>
  <si>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</si>
  <si>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</si>
  <si>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</si>
  <si>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</si>
  <si>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</si>
  <si>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</si>
  <si>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</si>
  <si>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</si>
  <si>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</si>
  <si>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</si>
  <si>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</si>
  <si>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2026 ranged CAL Measured headspace CH4  in ppm from GC in ppm</t>
  </si>
  <si>
    <t>2026 CAL Measured headspace CO2 in ppm from GC in ppm</t>
  </si>
  <si>
    <t>FMI20260401_001.gcd</t>
  </si>
  <si>
    <t>FMI20260401_002.gcd</t>
  </si>
  <si>
    <t>FMI20260401_003.gcd</t>
  </si>
  <si>
    <t>FMI20260401_004.gcd</t>
  </si>
  <si>
    <t>FMI20260401_005.gcd</t>
  </si>
  <si>
    <t>FMI20260401_006.gcd</t>
  </si>
  <si>
    <t>FMI20260401_007.gcd</t>
  </si>
  <si>
    <t>FMI20260401_008.gcd</t>
  </si>
  <si>
    <t>FMI20260401_009.gcd</t>
  </si>
  <si>
    <t>FMI20260401_010.gcd</t>
  </si>
  <si>
    <t>FMI20260401_011.gcd</t>
  </si>
  <si>
    <t>FMI20260401_012.gcd</t>
  </si>
  <si>
    <t>FMI20260401_013.gcd</t>
  </si>
  <si>
    <t>FMI20260401_014.gcd</t>
  </si>
  <si>
    <t>FMI20260401_015.gcd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</si>
</sst>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99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3" borderId="0" xfId="0" applyNumberFormat="1" applyFill="1"/>
    <xf numFmtId="3" fontId="0" fillId="33" borderId="0" xfId="0" applyNumberFormat="1" applyFill="1"/>
    <xf numFmtId="2" fontId="0" fillId="34" borderId="0" xfId="0" applyNumberFormat="1" applyFill="1"/>
    <xf numFmtId="3" fontId="0" fillId="34" borderId="0" xfId="0" applyNumberFormat="1" applyFill="1"/>
    <xf numFmtId="4" fontId="0" fillId="0" borderId="0" xfId="0" applyNumberFormat="1"/>
    <xf numFmtId="2" fontId="0" fillId="35" borderId="0" xfId="0" applyNumberFormat="1" applyFill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99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workbookViewId="0">
      <selection activeCell="AR25" sqref="AR25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7265625" customWidth="1"/>
    <col min="46" max="47" width="10.1796875" customWidth="1"/>
    <col min="49" max="50" width="10.1796875" customWidth="1"/>
    <col min="52" max="53" width="10.1796875" customWidth="1"/>
    <col min="54" max="54" width="8.7265625" style="7"/>
    <col min="55" max="56" width="10.1796875" customWidth="1"/>
    <col min="58" max="59" width="10.179687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27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22</v>
      </c>
      <c r="AX8" s="5" t="s">
        <v>23</v>
      </c>
      <c r="AZ8" s="5" t="s">
        <v>25</v>
      </c>
      <c r="BA8" s="5" t="s">
        <v>30</v>
      </c>
      <c r="BB8" s="6"/>
      <c r="BC8" s="5" t="s">
        <v>28</v>
      </c>
      <c r="BD8" s="5" t="s">
        <v>29</v>
      </c>
      <c r="BE8" s="5"/>
      <c r="BF8" s="5" t="s">
        <v>33</v>
      </c>
      <c r="BG8" s="5" t="s">
        <v>34</v>
      </c>
      <c r="BH8" s="5"/>
      <c r="BI8" s="6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46113.596747685187</v>
      </c>
      <c r="D9" t="s">
        <v>31</v>
      </c>
      <c r="E9" t="s">
        <v>13</v>
      </c>
      <c r="F9">
        <v>0</v>
      </c>
      <c r="G9">
        <v>6.101</v>
      </c>
      <c r="H9" s="3">
        <v>1381</v>
      </c>
      <c r="I9">
        <v>3.0000000000000001E-3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46113.596747685187</v>
      </c>
      <c r="R9" t="s">
        <v>31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46113.596747685187</v>
      </c>
      <c r="AF9" t="s">
        <v>31</v>
      </c>
      <c r="AG9" t="s">
        <v>13</v>
      </c>
      <c r="AH9">
        <v>0</v>
      </c>
      <c r="AI9">
        <v>12.37</v>
      </c>
      <c r="AJ9" s="3">
        <v>2108</v>
      </c>
      <c r="AK9">
        <v>0.45200000000000001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8">
        <v>45</v>
      </c>
      <c r="AT9" s="16">
        <f t="shared" ref="AT9:AT23" si="0">IF($H9&lt;10000,(($H9^2*-0.000000003714)+($H9*0.002605)+(1.389)),(IF($H9&lt;200000,(($H9^2*-0.0000000003764)+($H9*0.00218)+(3.158)),(IF($H9&lt;8000000,(($H9^2*-0.000000000004719)+($H9*0.001816)+(146.1)),(($V9^2*0.000000002578)+($V9*0.2173)+(2294)))))))</f>
        <v>4.9794218040459999</v>
      </c>
      <c r="AU9" s="17">
        <f t="shared" ref="AU9:AU23" si="1">IF($AJ9&lt;45000,((0.00000003579*$AJ9^2)+(0.1857*$AJ9)+(44.75)),((0.0000000022829*$AJ9^2)+(0.1634*$AJ9)+(1620)))</f>
        <v>436.36463873456</v>
      </c>
      <c r="AW9" s="9">
        <f t="shared" ref="AW9:AW14" si="2">IF(H9&lt;10000,((H9^2*0.00000054)+(H9*-0.004765)+(12.72)),(IF(H9&lt;200000,((H9^2*-0.000000001577)+(H9*0.003043)+(-10.42)),(IF(H9&lt;8000000,((H9^2*-0.0000000000186)+(H9*0.00194)+(154.1)),((V9^2*-0.00000002)+(V9*0.2565)+(-1032)))))))</f>
        <v>7.1694019400000002</v>
      </c>
      <c r="AX9" s="10">
        <f t="shared" ref="AX9:AX14" si="3">IF(AJ9&lt;45000,((-0.0000004561*AJ9^2)+(0.244*AJ9)+(-21.72)),((-0.0000000409*AJ9^2)+(0.2477*AJ9)+(-1777)))</f>
        <v>490.6052448495999</v>
      </c>
      <c r="AZ9" s="11">
        <f t="shared" ref="AZ9:AZ14" si="4">IF(H9&lt;10000,((H9^2*0.00000005714)+(H9*0.002453)+(-3.811)),(IF(H9&lt;200000,((H9^2*-0.0000000002888)+(H9*0.002899)+(-4.321)),(IF(H9&lt;8000000,((H9^2*-0.0000000000062)+(H9*0.002143)+(157)),((V9^2*-0.000000031)+(V9*0.2771)+(-709.5)))))))</f>
        <v>-0.31443182046000029</v>
      </c>
      <c r="BA9" s="12">
        <f t="shared" ref="BA9:BA14" si="5">IF(AJ9&lt;45000,((-0.0000000598*AJ9^2)+(0.205*AJ9)+(34.1)),((-0.00000002403*AJ9^2)+(0.2063*AJ9)+(-550.7)))</f>
        <v>465.97426889280001</v>
      </c>
      <c r="BC9" s="14">
        <f t="shared" ref="BC9:BC14" si="6">IF(H9&lt;10000,((H9^2*0.000000008493)+(H9*0.003482)+(-3.269)),(IF(H9&lt;200000,((H9^2*-0.000000000263)+(H9*0.002682)+(3.179)),(IF(H9&lt;8000000,((H9^2*-0.000000000005099)+(H9*0.002054)+(174.8)),((V9^2*-0.00000001014)+(V9*0.2415)+(1123)))))))</f>
        <v>1.5558395183729994</v>
      </c>
      <c r="BD9" s="15">
        <f t="shared" ref="BD9:BD14" si="7">IF(AJ9&lt;45000,((-0.00000004907*AJ9^2)+(0.2277*AJ9)+(-134)),((-0.00000001062*AJ9^2)+(0.2147*AJ9)+(590.6)))</f>
        <v>345.77354940752002</v>
      </c>
      <c r="BF9" s="16">
        <f t="shared" ref="BF9:BF23" si="8">IF($H9&lt;10000,(($H9^2*-0.000000003714)+($H9*0.002605)+(1.389)),(IF($H9&lt;200000,(($H9^2*-0.0000000003764)+($H9*0.00218)+(3.158)),(IF($H9&lt;8000000,(($H9^2*-0.000000000004719)+($H9*0.001816)+(146.1)),(($V9^2*0.000000002578)+($V9*0.2173)+(2294)))))))</f>
        <v>4.9794218040459999</v>
      </c>
      <c r="BG9" s="17">
        <f t="shared" ref="BG9:BG23" si="9">IF($AJ9&lt;45000,((0.00000003579*$AJ9^2)+(0.1857*$AJ9)+(44.75)),((0.0000000022829*$AJ9^2)+(0.1634*$AJ9)+(1620)))</f>
        <v>436.36463873456</v>
      </c>
      <c r="BI9">
        <v>45</v>
      </c>
      <c r="BJ9" t="s">
        <v>35</v>
      </c>
      <c r="BK9" s="2">
        <v>46113.596747685187</v>
      </c>
      <c r="BL9" t="s">
        <v>31</v>
      </c>
      <c r="BM9" t="s">
        <v>13</v>
      </c>
      <c r="BN9">
        <v>0</v>
      </c>
      <c r="BO9">
        <v>2.73</v>
      </c>
      <c r="BP9" s="3">
        <v>4940887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46113.617986111109</v>
      </c>
      <c r="D10" t="s">
        <v>32</v>
      </c>
      <c r="E10" t="s">
        <v>13</v>
      </c>
      <c r="F10">
        <v>0</v>
      </c>
      <c r="G10">
        <v>6.048</v>
      </c>
      <c r="H10" s="3">
        <v>978378</v>
      </c>
      <c r="I10">
        <v>1.99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46113.617986111109</v>
      </c>
      <c r="R10" t="s">
        <v>32</v>
      </c>
      <c r="S10" t="s">
        <v>13</v>
      </c>
      <c r="T10">
        <v>0</v>
      </c>
      <c r="U10">
        <v>6.0010000000000003</v>
      </c>
      <c r="V10" s="3">
        <v>7960</v>
      </c>
      <c r="W10">
        <v>1.964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46113.617986111109</v>
      </c>
      <c r="AF10" t="s">
        <v>32</v>
      </c>
      <c r="AG10" t="s">
        <v>13</v>
      </c>
      <c r="AH10">
        <v>0</v>
      </c>
      <c r="AI10">
        <v>12.327999999999999</v>
      </c>
      <c r="AJ10" s="3">
        <v>8563</v>
      </c>
      <c r="AK10">
        <v>1.5549999999999999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8">
        <v>46</v>
      </c>
      <c r="AT10" s="16">
        <f t="shared" si="0"/>
        <v>1918.3173102521382</v>
      </c>
      <c r="AU10" s="17">
        <f t="shared" si="1"/>
        <v>1637.5234006405101</v>
      </c>
      <c r="AW10" s="9">
        <f t="shared" si="2"/>
        <v>2034.3489626975577</v>
      </c>
      <c r="AX10" s="10">
        <f t="shared" si="3"/>
        <v>2034.2084816391</v>
      </c>
      <c r="AZ10" s="11">
        <f t="shared" si="4"/>
        <v>2247.7292682325192</v>
      </c>
      <c r="BA10" s="12">
        <f t="shared" si="5"/>
        <v>1785.1301668537999</v>
      </c>
      <c r="BC10" s="14">
        <f t="shared" si="6"/>
        <v>2179.5075293180025</v>
      </c>
      <c r="BD10" s="15">
        <f t="shared" si="7"/>
        <v>1812.19704377117</v>
      </c>
      <c r="BF10" s="16">
        <f t="shared" si="8"/>
        <v>1918.3173102521382</v>
      </c>
      <c r="BG10" s="17">
        <f t="shared" si="9"/>
        <v>1637.5234006405101</v>
      </c>
      <c r="BI10">
        <v>46</v>
      </c>
      <c r="BJ10" t="s">
        <v>36</v>
      </c>
      <c r="BK10" s="2">
        <v>46113.617986111109</v>
      </c>
      <c r="BL10" t="s">
        <v>32</v>
      </c>
      <c r="BM10" t="s">
        <v>13</v>
      </c>
      <c r="BN10">
        <v>0</v>
      </c>
      <c r="BO10">
        <v>2.7240000000000002</v>
      </c>
      <c r="BP10" s="3">
        <v>5029179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46113.63921296296</v>
      </c>
      <c r="D11" t="s">
        <v>26</v>
      </c>
      <c r="E11" t="s">
        <v>13</v>
      </c>
      <c r="F11">
        <v>0</v>
      </c>
      <c r="G11">
        <v>6.0650000000000004</v>
      </c>
      <c r="H11" s="3">
        <v>2690</v>
      </c>
      <c r="I11">
        <v>6.0000000000000001E-3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46113.63921296296</v>
      </c>
      <c r="R11" t="s">
        <v>26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46113.63921296296</v>
      </c>
      <c r="AF11" t="s">
        <v>26</v>
      </c>
      <c r="AG11" t="s">
        <v>13</v>
      </c>
      <c r="AH11">
        <v>0</v>
      </c>
      <c r="AI11">
        <v>12.335000000000001</v>
      </c>
      <c r="AJ11" s="3">
        <v>1731</v>
      </c>
      <c r="AK11">
        <v>0.38800000000000001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8">
        <v>47</v>
      </c>
      <c r="AT11" s="16">
        <f t="shared" si="0"/>
        <v>8.3695751246000007</v>
      </c>
      <c r="AU11" s="17">
        <f t="shared" si="1"/>
        <v>366.30393976019002</v>
      </c>
      <c r="AW11" s="9">
        <f t="shared" si="2"/>
        <v>3.8096440000000005</v>
      </c>
      <c r="AX11" s="10">
        <f t="shared" si="3"/>
        <v>399.27735974789994</v>
      </c>
      <c r="AZ11" s="11">
        <f t="shared" si="4"/>
        <v>3.2010407539999992</v>
      </c>
      <c r="BA11" s="12">
        <f t="shared" si="5"/>
        <v>388.7758176122</v>
      </c>
      <c r="BC11" s="14">
        <f t="shared" si="6"/>
        <v>6.159036197299999</v>
      </c>
      <c r="BD11" s="15">
        <f t="shared" si="7"/>
        <v>260.00166856573003</v>
      </c>
      <c r="BF11" s="16">
        <f t="shared" si="8"/>
        <v>8.3695751246000007</v>
      </c>
      <c r="BG11" s="17">
        <f t="shared" si="9"/>
        <v>366.30393976019002</v>
      </c>
      <c r="BI11">
        <v>47</v>
      </c>
      <c r="BJ11" t="s">
        <v>37</v>
      </c>
      <c r="BK11" s="2">
        <v>46113.63921296296</v>
      </c>
      <c r="BL11" t="s">
        <v>26</v>
      </c>
      <c r="BM11" t="s">
        <v>13</v>
      </c>
      <c r="BN11">
        <v>0</v>
      </c>
      <c r="BO11">
        <v>2.7240000000000002</v>
      </c>
      <c r="BP11" s="3">
        <v>5066841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46113.660439814812</v>
      </c>
      <c r="D12">
        <v>241</v>
      </c>
      <c r="E12" t="s">
        <v>13</v>
      </c>
      <c r="F12">
        <v>0</v>
      </c>
      <c r="G12">
        <v>6.0679999999999996</v>
      </c>
      <c r="H12" s="3">
        <v>2647</v>
      </c>
      <c r="I12">
        <v>5.0000000000000001E-3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46113.660439814812</v>
      </c>
      <c r="R12">
        <v>241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46113.660439814812</v>
      </c>
      <c r="AF12">
        <v>241</v>
      </c>
      <c r="AG12" t="s">
        <v>13</v>
      </c>
      <c r="AH12">
        <v>0</v>
      </c>
      <c r="AI12">
        <v>12.314</v>
      </c>
      <c r="AJ12" s="3">
        <v>14342</v>
      </c>
      <c r="AK12">
        <v>2.5430000000000001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8">
        <v>48</v>
      </c>
      <c r="AT12" s="16">
        <f t="shared" si="0"/>
        <v>8.2584124541739996</v>
      </c>
      <c r="AU12" s="17">
        <f t="shared" si="1"/>
        <v>2715.4211511815602</v>
      </c>
      <c r="AW12" s="9">
        <f t="shared" si="2"/>
        <v>3.8906138600000002</v>
      </c>
      <c r="AX12" s="10">
        <f t="shared" si="3"/>
        <v>3383.9114391195999</v>
      </c>
      <c r="AZ12" s="11">
        <f t="shared" si="4"/>
        <v>3.0824486382599998</v>
      </c>
      <c r="BA12" s="12">
        <f t="shared" si="5"/>
        <v>2961.9095607527997</v>
      </c>
      <c r="BC12" s="14">
        <f t="shared" si="6"/>
        <v>6.0073611302369994</v>
      </c>
      <c r="BD12" s="15">
        <f t="shared" si="7"/>
        <v>3121.5800462565203</v>
      </c>
      <c r="BF12" s="16">
        <f t="shared" si="8"/>
        <v>8.2584124541739996</v>
      </c>
      <c r="BG12" s="17">
        <f t="shared" si="9"/>
        <v>2715.4211511815602</v>
      </c>
      <c r="BI12">
        <v>48</v>
      </c>
      <c r="BJ12" t="s">
        <v>38</v>
      </c>
      <c r="BK12" s="2">
        <v>46113.660439814812</v>
      </c>
      <c r="BL12">
        <v>241</v>
      </c>
      <c r="BM12" t="s">
        <v>13</v>
      </c>
      <c r="BN12">
        <v>0</v>
      </c>
      <c r="BO12">
        <v>2.879</v>
      </c>
      <c r="BP12" s="3">
        <v>822318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46113.68167824074</v>
      </c>
      <c r="D13">
        <v>315</v>
      </c>
      <c r="E13" t="s">
        <v>13</v>
      </c>
      <c r="F13">
        <v>0</v>
      </c>
      <c r="G13">
        <v>6.0670000000000002</v>
      </c>
      <c r="H13" s="3">
        <v>3672</v>
      </c>
      <c r="I13">
        <v>8.0000000000000002E-3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46113.68167824074</v>
      </c>
      <c r="R13">
        <v>315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46113.68167824074</v>
      </c>
      <c r="AF13">
        <v>315</v>
      </c>
      <c r="AG13" t="s">
        <v>13</v>
      </c>
      <c r="AH13">
        <v>0</v>
      </c>
      <c r="AI13">
        <v>12.327999999999999</v>
      </c>
      <c r="AJ13" s="3">
        <v>3138</v>
      </c>
      <c r="AK13">
        <v>0.628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8">
        <v>49</v>
      </c>
      <c r="AT13" s="16">
        <f t="shared" si="0"/>
        <v>10.904481969023999</v>
      </c>
      <c r="AU13" s="17">
        <f t="shared" si="1"/>
        <v>627.82902570475994</v>
      </c>
      <c r="AW13" s="9">
        <f t="shared" si="2"/>
        <v>2.5040553600000006</v>
      </c>
      <c r="AX13" s="10">
        <f t="shared" si="3"/>
        <v>739.46076323160003</v>
      </c>
      <c r="AZ13" s="11">
        <f t="shared" si="4"/>
        <v>5.966867989759999</v>
      </c>
      <c r="BA13" s="12">
        <f t="shared" si="5"/>
        <v>676.80114676879998</v>
      </c>
      <c r="BC13" s="14">
        <f t="shared" si="6"/>
        <v>9.631420078911999</v>
      </c>
      <c r="BD13" s="15">
        <f t="shared" si="7"/>
        <v>580.03940555092004</v>
      </c>
      <c r="BF13" s="16">
        <f t="shared" si="8"/>
        <v>10.904481969023999</v>
      </c>
      <c r="BG13" s="17">
        <f t="shared" si="9"/>
        <v>627.82902570475994</v>
      </c>
      <c r="BI13">
        <v>49</v>
      </c>
      <c r="BJ13" t="s">
        <v>39</v>
      </c>
      <c r="BK13" s="2">
        <v>46113.68167824074</v>
      </c>
      <c r="BL13">
        <v>315</v>
      </c>
      <c r="BM13" t="s">
        <v>13</v>
      </c>
      <c r="BN13">
        <v>0</v>
      </c>
      <c r="BO13">
        <v>2.8860000000000001</v>
      </c>
      <c r="BP13" s="3">
        <v>711838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46113.702881944446</v>
      </c>
      <c r="D14">
        <v>49</v>
      </c>
      <c r="E14" t="s">
        <v>13</v>
      </c>
      <c r="F14">
        <v>0</v>
      </c>
      <c r="G14">
        <v>6.0570000000000004</v>
      </c>
      <c r="H14" s="3">
        <v>6592</v>
      </c>
      <c r="I14">
        <v>1.2999999999999999E-2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46113.702881944446</v>
      </c>
      <c r="R14">
        <v>49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46113.702881944446</v>
      </c>
      <c r="AF14">
        <v>49</v>
      </c>
      <c r="AG14" t="s">
        <v>13</v>
      </c>
      <c r="AH14">
        <v>0</v>
      </c>
      <c r="AI14">
        <v>12.305</v>
      </c>
      <c r="AJ14" s="3">
        <v>17868</v>
      </c>
      <c r="AK14">
        <v>3.145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8">
        <v>50</v>
      </c>
      <c r="AT14" s="16">
        <f t="shared" si="0"/>
        <v>18.399770120704002</v>
      </c>
      <c r="AU14" s="17">
        <f t="shared" si="1"/>
        <v>3374.2641095249601</v>
      </c>
      <c r="AW14" s="9">
        <f t="shared" si="2"/>
        <v>4.7745305600000005</v>
      </c>
      <c r="AX14" s="10">
        <f t="shared" si="3"/>
        <v>4192.4550401135994</v>
      </c>
      <c r="AZ14" s="11">
        <f t="shared" si="4"/>
        <v>14.842164072959999</v>
      </c>
      <c r="BA14" s="12">
        <f t="shared" si="5"/>
        <v>3677.9479276447996</v>
      </c>
      <c r="BC14" s="14">
        <f t="shared" si="6"/>
        <v>20.053402762752</v>
      </c>
      <c r="BD14" s="15">
        <f t="shared" si="7"/>
        <v>3918.8772456443203</v>
      </c>
      <c r="BF14" s="16">
        <f t="shared" si="8"/>
        <v>18.399770120704002</v>
      </c>
      <c r="BG14" s="17">
        <f t="shared" si="9"/>
        <v>3374.2641095249601</v>
      </c>
      <c r="BI14">
        <v>50</v>
      </c>
      <c r="BJ14" t="s">
        <v>40</v>
      </c>
      <c r="BK14" s="2">
        <v>46113.702881944446</v>
      </c>
      <c r="BL14">
        <v>49</v>
      </c>
      <c r="BM14" t="s">
        <v>13</v>
      </c>
      <c r="BN14">
        <v>0</v>
      </c>
      <c r="BO14">
        <v>2.879</v>
      </c>
      <c r="BP14" s="3">
        <v>820043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46113.724108796298</v>
      </c>
      <c r="D15">
        <v>265</v>
      </c>
      <c r="E15" t="s">
        <v>13</v>
      </c>
      <c r="F15">
        <v>0</v>
      </c>
      <c r="G15">
        <v>6.0960000000000001</v>
      </c>
      <c r="H15" s="3">
        <v>1318</v>
      </c>
      <c r="I15">
        <v>3.0000000000000001E-3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46113.724108796298</v>
      </c>
      <c r="R15">
        <v>265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46113.724108796298</v>
      </c>
      <c r="AF15">
        <v>265</v>
      </c>
      <c r="AG15" t="s">
        <v>13</v>
      </c>
      <c r="AH15">
        <v>0</v>
      </c>
      <c r="AI15">
        <v>12.327999999999999</v>
      </c>
      <c r="AJ15" s="3">
        <v>4240</v>
      </c>
      <c r="AK15">
        <v>0.81699999999999995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8">
        <v>51</v>
      </c>
      <c r="AT15" s="16">
        <f t="shared" si="0"/>
        <v>4.8159383214640004</v>
      </c>
      <c r="AU15" s="17">
        <f t="shared" si="1"/>
        <v>832.76141830400002</v>
      </c>
      <c r="AW15" s="9">
        <f t="shared" ref="AW15:AW16" si="10">IF(H15&lt;10000,((H15^2*0.00000054)+(H15*-0.004765)+(12.72)),(IF(H15&lt;200000,((H15^2*-0.000000001577)+(H15*0.003043)+(-10.42)),(IF(H15&lt;8000000,((H15^2*-0.0000000000186)+(H15*0.00194)+(154.1)),((V15^2*-0.00000002)+(V15*0.2565)+(-1032)))))))</f>
        <v>7.3777769600000012</v>
      </c>
      <c r="AX15" s="10">
        <f t="shared" ref="AX15:AX16" si="11">IF(AJ15&lt;45000,((-0.0000004561*AJ15^2)+(0.244*AJ15)+(-21.72)),((-0.0000000409*AJ15^2)+(0.2477*AJ15)+(-1777)))</f>
        <v>1004.64041664</v>
      </c>
      <c r="AZ15" s="11">
        <f t="shared" ref="AZ15:AZ16" si="12">IF(H15&lt;10000,((H15^2*0.00000005714)+(H15*0.002453)+(-3.811)),(IF(H15&lt;200000,((H15^2*-0.0000000002888)+(H15*0.002899)+(-4.321)),(IF(H15&lt;8000000,((H15^2*-0.0000000000062)+(H15*0.002143)+(157)),((V15^2*-0.000000031)+(V15*0.2771)+(-709.5)))))))</f>
        <v>-0.47868673464000011</v>
      </c>
      <c r="BA15" s="12">
        <f t="shared" ref="BA15:BA16" si="13">IF(AJ15&lt;45000,((-0.0000000598*AJ15^2)+(0.205*AJ15)+(34.1)),((-0.00000002403*AJ15^2)+(0.2063*AJ15)+(-550.7)))</f>
        <v>902.22493951999991</v>
      </c>
      <c r="BC15" s="14">
        <f t="shared" ref="BC15:BC16" si="14">IF(H15&lt;10000,((H15^2*0.000000008493)+(H15*0.003482)+(-3.269)),(IF(H15&lt;200000,((H15^2*-0.000000000263)+(H15*0.002682)+(3.179)),(IF(H15&lt;8000000,((H15^2*-0.000000000005099)+(H15*0.002054)+(174.8)),((V15^2*-0.00000001014)+(V15*0.2415)+(1123)))))))</f>
        <v>1.3350293941319995</v>
      </c>
      <c r="BD15" s="15">
        <f t="shared" ref="BD15:BD16" si="15">IF(AJ15&lt;45000,((-0.00000004907*AJ15^2)+(0.2277*AJ15)+(-134)),((-0.00000001062*AJ15^2)+(0.2147*AJ15)+(590.6)))</f>
        <v>830.56583916800014</v>
      </c>
      <c r="BF15" s="16">
        <f t="shared" si="8"/>
        <v>4.8159383214640004</v>
      </c>
      <c r="BG15" s="17">
        <f t="shared" si="9"/>
        <v>832.76141830400002</v>
      </c>
      <c r="BI15">
        <v>51</v>
      </c>
      <c r="BJ15" t="s">
        <v>41</v>
      </c>
      <c r="BK15" s="2">
        <v>46113.724108796298</v>
      </c>
      <c r="BL15">
        <v>265</v>
      </c>
      <c r="BM15" t="s">
        <v>13</v>
      </c>
      <c r="BN15">
        <v>0</v>
      </c>
      <c r="BO15">
        <v>2.895</v>
      </c>
      <c r="BP15" s="3">
        <v>668380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46113.745335648149</v>
      </c>
      <c r="D16">
        <v>356</v>
      </c>
      <c r="E16" t="s">
        <v>13</v>
      </c>
      <c r="F16">
        <v>0</v>
      </c>
      <c r="G16">
        <v>6.0549999999999997</v>
      </c>
      <c r="H16" s="3">
        <v>6852</v>
      </c>
      <c r="I16">
        <v>1.4E-2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46113.745335648149</v>
      </c>
      <c r="R16">
        <v>356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46113.745335648149</v>
      </c>
      <c r="AF16">
        <v>356</v>
      </c>
      <c r="AG16" t="s">
        <v>13</v>
      </c>
      <c r="AH16">
        <v>0</v>
      </c>
      <c r="AI16">
        <v>12.308999999999999</v>
      </c>
      <c r="AJ16" s="3">
        <v>17241</v>
      </c>
      <c r="AK16">
        <v>3.0379999999999998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8">
        <v>52</v>
      </c>
      <c r="AT16" s="16">
        <f t="shared" si="0"/>
        <v>19.064088056544001</v>
      </c>
      <c r="AU16" s="17">
        <f t="shared" si="1"/>
        <v>3257.0423519789897</v>
      </c>
      <c r="AW16" s="9">
        <f t="shared" si="10"/>
        <v>5.4231681600000012</v>
      </c>
      <c r="AX16" s="10">
        <f t="shared" si="11"/>
        <v>4049.5073258559005</v>
      </c>
      <c r="AZ16" s="11">
        <f t="shared" si="12"/>
        <v>15.679673514560001</v>
      </c>
      <c r="BA16" s="12">
        <f t="shared" si="13"/>
        <v>3550.7293255561995</v>
      </c>
      <c r="BC16" s="14">
        <f t="shared" si="14"/>
        <v>20.988409534671995</v>
      </c>
      <c r="BD16" s="15">
        <f t="shared" si="15"/>
        <v>3777.18954038533</v>
      </c>
      <c r="BF16" s="16">
        <f t="shared" si="8"/>
        <v>19.064088056544001</v>
      </c>
      <c r="BG16" s="17">
        <f t="shared" si="9"/>
        <v>3257.0423519789897</v>
      </c>
      <c r="BI16">
        <v>52</v>
      </c>
      <c r="BJ16" t="s">
        <v>42</v>
      </c>
      <c r="BK16" s="2">
        <v>46113.745335648149</v>
      </c>
      <c r="BL16">
        <v>356</v>
      </c>
      <c r="BM16" t="s">
        <v>13</v>
      </c>
      <c r="BN16">
        <v>0</v>
      </c>
      <c r="BO16">
        <v>2.879</v>
      </c>
      <c r="BP16" s="3">
        <v>833768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46113.766550925924</v>
      </c>
      <c r="D17">
        <v>183</v>
      </c>
      <c r="E17" t="s">
        <v>13</v>
      </c>
      <c r="F17">
        <v>0</v>
      </c>
      <c r="G17">
        <v>6.0659999999999998</v>
      </c>
      <c r="H17" s="3">
        <v>3427</v>
      </c>
      <c r="I17">
        <v>7.0000000000000001E-3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46113.766550925924</v>
      </c>
      <c r="R17">
        <v>183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46113.766550925924</v>
      </c>
      <c r="AF17">
        <v>183</v>
      </c>
      <c r="AG17" t="s">
        <v>13</v>
      </c>
      <c r="AH17">
        <v>0</v>
      </c>
      <c r="AI17">
        <v>12.323</v>
      </c>
      <c r="AJ17" s="3">
        <v>8939</v>
      </c>
      <c r="AK17">
        <v>1.62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8">
        <v>53</v>
      </c>
      <c r="AT17" s="16">
        <f t="shared" si="0"/>
        <v>10.272716562094001</v>
      </c>
      <c r="AU17" s="17">
        <f t="shared" si="1"/>
        <v>1707.5821257545902</v>
      </c>
      <c r="AW17" s="9">
        <f t="shared" ref="AW17:AW23" si="16">IF(H17&lt;10000,((H17^2*0.00000054)+(H17*-0.004765)+(12.72)),(IF(H17&lt;200000,((H17^2*-0.000000001577)+(H17*0.003043)+(-10.42)),(IF(H17&lt;8000000,((H17^2*-0.0000000000186)+(H17*0.00194)+(154.1)),((V17^2*-0.00000002)+(V17*0.2565)+(-1032)))))))</f>
        <v>2.732282660000001</v>
      </c>
      <c r="AX17" s="10">
        <f t="shared" ref="AX17:AX23" si="17">IF(AJ17&lt;45000,((-0.0000004561*AJ17^2)+(0.244*AJ17)+(-21.72)),((-0.0000000409*AJ17^2)+(0.2477*AJ17)+(-1777)))</f>
        <v>2122.9510006519004</v>
      </c>
      <c r="AZ17" s="11">
        <f t="shared" ref="AZ17:AZ23" si="18">IF(H17&lt;10000,((H17^2*0.00000005714)+(H17*0.002453)+(-3.811)),(IF(H17&lt;200000,((H17^2*-0.0000000002888)+(H17*0.002899)+(-4.321)),(IF(H17&lt;8000000,((H17^2*-0.0000000000062)+(H17*0.002143)+(157)),((V17^2*-0.000000031)+(V17*0.2771)+(-709.5)))))))</f>
        <v>5.2665019590599993</v>
      </c>
      <c r="BA17" s="12">
        <f t="shared" ref="BA17:BA23" si="19">IF(AJ17&lt;45000,((-0.0000000598*AJ17^2)+(0.205*AJ17)+(34.1)),((-0.00000002403*AJ17^2)+(0.2063*AJ17)+(-550.7)))</f>
        <v>1861.8166378841997</v>
      </c>
      <c r="BC17" s="14">
        <f t="shared" ref="BC17:BC23" si="20">IF(H17&lt;10000,((H17^2*0.000000008493)+(H17*0.003482)+(-3.269)),(IF(H17&lt;200000,((H17^2*-0.000000000263)+(H17*0.002682)+(3.179)),(IF(H17&lt;8000000,((H17^2*-0.000000000005099)+(H17*0.002054)+(174.8)),((V17^2*-0.00000001014)+(V17*0.2415)+(1123)))))))</f>
        <v>8.7635585861969982</v>
      </c>
      <c r="BD17" s="15">
        <f t="shared" ref="BD17:BD23" si="21">IF(AJ17&lt;45000,((-0.00000004907*AJ17^2)+(0.2277*AJ17)+(-134)),((-0.00000001062*AJ17^2)+(0.2147*AJ17)+(590.6)))</f>
        <v>1897.4893262705302</v>
      </c>
      <c r="BF17" s="16">
        <f t="shared" si="8"/>
        <v>10.272716562094001</v>
      </c>
      <c r="BG17" s="17">
        <f t="shared" si="9"/>
        <v>1707.5821257545902</v>
      </c>
      <c r="BI17">
        <v>53</v>
      </c>
      <c r="BJ17" t="s">
        <v>43</v>
      </c>
      <c r="BK17" s="2">
        <v>46113.766550925924</v>
      </c>
      <c r="BL17">
        <v>183</v>
      </c>
      <c r="BM17" t="s">
        <v>13</v>
      </c>
      <c r="BN17">
        <v>0</v>
      </c>
      <c r="BO17">
        <v>2.8849999999999998</v>
      </c>
      <c r="BP17" s="3">
        <v>728611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46113.787777777776</v>
      </c>
      <c r="D18">
        <v>334</v>
      </c>
      <c r="E18" t="s">
        <v>13</v>
      </c>
      <c r="F18">
        <v>0</v>
      </c>
      <c r="G18">
        <v>6.0570000000000004</v>
      </c>
      <c r="H18" s="3">
        <v>3859</v>
      </c>
      <c r="I18">
        <v>8.0000000000000002E-3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46113.787777777776</v>
      </c>
      <c r="R18">
        <v>334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46113.787777777776</v>
      </c>
      <c r="AF18">
        <v>334</v>
      </c>
      <c r="AG18" t="s">
        <v>13</v>
      </c>
      <c r="AH18">
        <v>0</v>
      </c>
      <c r="AI18">
        <v>12.321</v>
      </c>
      <c r="AJ18" s="3">
        <v>3899</v>
      </c>
      <c r="AK18">
        <v>0.75800000000000001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8">
        <v>54</v>
      </c>
      <c r="AT18" s="16">
        <f t="shared" si="0"/>
        <v>11.386386553966</v>
      </c>
      <c r="AU18" s="17">
        <f t="shared" si="1"/>
        <v>769.33838677379003</v>
      </c>
      <c r="AW18" s="9">
        <f t="shared" si="16"/>
        <v>2.3734807399999998</v>
      </c>
      <c r="AX18" s="10">
        <f t="shared" si="17"/>
        <v>922.70227612389999</v>
      </c>
      <c r="AZ18" s="11">
        <f t="shared" si="18"/>
        <v>6.5060490803400004</v>
      </c>
      <c r="BA18" s="12">
        <f t="shared" si="19"/>
        <v>832.48590838019993</v>
      </c>
      <c r="BC18" s="14">
        <f t="shared" si="20"/>
        <v>10.294514745332998</v>
      </c>
      <c r="BD18" s="15">
        <f t="shared" si="21"/>
        <v>753.05632799693001</v>
      </c>
      <c r="BF18" s="16">
        <f t="shared" si="8"/>
        <v>11.386386553966</v>
      </c>
      <c r="BG18" s="17">
        <f t="shared" si="9"/>
        <v>769.33838677379003</v>
      </c>
      <c r="BI18">
        <v>54</v>
      </c>
      <c r="BJ18" t="s">
        <v>44</v>
      </c>
      <c r="BK18" s="2">
        <v>46113.787777777776</v>
      </c>
      <c r="BL18">
        <v>334</v>
      </c>
      <c r="BM18" t="s">
        <v>13</v>
      </c>
      <c r="BN18">
        <v>0</v>
      </c>
      <c r="BO18">
        <v>2.8820000000000001</v>
      </c>
      <c r="BP18" s="3">
        <v>778899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46113.808993055558</v>
      </c>
      <c r="D19">
        <v>269</v>
      </c>
      <c r="E19" t="s">
        <v>13</v>
      </c>
      <c r="F19">
        <v>0</v>
      </c>
      <c r="G19">
        <v>6.0620000000000003</v>
      </c>
      <c r="H19" s="3">
        <v>2434</v>
      </c>
      <c r="I19">
        <v>5.0000000000000001E-3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46113.808993055558</v>
      </c>
      <c r="R19">
        <v>269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46113.808993055558</v>
      </c>
      <c r="AF19">
        <v>269</v>
      </c>
      <c r="AG19" t="s">
        <v>13</v>
      </c>
      <c r="AH19">
        <v>0</v>
      </c>
      <c r="AI19">
        <v>12.31</v>
      </c>
      <c r="AJ19" s="3">
        <v>13290</v>
      </c>
      <c r="AK19">
        <v>2.363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8">
        <v>55</v>
      </c>
      <c r="AT19" s="16">
        <f t="shared" si="0"/>
        <v>7.7075669418160011</v>
      </c>
      <c r="AU19" s="17">
        <f t="shared" si="1"/>
        <v>2519.0243765390001</v>
      </c>
      <c r="AW19" s="9">
        <f t="shared" si="16"/>
        <v>4.3211422400000004</v>
      </c>
      <c r="AX19" s="10">
        <f t="shared" si="17"/>
        <v>3140.4817479899998</v>
      </c>
      <c r="AZ19" s="11">
        <f t="shared" si="18"/>
        <v>2.4981197018399994</v>
      </c>
      <c r="BA19" s="12">
        <f t="shared" si="19"/>
        <v>2747.9878788199999</v>
      </c>
      <c r="BC19" s="14">
        <f t="shared" si="20"/>
        <v>5.2565035555079991</v>
      </c>
      <c r="BD19" s="15">
        <f t="shared" si="21"/>
        <v>2883.466055413</v>
      </c>
      <c r="BF19" s="16">
        <f t="shared" si="8"/>
        <v>7.7075669418160011</v>
      </c>
      <c r="BG19" s="17">
        <f t="shared" si="9"/>
        <v>2519.0243765390001</v>
      </c>
      <c r="BI19">
        <v>55</v>
      </c>
      <c r="BJ19" t="s">
        <v>45</v>
      </c>
      <c r="BK19" s="2">
        <v>46113.808993055558</v>
      </c>
      <c r="BL19">
        <v>269</v>
      </c>
      <c r="BM19" t="s">
        <v>13</v>
      </c>
      <c r="BN19">
        <v>0</v>
      </c>
      <c r="BO19">
        <v>2.8809999999999998</v>
      </c>
      <c r="BP19" s="3">
        <v>800019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46113.830208333333</v>
      </c>
      <c r="D20">
        <v>283</v>
      </c>
      <c r="E20" t="s">
        <v>13</v>
      </c>
      <c r="F20">
        <v>0</v>
      </c>
      <c r="G20">
        <v>6.056</v>
      </c>
      <c r="H20" s="3">
        <v>3759</v>
      </c>
      <c r="I20">
        <v>8.0000000000000002E-3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46113.830208333333</v>
      </c>
      <c r="R20">
        <v>283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46113.830208333333</v>
      </c>
      <c r="AF20">
        <v>283</v>
      </c>
      <c r="AG20" t="s">
        <v>13</v>
      </c>
      <c r="AH20">
        <v>0</v>
      </c>
      <c r="AI20">
        <v>12.331</v>
      </c>
      <c r="AJ20" s="3">
        <v>3768</v>
      </c>
      <c r="AK20">
        <v>0.73599999999999999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8">
        <v>56</v>
      </c>
      <c r="AT20" s="16">
        <f t="shared" si="0"/>
        <v>11.128715879165998</v>
      </c>
      <c r="AU20" s="17">
        <f t="shared" si="1"/>
        <v>744.97574012096004</v>
      </c>
      <c r="AW20" s="9">
        <f t="shared" si="16"/>
        <v>2.4386087400000012</v>
      </c>
      <c r="AX20" s="10">
        <f t="shared" si="17"/>
        <v>891.19637247359992</v>
      </c>
      <c r="AZ20" s="11">
        <f t="shared" si="18"/>
        <v>6.2172198283399993</v>
      </c>
      <c r="BA20" s="12">
        <f t="shared" si="19"/>
        <v>805.69097012479995</v>
      </c>
      <c r="BC20" s="14">
        <f t="shared" si="20"/>
        <v>9.9398447779329988</v>
      </c>
      <c r="BD20" s="15">
        <f t="shared" si="21"/>
        <v>723.27691277632005</v>
      </c>
      <c r="BF20" s="16">
        <f t="shared" si="8"/>
        <v>11.128715879165998</v>
      </c>
      <c r="BG20" s="17">
        <f t="shared" si="9"/>
        <v>744.97574012096004</v>
      </c>
      <c r="BI20">
        <v>56</v>
      </c>
      <c r="BJ20" t="s">
        <v>46</v>
      </c>
      <c r="BK20" s="2">
        <v>46113.830208333333</v>
      </c>
      <c r="BL20">
        <v>283</v>
      </c>
      <c r="BM20" t="s">
        <v>13</v>
      </c>
      <c r="BN20">
        <v>0</v>
      </c>
      <c r="BO20">
        <v>2.88</v>
      </c>
      <c r="BP20" s="3">
        <v>803950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46113.851435185185</v>
      </c>
      <c r="D21">
        <v>273</v>
      </c>
      <c r="E21" t="s">
        <v>13</v>
      </c>
      <c r="F21">
        <v>0</v>
      </c>
      <c r="G21">
        <v>6.06</v>
      </c>
      <c r="H21" s="3">
        <v>3861</v>
      </c>
      <c r="I21">
        <v>8.0000000000000002E-3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46113.851435185185</v>
      </c>
      <c r="R21">
        <v>273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46113.851435185185</v>
      </c>
      <c r="AF21">
        <v>273</v>
      </c>
      <c r="AG21" t="s">
        <v>13</v>
      </c>
      <c r="AH21">
        <v>0</v>
      </c>
      <c r="AI21">
        <v>12.315</v>
      </c>
      <c r="AJ21" s="3">
        <v>9455</v>
      </c>
      <c r="AK21">
        <v>1.708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8">
        <v>57</v>
      </c>
      <c r="AT21" s="16">
        <f t="shared" si="0"/>
        <v>11.391539209806</v>
      </c>
      <c r="AU21" s="17">
        <f t="shared" si="1"/>
        <v>1803.74301952475</v>
      </c>
      <c r="AW21" s="9">
        <f t="shared" si="16"/>
        <v>2.3722883400000008</v>
      </c>
      <c r="AX21" s="10">
        <f t="shared" si="17"/>
        <v>2244.5260168975001</v>
      </c>
      <c r="AZ21" s="11">
        <f t="shared" si="18"/>
        <v>6.5118373219399999</v>
      </c>
      <c r="BA21" s="12">
        <f t="shared" si="19"/>
        <v>1967.0290579049997</v>
      </c>
      <c r="BC21" s="14">
        <f t="shared" si="20"/>
        <v>10.301609877253</v>
      </c>
      <c r="BD21" s="15">
        <f t="shared" si="21"/>
        <v>2014.5167879832502</v>
      </c>
      <c r="BF21" s="16">
        <f t="shared" si="8"/>
        <v>11.391539209806</v>
      </c>
      <c r="BG21" s="17">
        <f t="shared" si="9"/>
        <v>1803.74301952475</v>
      </c>
      <c r="BI21">
        <v>57</v>
      </c>
      <c r="BJ21" t="s">
        <v>47</v>
      </c>
      <c r="BK21" s="2">
        <v>46113.851435185185</v>
      </c>
      <c r="BL21">
        <v>273</v>
      </c>
      <c r="BM21" t="s">
        <v>13</v>
      </c>
      <c r="BN21">
        <v>0</v>
      </c>
      <c r="BO21">
        <v>2.8610000000000002</v>
      </c>
      <c r="BP21" s="3">
        <v>1153389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58</v>
      </c>
      <c r="B22" t="s">
        <v>48</v>
      </c>
      <c r="C22" s="2">
        <v>46113.872673611113</v>
      </c>
      <c r="D22">
        <v>203</v>
      </c>
      <c r="E22" t="s">
        <v>13</v>
      </c>
      <c r="F22">
        <v>0</v>
      </c>
      <c r="G22">
        <v>6.0670000000000002</v>
      </c>
      <c r="H22" s="3">
        <v>1509</v>
      </c>
      <c r="I22">
        <v>3.0000000000000001E-3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48</v>
      </c>
      <c r="Q22" s="2">
        <v>46113.872673611113</v>
      </c>
      <c r="R22">
        <v>203</v>
      </c>
      <c r="S22" t="s">
        <v>13</v>
      </c>
      <c r="T22">
        <v>0</v>
      </c>
      <c r="U22" t="s">
        <v>14</v>
      </c>
      <c r="V22" s="3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48</v>
      </c>
      <c r="AE22" s="2">
        <v>46113.872673611113</v>
      </c>
      <c r="AF22">
        <v>203</v>
      </c>
      <c r="AG22" t="s">
        <v>13</v>
      </c>
      <c r="AH22">
        <v>0</v>
      </c>
      <c r="AI22">
        <v>12.327</v>
      </c>
      <c r="AJ22" s="3">
        <v>4375</v>
      </c>
      <c r="AK22">
        <v>0.84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8">
        <v>58</v>
      </c>
      <c r="AT22" s="16">
        <f t="shared" si="0"/>
        <v>5.311487921166</v>
      </c>
      <c r="AU22" s="17">
        <f t="shared" si="1"/>
        <v>857.87254296875005</v>
      </c>
      <c r="AW22" s="9">
        <f t="shared" si="16"/>
        <v>6.7592387400000007</v>
      </c>
      <c r="AX22" s="10">
        <f t="shared" si="17"/>
        <v>1037.0499609374999</v>
      </c>
      <c r="AZ22" s="11">
        <f t="shared" si="18"/>
        <v>2.0689408339999993E-2</v>
      </c>
      <c r="BA22" s="12">
        <f t="shared" si="19"/>
        <v>929.83039062500006</v>
      </c>
      <c r="BC22" s="14">
        <f t="shared" si="20"/>
        <v>2.0046772489329996</v>
      </c>
      <c r="BD22" s="15">
        <f t="shared" si="21"/>
        <v>861.24826953125012</v>
      </c>
      <c r="BF22" s="16">
        <f t="shared" si="8"/>
        <v>5.311487921166</v>
      </c>
      <c r="BG22" s="17">
        <f t="shared" si="9"/>
        <v>857.87254296875005</v>
      </c>
      <c r="BI22">
        <v>58</v>
      </c>
      <c r="BJ22" t="s">
        <v>48</v>
      </c>
      <c r="BK22" s="2">
        <v>46113.872673611113</v>
      </c>
      <c r="BL22">
        <v>203</v>
      </c>
      <c r="BM22" t="s">
        <v>13</v>
      </c>
      <c r="BN22">
        <v>0</v>
      </c>
      <c r="BO22">
        <v>2.8730000000000002</v>
      </c>
      <c r="BP22" s="3">
        <v>923606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A23">
        <v>59</v>
      </c>
      <c r="B23" t="s">
        <v>49</v>
      </c>
      <c r="C23" s="2">
        <v>46113.893888888888</v>
      </c>
      <c r="D23">
        <v>152</v>
      </c>
      <c r="E23" t="s">
        <v>13</v>
      </c>
      <c r="F23">
        <v>0</v>
      </c>
      <c r="G23">
        <v>6.0590000000000002</v>
      </c>
      <c r="H23" s="3">
        <v>4205</v>
      </c>
      <c r="I23">
        <v>8.9999999999999993E-3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49</v>
      </c>
      <c r="Q23" s="2">
        <v>46113.893888888888</v>
      </c>
      <c r="R23">
        <v>152</v>
      </c>
      <c r="S23" t="s">
        <v>13</v>
      </c>
      <c r="T23">
        <v>0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49</v>
      </c>
      <c r="AE23" s="2">
        <v>46113.893888888888</v>
      </c>
      <c r="AF23">
        <v>152</v>
      </c>
      <c r="AG23" t="s">
        <v>13</v>
      </c>
      <c r="AH23">
        <v>0</v>
      </c>
      <c r="AI23">
        <v>12.331</v>
      </c>
      <c r="AJ23" s="3">
        <v>4060</v>
      </c>
      <c r="AK23">
        <v>0.78600000000000003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8">
        <v>59</v>
      </c>
      <c r="AT23" s="16">
        <f t="shared" si="0"/>
        <v>12.277353959149998</v>
      </c>
      <c r="AU23" s="17">
        <f t="shared" si="1"/>
        <v>799.28194804400005</v>
      </c>
      <c r="AW23" s="9">
        <f t="shared" si="16"/>
        <v>2.2314685000000001</v>
      </c>
      <c r="AX23" s="10">
        <f t="shared" si="17"/>
        <v>961.40183003999994</v>
      </c>
      <c r="AZ23" s="11">
        <f t="shared" si="18"/>
        <v>7.5142159084999989</v>
      </c>
      <c r="BA23" s="12">
        <f t="shared" si="19"/>
        <v>865.41428071999997</v>
      </c>
      <c r="BC23" s="14">
        <f t="shared" si="20"/>
        <v>11.522983438324999</v>
      </c>
      <c r="BD23" s="15">
        <f t="shared" si="21"/>
        <v>789.65314974800015</v>
      </c>
      <c r="BF23" s="16">
        <f t="shared" si="8"/>
        <v>12.277353959149998</v>
      </c>
      <c r="BG23" s="17">
        <f t="shared" si="9"/>
        <v>799.28194804400005</v>
      </c>
      <c r="BI23">
        <v>59</v>
      </c>
      <c r="BJ23" t="s">
        <v>49</v>
      </c>
      <c r="BK23" s="2">
        <v>46113.893888888888</v>
      </c>
      <c r="BL23">
        <v>152</v>
      </c>
      <c r="BM23" t="s">
        <v>13</v>
      </c>
      <c r="BN23">
        <v>0</v>
      </c>
      <c r="BO23">
        <v>2.8769999999999998</v>
      </c>
      <c r="BP23" s="3">
        <v>853465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35">
      <c r="C24" s="2"/>
      <c r="H24" s="3"/>
      <c r="Q24" s="2"/>
      <c r="V24" s="3"/>
      <c r="AE24" s="2"/>
      <c r="AJ24" s="3"/>
      <c r="AS24" s="8"/>
      <c r="AT24" s="14"/>
      <c r="AU24" s="15"/>
      <c r="AW24" s="9"/>
      <c r="AX24" s="10"/>
      <c r="AZ24" s="11"/>
      <c r="BA24" s="12"/>
      <c r="BC24" s="14"/>
      <c r="BD24" s="15"/>
      <c r="BF24" s="14"/>
      <c r="BG24" s="15"/>
      <c r="BK24" s="2"/>
      <c r="BP24" s="3"/>
    </row>
    <row r="25" spans="1:73" x14ac:dyDescent="0.35">
      <c r="C25" s="2"/>
      <c r="H25" s="3"/>
      <c r="Q25" s="2"/>
      <c r="AE25" s="2"/>
      <c r="AJ25" s="3"/>
      <c r="AS25" s="8"/>
      <c r="AT25" s="14"/>
      <c r="AU25" s="15"/>
      <c r="AW25" s="9"/>
      <c r="AX25" s="10"/>
      <c r="AZ25" s="11"/>
      <c r="BA25" s="12"/>
      <c r="BC25" s="14"/>
      <c r="BD25" s="15"/>
      <c r="BF25" s="14"/>
      <c r="BG25" s="15"/>
      <c r="BK25" s="2"/>
      <c r="BP25" s="3"/>
    </row>
    <row r="26" spans="1:73" x14ac:dyDescent="0.35">
      <c r="C26" s="2"/>
      <c r="H26" s="3"/>
      <c r="Q26" s="2"/>
      <c r="V26" s="3"/>
      <c r="AE26" s="2"/>
      <c r="AJ26" s="3"/>
      <c r="AS26" s="8"/>
      <c r="AT26" s="14"/>
      <c r="AU26" s="15"/>
      <c r="AW26" s="9"/>
      <c r="AX26" s="10"/>
      <c r="AZ26" s="11"/>
      <c r="BA26" s="12"/>
      <c r="BC26" s="14"/>
      <c r="BD26" s="15"/>
      <c r="BF26" s="14"/>
      <c r="BG26" s="15"/>
      <c r="BK26" s="2"/>
      <c r="BP26" s="3"/>
    </row>
    <row r="27" spans="1:73" x14ac:dyDescent="0.35">
      <c r="C27" s="2"/>
      <c r="H27" s="3"/>
      <c r="Q27" s="2"/>
      <c r="AE27" s="2"/>
      <c r="AJ27" s="3"/>
      <c r="AS27" s="8"/>
      <c r="AT27" s="14"/>
      <c r="AU27" s="15"/>
      <c r="AW27" s="9"/>
      <c r="AX27" s="10"/>
      <c r="AZ27" s="11"/>
      <c r="BA27" s="12"/>
      <c r="BC27" s="14"/>
      <c r="BD27" s="15"/>
      <c r="BF27" s="14"/>
      <c r="BG27" s="15"/>
      <c r="BK27" s="2"/>
      <c r="BP27" s="3"/>
    </row>
    <row r="28" spans="1:73" x14ac:dyDescent="0.35">
      <c r="C28" s="2"/>
      <c r="H28" s="3"/>
      <c r="Q28" s="2"/>
      <c r="AE28" s="2"/>
      <c r="AJ28" s="3"/>
      <c r="AS28" s="8"/>
      <c r="AT28" s="14"/>
      <c r="AU28" s="15"/>
      <c r="AW28" s="9"/>
      <c r="AX28" s="10"/>
      <c r="AZ28" s="11"/>
      <c r="BA28" s="12"/>
      <c r="BC28" s="14"/>
      <c r="BD28" s="15"/>
      <c r="BF28" s="14"/>
      <c r="BG28" s="15"/>
      <c r="BK28" s="2"/>
      <c r="BP28" s="3"/>
    </row>
    <row r="29" spans="1:73" x14ac:dyDescent="0.35">
      <c r="C29" s="2"/>
      <c r="H29" s="3"/>
      <c r="Q29" s="2"/>
      <c r="V29" s="3"/>
      <c r="AE29" s="2"/>
      <c r="AJ29" s="3"/>
      <c r="AK29" s="13"/>
      <c r="AS29" s="8"/>
      <c r="AT29" s="14"/>
      <c r="AU29" s="15"/>
      <c r="AW29" s="9"/>
      <c r="AX29" s="10"/>
      <c r="AZ29" s="11"/>
      <c r="BA29" s="12"/>
      <c r="BC29" s="14"/>
      <c r="BD29" s="15"/>
      <c r="BF29" s="14"/>
      <c r="BG29" s="15"/>
      <c r="BK29" s="2"/>
      <c r="BP29" s="3"/>
    </row>
    <row r="30" spans="1:73" x14ac:dyDescent="0.35">
      <c r="C30" s="2"/>
      <c r="H30" s="3"/>
      <c r="Q30" s="2"/>
      <c r="AE30" s="2"/>
      <c r="AJ30" s="3"/>
      <c r="AS30" s="8"/>
      <c r="AT30" s="14"/>
      <c r="AU30" s="15"/>
      <c r="AW30" s="9"/>
      <c r="AX30" s="10"/>
      <c r="AZ30" s="11"/>
      <c r="BA30" s="12"/>
      <c r="BC30" s="14"/>
      <c r="BD30" s="15"/>
      <c r="BF30" s="14"/>
      <c r="BG30" s="15"/>
      <c r="BK30" s="2"/>
      <c r="BP30" s="3"/>
    </row>
    <row r="31" spans="1:73" x14ac:dyDescent="0.35">
      <c r="C31" s="2"/>
      <c r="H31" s="3"/>
      <c r="Q31" s="2"/>
      <c r="AE31" s="2"/>
      <c r="AJ31" s="3"/>
      <c r="AS31" s="8"/>
      <c r="AT31" s="14"/>
      <c r="AU31" s="15"/>
      <c r="AW31" s="9"/>
      <c r="AX31" s="10"/>
      <c r="AZ31" s="11"/>
      <c r="BA31" s="12"/>
      <c r="BC31" s="14"/>
      <c r="BD31" s="15"/>
      <c r="BF31" s="14"/>
      <c r="BG31" s="15"/>
      <c r="BK31" s="2"/>
      <c r="BP31" s="3"/>
    </row>
    <row r="32" spans="1:73" x14ac:dyDescent="0.35">
      <c r="C32" s="2"/>
      <c r="H32" s="3"/>
      <c r="Q32" s="2"/>
      <c r="V32" s="3"/>
      <c r="AE32" s="2"/>
      <c r="AJ32" s="3"/>
      <c r="AS32" s="8"/>
      <c r="AT32" s="14"/>
      <c r="AU32" s="15"/>
      <c r="AW32" s="9"/>
      <c r="AX32" s="10"/>
      <c r="AZ32" s="11"/>
      <c r="BA32" s="12"/>
      <c r="BC32" s="14"/>
      <c r="BD32" s="15"/>
      <c r="BF32" s="14"/>
      <c r="BG32" s="15"/>
      <c r="BK32" s="2"/>
      <c r="BP32" s="3"/>
    </row>
    <row r="33" spans="3:68" x14ac:dyDescent="0.35">
      <c r="C33" s="2"/>
      <c r="H33" s="3"/>
      <c r="Q33" s="2"/>
      <c r="V33" s="3"/>
      <c r="AE33" s="2"/>
      <c r="AJ33" s="3"/>
      <c r="AS33" s="8"/>
      <c r="AT33" s="14"/>
      <c r="AU33" s="15"/>
      <c r="AW33" s="9"/>
      <c r="AX33" s="10"/>
      <c r="AZ33" s="11"/>
      <c r="BA33" s="12"/>
      <c r="BC33" s="14"/>
      <c r="BD33" s="15"/>
      <c r="BF33" s="14"/>
      <c r="BG33" s="15"/>
      <c r="BK33" s="2"/>
      <c r="BP33" s="3"/>
    </row>
    <row r="34" spans="3:68" x14ac:dyDescent="0.35">
      <c r="C34" s="2"/>
      <c r="H34" s="3"/>
      <c r="Q34" s="2"/>
      <c r="AE34" s="2"/>
      <c r="AJ34" s="3"/>
      <c r="AS34" s="8"/>
      <c r="AT34" s="14"/>
      <c r="AU34" s="15"/>
      <c r="AW34" s="9"/>
      <c r="AX34" s="10"/>
      <c r="AZ34" s="11"/>
      <c r="BA34" s="12"/>
      <c r="BC34" s="14"/>
      <c r="BD34" s="15"/>
      <c r="BF34" s="14"/>
      <c r="BG34" s="15"/>
      <c r="BK34" s="2"/>
      <c r="BP34" s="3"/>
    </row>
    <row r="35" spans="3:68" x14ac:dyDescent="0.35">
      <c r="C35" s="2"/>
      <c r="H35" s="3"/>
      <c r="Q35" s="2"/>
      <c r="AE35" s="2"/>
      <c r="AS35" s="8"/>
      <c r="AT35" s="14"/>
      <c r="AU35" s="15"/>
      <c r="AW35" s="9"/>
      <c r="AX35" s="10"/>
      <c r="AZ35" s="11"/>
      <c r="BA35" s="12"/>
      <c r="BC35" s="14"/>
      <c r="BD35" s="15"/>
      <c r="BF35" s="14"/>
      <c r="BG35" s="15"/>
      <c r="BK35" s="2"/>
      <c r="BP35" s="3"/>
    </row>
    <row r="36" spans="3:68" x14ac:dyDescent="0.35">
      <c r="C36" s="2"/>
      <c r="H36" s="3"/>
      <c r="Q36" s="2"/>
      <c r="V36" s="3"/>
      <c r="AE36" s="2"/>
      <c r="AJ36" s="3"/>
      <c r="AS36" s="8"/>
      <c r="AT36" s="14"/>
      <c r="AU36" s="15"/>
      <c r="AW36" s="9"/>
      <c r="AX36" s="10"/>
      <c r="AZ36" s="11"/>
      <c r="BA36" s="12"/>
      <c r="BC36" s="14"/>
      <c r="BD36" s="15"/>
      <c r="BF36" s="14"/>
      <c r="BG36" s="15"/>
      <c r="BK36" s="2"/>
      <c r="BP36" s="3"/>
    </row>
    <row r="37" spans="3:68" x14ac:dyDescent="0.35">
      <c r="C37" s="2"/>
      <c r="H37" s="3"/>
      <c r="Q37" s="2"/>
      <c r="V37" s="3"/>
      <c r="AE37" s="2"/>
      <c r="AJ37" s="3"/>
      <c r="AS37" s="8"/>
      <c r="AT37" s="14"/>
      <c r="AU37" s="15"/>
      <c r="AW37" s="9"/>
      <c r="AX37" s="10"/>
      <c r="AZ37" s="11"/>
      <c r="BA37" s="12"/>
      <c r="BC37" s="14"/>
      <c r="BD37" s="15"/>
      <c r="BF37" s="14"/>
      <c r="BG37" s="15"/>
      <c r="BK37" s="2"/>
      <c r="BP37" s="3"/>
    </row>
    <row r="38" spans="3:68" x14ac:dyDescent="0.35">
      <c r="C38" s="2"/>
      <c r="H38" s="3"/>
      <c r="Q38" s="2"/>
      <c r="AE38" s="2"/>
      <c r="AJ38" s="3"/>
      <c r="AS38" s="8"/>
      <c r="AT38" s="14"/>
      <c r="AU38" s="15"/>
      <c r="AW38" s="9"/>
      <c r="AX38" s="10"/>
      <c r="AZ38" s="11"/>
      <c r="BA38" s="12"/>
      <c r="BC38" s="14"/>
      <c r="BD38" s="15"/>
      <c r="BF38" s="14"/>
      <c r="BG38" s="15"/>
      <c r="BK38" s="2"/>
      <c r="BP38" s="3"/>
    </row>
    <row r="39" spans="3:68" x14ac:dyDescent="0.35">
      <c r="C39" s="2"/>
      <c r="H39" s="3"/>
      <c r="Q39" s="2"/>
      <c r="V39" s="3"/>
      <c r="AE39" s="2"/>
      <c r="AJ39" s="3"/>
      <c r="AS39" s="8"/>
      <c r="AT39" s="14"/>
      <c r="AU39" s="15"/>
      <c r="AW39" s="9"/>
      <c r="AX39" s="10"/>
      <c r="AZ39" s="11"/>
      <c r="BA39" s="12"/>
      <c r="BC39" s="14"/>
      <c r="BD39" s="15"/>
      <c r="BF39" s="14"/>
      <c r="BG39" s="15"/>
      <c r="BK39" s="2"/>
      <c r="BP39" s="3"/>
    </row>
    <row r="40" spans="3:68" x14ac:dyDescent="0.35">
      <c r="C40" s="2"/>
      <c r="H40" s="3"/>
      <c r="Q40" s="2"/>
      <c r="AE40" s="2"/>
      <c r="AJ40" s="3"/>
      <c r="AS40" s="8"/>
      <c r="AT40" s="14"/>
      <c r="AU40" s="15"/>
      <c r="AW40" s="9"/>
      <c r="AX40" s="10"/>
      <c r="AZ40" s="11"/>
      <c r="BA40" s="12"/>
      <c r="BC40" s="14"/>
      <c r="BD40" s="15"/>
      <c r="BF40" s="14"/>
      <c r="BG40" s="15"/>
      <c r="BK40" s="2"/>
      <c r="BP40" s="3"/>
    </row>
    <row r="41" spans="3:68" x14ac:dyDescent="0.35">
      <c r="C41" s="2"/>
      <c r="H41" s="3"/>
      <c r="Q41" s="2"/>
      <c r="AE41" s="2"/>
      <c r="AJ41" s="3"/>
      <c r="AS41" s="8"/>
      <c r="AT41" s="14"/>
      <c r="AU41" s="15"/>
      <c r="AW41" s="9"/>
      <c r="AX41" s="10"/>
      <c r="AZ41" s="11"/>
      <c r="BA41" s="12"/>
      <c r="BC41" s="14"/>
      <c r="BD41" s="15"/>
      <c r="BF41" s="14"/>
      <c r="BG41" s="15"/>
      <c r="BK41" s="2"/>
      <c r="BP41" s="3"/>
    </row>
    <row r="42" spans="3:68" x14ac:dyDescent="0.35">
      <c r="C42" s="2"/>
      <c r="H42" s="3"/>
      <c r="Q42" s="2"/>
      <c r="AE42" s="2"/>
      <c r="AS42" s="8"/>
      <c r="AT42" s="14"/>
      <c r="AU42" s="15"/>
      <c r="AW42" s="9"/>
      <c r="AX42" s="10"/>
      <c r="AZ42" s="11"/>
      <c r="BA42" s="12"/>
      <c r="BC42" s="14"/>
      <c r="BD42" s="15"/>
      <c r="BF42" s="14"/>
      <c r="BG42" s="15"/>
      <c r="BK42" s="2"/>
      <c r="BP42" s="3"/>
    </row>
    <row r="43" spans="3:68" x14ac:dyDescent="0.35">
      <c r="C43" s="2"/>
      <c r="H43" s="3"/>
      <c r="Q43" s="2"/>
      <c r="AE43" s="2"/>
      <c r="AS43" s="8"/>
      <c r="AT43" s="14"/>
      <c r="AU43" s="15"/>
      <c r="AW43" s="9"/>
      <c r="AX43" s="10"/>
      <c r="AZ43" s="11"/>
      <c r="BA43" s="12"/>
      <c r="BC43" s="14"/>
      <c r="BD43" s="15"/>
      <c r="BF43" s="14"/>
      <c r="BG43" s="15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2026-04-02T15:43:52Z</dcterms:modified>
</cp:coreProperties>
</file>