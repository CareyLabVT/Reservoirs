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FF0331F2-16A7-425E-88DC-A9B73934F52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BG16" i="1" l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<sst xmlns="http://schemas.openxmlformats.org/spreadsheetml/2006/main" count="861" uniqueCount="64">
  <si>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</si>
  <si>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</si>
  <si>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</si>
  <si>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</si>
  <si>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</si>
  <si>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</si>
  <si>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</si>
  <si>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</si>
  <si>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</si>
  <si>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</si>
  <si>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</si>
  <si>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</si>
  <si>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</si>
  <si>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</si>
  <si>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</si>
  <si>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</si>
  <si>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</si>
  <si>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</si>
  <si>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</si>
  <si>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</si>
  <si>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</si>
  <si>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</si>
  <si>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</si>
  <si>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</si>
  <si>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</si>
  <si>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</si>
  <si>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</si>
  <si>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</si>
  <si>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</si>
  <si>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</si>
  <si>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</si>
  <si>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</si>
  <si>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</si>
  <si>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</si>
  <si>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</si>
  <si>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FMI20260414_001.gcd</t>
  </si>
  <si>
    <t>FMI20260414_002.gcd</t>
  </si>
  <si>
    <t>FMI20260414_003.gcd</t>
  </si>
  <si>
    <t>FMI20260414_004.gcd</t>
  </si>
  <si>
    <t>FMI20260414_005.gcd</t>
  </si>
  <si>
    <t>FMI20260414_006.gcd</t>
  </si>
  <si>
    <t>FMI20260414_007.gcd</t>
  </si>
  <si>
    <t>FMI20260414_008.gcd</t>
  </si>
  <si>
    <t>FMI20260414_009.gcd</t>
  </si>
  <si>
    <t>FMI20260414_010.gcd</t>
  </si>
  <si>
    <t>FMI20260414_011.gcd</t>
  </si>
  <si>
    <t>FMI20260414_012.gcd</t>
  </si>
  <si>
    <t>FMI20260414_013.gcd</t>
  </si>
  <si>
    <t>FMI20260414_014.gcd</t>
  </si>
  <si>
    <t>FMI20260414_015.gcd</t>
  </si>
  <si>
    <t>FMI20260414_016.gcd</t>
  </si>
  <si>
    <t>FMI20260414_017.gcd</t>
  </si>
  <si>
    <t>FMI20260414_018.gcd</t>
  </si>
  <si>
    <t>FMI20260414_019.gcd</t>
  </si>
  <si>
    <t>FMI20260414_020.gcd</t>
  </si>
  <si>
    <t>FMI20260414_021.gcd</t>
  </si>
  <si>
    <t>FMI20260414_022.gcd</t>
  </si>
  <si>
    <t>FMI20260414_023.gcd</t>
  </si>
  <si>
    <t>FMI20260414_024.gcd</t>
  </si>
  <si>
    <t>FMI20260414_025.gcd</t>
  </si>
  <si>
    <t>FMI20260414_026.gcd</t>
  </si>
  <si>
    <t>FMI20260414_027.gcd</t>
  </si>
  <si>
    <t>FMI20260414_028.gcd</t>
  </si>
  <si>
    <t>FMI20260414_029.gcd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</si>
</sst>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W1" workbookViewId="0">
      <selection activeCell="AQ41" sqref="AQ4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46126.515844907408</v>
      </c>
      <c r="D9" t="s">
        <v>31</v>
      </c>
      <c r="E9" t="s">
        <v>13</v>
      </c>
      <c r="F9">
        <v>0</v>
      </c>
      <c r="G9">
        <v>6.0910000000000002</v>
      </c>
      <c r="H9" s="3">
        <v>1739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46126.515844907408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46126.515844907408</v>
      </c>
      <c r="AF9" t="s">
        <v>31</v>
      </c>
      <c r="AG9" t="s">
        <v>13</v>
      </c>
      <c r="AH9">
        <v>0</v>
      </c>
      <c r="AI9">
        <v>12.366</v>
      </c>
      <c r="AJ9" s="3">
        <v>2136</v>
      </c>
      <c r="AK9">
        <v>0.45700000000000002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9" si="0">IF($H9&lt;10000,(($H9^2*-0.000000003714)+($H9*0.002605)+(1.389)),(IF($H9&lt;200000,(($H9^2*-0.0000000003764)+($H9*0.00218)+(3.158)),(IF($H9&lt;8000000,(($H9^2*-0.000000000004719)+($H9*0.001816)+(146.1)),(($V9^2*0.000000002578)+($V9*0.2173)+(2294)))))))</f>
        <v>5.9078634146060001</v>
      </c>
      <c r="AU9" s="17">
        <f t="shared" ref="AU9:AU29" si="1">IF($AJ9&lt;45000,((0.00000003579*$AJ9^2)+(0.1857*$AJ9)+(44.75)),((0.0000000022829*$AJ9^2)+(0.1634*$AJ9)+(1620)))</f>
        <v>441.56849173184003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6.0666903399999992</v>
      </c>
      <c r="AX9" s="10">
        <f t="shared" ref="AX9:AX14" si="3">IF(AJ9&lt;45000,((-0.0000004561*AJ9^2)+(0.244*AJ9)+(-21.72)),((-0.0000000409*AJ9^2)+(0.2477*AJ9)+(-1777)))</f>
        <v>497.38304557439994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0.62756527393999928</v>
      </c>
      <c r="BA9" s="12">
        <f t="shared" ref="BA9:BA14" si="5">IF(AJ9&lt;45000,((-0.0000000598*AJ9^2)+(0.205*AJ9)+(34.1)),((-0.00000002403*AJ9^2)+(0.2063*AJ9)+(-550.7)))</f>
        <v>471.70716273920004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2.811881859653</v>
      </c>
      <c r="BD9" s="15">
        <f t="shared" ref="BD9:BD14" si="7">IF(AJ9&lt;45000,((-0.00000004907*AJ9^2)+(0.2277*AJ9)+(-134)),((-0.00000001062*AJ9^2)+(0.2147*AJ9)+(590.6)))</f>
        <v>352.14331832128005</v>
      </c>
      <c r="BF9" s="16">
        <f t="shared" ref="BF9:BF29" si="8">IF($H9&lt;10000,(($H9^2*-0.000000003714)+($H9*0.002605)+(1.389)),(IF($H9&lt;200000,(($H9^2*-0.0000000003764)+($H9*0.00218)+(3.158)),(IF($H9&lt;8000000,(($H9^2*-0.000000000004719)+($H9*0.001816)+(146.1)),(($V9^2*0.000000002578)+($V9*0.2173)+(2294)))))))</f>
        <v>5.9078634146060001</v>
      </c>
      <c r="BG9" s="17">
        <f t="shared" ref="BG9:BG29" si="9">IF($AJ9&lt;45000,((0.00000003579*$AJ9^2)+(0.1857*$AJ9)+(44.75)),((0.0000000022829*$AJ9^2)+(0.1634*$AJ9)+(1620)))</f>
        <v>441.56849173184003</v>
      </c>
      <c r="BI9">
        <v>45</v>
      </c>
      <c r="BJ9" t="s">
        <v>35</v>
      </c>
      <c r="BK9" s="2">
        <v>46126.515844907408</v>
      </c>
      <c r="BL9" t="s">
        <v>31</v>
      </c>
      <c r="BM9" t="s">
        <v>13</v>
      </c>
      <c r="BN9">
        <v>0</v>
      </c>
      <c r="BO9">
        <v>2.726</v>
      </c>
      <c r="BP9" s="3">
        <v>5178208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46126.537048611113</v>
      </c>
      <c r="D10" t="s">
        <v>32</v>
      </c>
      <c r="E10" t="s">
        <v>13</v>
      </c>
      <c r="F10">
        <v>0</v>
      </c>
      <c r="G10">
        <v>6.0490000000000004</v>
      </c>
      <c r="H10" s="3">
        <v>1067492</v>
      </c>
      <c r="I10">
        <v>2.1709999999999998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46126.537048611113</v>
      </c>
      <c r="R10" t="s">
        <v>32</v>
      </c>
      <c r="S10" t="s">
        <v>13</v>
      </c>
      <c r="T10">
        <v>0</v>
      </c>
      <c r="U10">
        <v>6</v>
      </c>
      <c r="V10" s="3">
        <v>8465</v>
      </c>
      <c r="W10">
        <v>2.0790000000000002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46126.537048611113</v>
      </c>
      <c r="AF10" t="s">
        <v>32</v>
      </c>
      <c r="AG10" t="s">
        <v>13</v>
      </c>
      <c r="AH10">
        <v>0</v>
      </c>
      <c r="AI10">
        <v>12.342000000000001</v>
      </c>
      <c r="AJ10" s="3">
        <v>9699</v>
      </c>
      <c r="AK10">
        <v>1.7490000000000001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2079.2879866564681</v>
      </c>
      <c r="AU10" s="17">
        <f t="shared" si="1"/>
        <v>1849.22108680979</v>
      </c>
      <c r="AW10" s="9">
        <f t="shared" si="2"/>
        <v>2203.8390514368093</v>
      </c>
      <c r="AX10" s="10">
        <f t="shared" si="3"/>
        <v>2301.9303988839001</v>
      </c>
      <c r="AZ10" s="11">
        <f t="shared" si="4"/>
        <v>2437.5702131456028</v>
      </c>
      <c r="BA10" s="12">
        <f t="shared" si="5"/>
        <v>2016.7695780601998</v>
      </c>
      <c r="BC10" s="14">
        <f t="shared" si="6"/>
        <v>2361.6180577718433</v>
      </c>
      <c r="BD10" s="15">
        <f t="shared" si="7"/>
        <v>2069.8462556089303</v>
      </c>
      <c r="BF10" s="16">
        <f t="shared" si="8"/>
        <v>2079.2879866564681</v>
      </c>
      <c r="BG10" s="17">
        <f t="shared" si="9"/>
        <v>1849.22108680979</v>
      </c>
      <c r="BI10">
        <v>46</v>
      </c>
      <c r="BJ10" t="s">
        <v>36</v>
      </c>
      <c r="BK10" s="2">
        <v>46126.537048611113</v>
      </c>
      <c r="BL10" t="s">
        <v>32</v>
      </c>
      <c r="BM10" t="s">
        <v>13</v>
      </c>
      <c r="BN10">
        <v>0</v>
      </c>
      <c r="BO10">
        <v>2.718</v>
      </c>
      <c r="BP10" s="3">
        <v>5396461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46126.558229166665</v>
      </c>
      <c r="D11" t="s">
        <v>26</v>
      </c>
      <c r="E11" t="s">
        <v>13</v>
      </c>
      <c r="F11">
        <v>0</v>
      </c>
      <c r="G11">
        <v>6.0679999999999996</v>
      </c>
      <c r="H11" s="3">
        <v>3101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46126.558229166665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46126.558229166665</v>
      </c>
      <c r="AF11" t="s">
        <v>26</v>
      </c>
      <c r="AG11" t="s">
        <v>13</v>
      </c>
      <c r="AH11">
        <v>0</v>
      </c>
      <c r="AI11">
        <v>12.347</v>
      </c>
      <c r="AJ11" s="3">
        <v>1728</v>
      </c>
      <c r="AK11">
        <v>0.38800000000000001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9.4313904294860009</v>
      </c>
      <c r="AU11" s="17">
        <f t="shared" si="1"/>
        <v>365.74646836736002</v>
      </c>
      <c r="AW11" s="9">
        <f t="shared" si="2"/>
        <v>3.1364835400000004</v>
      </c>
      <c r="AX11" s="10">
        <f t="shared" si="3"/>
        <v>398.55009269760001</v>
      </c>
      <c r="AZ11" s="11">
        <f t="shared" si="4"/>
        <v>4.3452227251399993</v>
      </c>
      <c r="BA11" s="12">
        <f t="shared" si="5"/>
        <v>388.16143815679999</v>
      </c>
      <c r="BC11" s="14">
        <f t="shared" si="6"/>
        <v>7.6103523950930008</v>
      </c>
      <c r="BD11" s="15">
        <f t="shared" si="7"/>
        <v>259.31907776511997</v>
      </c>
      <c r="BF11" s="16">
        <f t="shared" si="8"/>
        <v>9.4313904294860009</v>
      </c>
      <c r="BG11" s="17">
        <f t="shared" si="9"/>
        <v>365.74646836736002</v>
      </c>
      <c r="BI11">
        <v>47</v>
      </c>
      <c r="BJ11" t="s">
        <v>37</v>
      </c>
      <c r="BK11" s="2">
        <v>46126.558229166665</v>
      </c>
      <c r="BL11" t="s">
        <v>26</v>
      </c>
      <c r="BM11" t="s">
        <v>13</v>
      </c>
      <c r="BN11">
        <v>0</v>
      </c>
      <c r="BO11">
        <v>2.7160000000000002</v>
      </c>
      <c r="BP11" s="3">
        <v>5434755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46126.579432870371</v>
      </c>
      <c r="D12">
        <v>261</v>
      </c>
      <c r="E12" t="s">
        <v>13</v>
      </c>
      <c r="F12">
        <v>0</v>
      </c>
      <c r="G12">
        <v>6.0609999999999999</v>
      </c>
      <c r="H12" s="3">
        <v>5676</v>
      </c>
      <c r="I12">
        <v>1.2E-2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46126.579432870371</v>
      </c>
      <c r="R12">
        <v>261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46126.579432870371</v>
      </c>
      <c r="AF12">
        <v>261</v>
      </c>
      <c r="AG12" t="s">
        <v>13</v>
      </c>
      <c r="AH12">
        <v>0</v>
      </c>
      <c r="AI12">
        <v>12.314</v>
      </c>
      <c r="AJ12" s="3">
        <v>5835</v>
      </c>
      <c r="AK12">
        <v>1.089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16.055326151136001</v>
      </c>
      <c r="AU12" s="17">
        <f t="shared" si="1"/>
        <v>1129.5280501827501</v>
      </c>
      <c r="AW12" s="9">
        <f t="shared" si="2"/>
        <v>3.0710270399999988</v>
      </c>
      <c r="AX12" s="10">
        <f t="shared" si="3"/>
        <v>1386.4910606774999</v>
      </c>
      <c r="AZ12" s="11">
        <f t="shared" si="4"/>
        <v>11.953106008640001</v>
      </c>
      <c r="BA12" s="12">
        <f t="shared" si="5"/>
        <v>1228.2389759449998</v>
      </c>
      <c r="BC12" s="14">
        <f t="shared" si="6"/>
        <v>16.768450777167999</v>
      </c>
      <c r="BD12" s="15">
        <f t="shared" si="7"/>
        <v>1192.95880266925</v>
      </c>
      <c r="BF12" s="16">
        <f t="shared" si="8"/>
        <v>16.055326151136001</v>
      </c>
      <c r="BG12" s="17">
        <f t="shared" si="9"/>
        <v>1129.5280501827501</v>
      </c>
      <c r="BI12">
        <v>48</v>
      </c>
      <c r="BJ12" t="s">
        <v>38</v>
      </c>
      <c r="BK12" s="2">
        <v>46126.579432870371</v>
      </c>
      <c r="BL12">
        <v>261</v>
      </c>
      <c r="BM12" t="s">
        <v>13</v>
      </c>
      <c r="BN12">
        <v>0</v>
      </c>
      <c r="BO12">
        <v>2.8959999999999999</v>
      </c>
      <c r="BP12" s="3">
        <v>561049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46126.600636574076</v>
      </c>
      <c r="D13">
        <v>245</v>
      </c>
      <c r="E13" t="s">
        <v>13</v>
      </c>
      <c r="F13">
        <v>0</v>
      </c>
      <c r="G13">
        <v>6.0590000000000002</v>
      </c>
      <c r="H13" s="3">
        <v>19365</v>
      </c>
      <c r="I13">
        <v>3.9E-2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46126.600636574076</v>
      </c>
      <c r="R13">
        <v>245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46126.600636574076</v>
      </c>
      <c r="AF13">
        <v>245</v>
      </c>
      <c r="AG13" t="s">
        <v>13</v>
      </c>
      <c r="AH13">
        <v>0</v>
      </c>
      <c r="AI13">
        <v>12.319000000000001</v>
      </c>
      <c r="AJ13" s="3">
        <v>3213</v>
      </c>
      <c r="AK13">
        <v>0.64100000000000001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45.232548786110002</v>
      </c>
      <c r="AU13" s="17">
        <f t="shared" si="1"/>
        <v>641.77357337650994</v>
      </c>
      <c r="AW13" s="9">
        <f t="shared" si="2"/>
        <v>47.916314914174997</v>
      </c>
      <c r="AX13" s="10">
        <f t="shared" si="3"/>
        <v>757.5435113991</v>
      </c>
      <c r="AZ13" s="11">
        <f t="shared" si="4"/>
        <v>51.709834068620005</v>
      </c>
      <c r="BA13" s="12">
        <f t="shared" si="5"/>
        <v>692.14766253380003</v>
      </c>
      <c r="BC13" s="14">
        <f t="shared" si="6"/>
        <v>55.017304151825002</v>
      </c>
      <c r="BD13" s="15">
        <f t="shared" si="7"/>
        <v>597.09353228317002</v>
      </c>
      <c r="BF13" s="16">
        <f t="shared" si="8"/>
        <v>45.232548786110002</v>
      </c>
      <c r="BG13" s="17">
        <f t="shared" si="9"/>
        <v>641.77357337650994</v>
      </c>
      <c r="BI13">
        <v>49</v>
      </c>
      <c r="BJ13" t="s">
        <v>39</v>
      </c>
      <c r="BK13" s="2">
        <v>46126.600636574076</v>
      </c>
      <c r="BL13">
        <v>245</v>
      </c>
      <c r="BM13" t="s">
        <v>13</v>
      </c>
      <c r="BN13">
        <v>0</v>
      </c>
      <c r="BO13">
        <v>2.8959999999999999</v>
      </c>
      <c r="BP13" s="3">
        <v>636647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46126.621874999997</v>
      </c>
      <c r="D14">
        <v>280</v>
      </c>
      <c r="E14" t="s">
        <v>13</v>
      </c>
      <c r="F14">
        <v>0</v>
      </c>
      <c r="G14">
        <v>6.0570000000000004</v>
      </c>
      <c r="H14" s="3">
        <v>7813</v>
      </c>
      <c r="I14">
        <v>1.6E-2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46126.621874999997</v>
      </c>
      <c r="R14">
        <v>280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46126.621874999997</v>
      </c>
      <c r="AF14">
        <v>280</v>
      </c>
      <c r="AG14" t="s">
        <v>13</v>
      </c>
      <c r="AH14">
        <v>0</v>
      </c>
      <c r="AI14">
        <v>12.289</v>
      </c>
      <c r="AJ14" s="3">
        <v>24200</v>
      </c>
      <c r="AK14">
        <v>4.2270000000000003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21.515151413133999</v>
      </c>
      <c r="AU14" s="17">
        <f t="shared" si="1"/>
        <v>4559.6500556000001</v>
      </c>
      <c r="AW14" s="9">
        <f t="shared" si="2"/>
        <v>8.4542582599999978</v>
      </c>
      <c r="AX14" s="10">
        <f t="shared" si="3"/>
        <v>5615.9695959999999</v>
      </c>
      <c r="AZ14" s="11">
        <f t="shared" si="4"/>
        <v>18.842284248659997</v>
      </c>
      <c r="BA14" s="12">
        <f t="shared" si="5"/>
        <v>4960.0787280000004</v>
      </c>
      <c r="BC14" s="14">
        <f t="shared" si="6"/>
        <v>24.454303935717</v>
      </c>
      <c r="BD14" s="15">
        <f t="shared" si="7"/>
        <v>5347.6026452000006</v>
      </c>
      <c r="BF14" s="16">
        <f t="shared" si="8"/>
        <v>21.515151413133999</v>
      </c>
      <c r="BG14" s="17">
        <f t="shared" si="9"/>
        <v>4559.6500556000001</v>
      </c>
      <c r="BI14">
        <v>50</v>
      </c>
      <c r="BJ14" t="s">
        <v>40</v>
      </c>
      <c r="BK14" s="2">
        <v>46126.621874999997</v>
      </c>
      <c r="BL14">
        <v>280</v>
      </c>
      <c r="BM14" t="s">
        <v>13</v>
      </c>
      <c r="BN14">
        <v>0</v>
      </c>
      <c r="BO14">
        <v>2.891</v>
      </c>
      <c r="BP14" s="3">
        <v>631098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46126.643101851849</v>
      </c>
      <c r="D15">
        <v>140</v>
      </c>
      <c r="E15" t="s">
        <v>13</v>
      </c>
      <c r="F15">
        <v>0</v>
      </c>
      <c r="G15">
        <v>6.0549999999999997</v>
      </c>
      <c r="H15" s="3">
        <v>21268</v>
      </c>
      <c r="I15">
        <v>4.2999999999999997E-2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46126.643101851849</v>
      </c>
      <c r="R15">
        <v>140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46126.643101851849</v>
      </c>
      <c r="AF15">
        <v>140</v>
      </c>
      <c r="AG15" t="s">
        <v>13</v>
      </c>
      <c r="AH15">
        <v>0</v>
      </c>
      <c r="AI15">
        <v>12.315</v>
      </c>
      <c r="AJ15" s="3">
        <v>5601</v>
      </c>
      <c r="AK15">
        <v>1.0489999999999999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49.351983807046402</v>
      </c>
      <c r="AU15" s="17">
        <f t="shared" si="1"/>
        <v>1085.97847528379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53.585203021552005</v>
      </c>
      <c r="AX15" s="10">
        <f t="shared" ref="AX15:AX16" si="11">IF(AJ15&lt;45000,((-0.0000004561*AJ15^2)+(0.244*AJ15)+(-21.72)),((-0.0000000409*AJ15^2)+(0.2477*AJ15)+(-1777)))</f>
        <v>1330.6155952239001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57.2042997244288</v>
      </c>
      <c r="BA15" s="12">
        <f t="shared" ref="BA15:BA16" si="13">IF(AJ15&lt;45000,((-0.0000000598*AJ15^2)+(0.205*AJ15)+(34.1)),((-0.00000002403*AJ15^2)+(0.2063*AJ15)+(-550.7)))</f>
        <v>1180.4290021801999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60.100813782288</v>
      </c>
      <c r="BD15" s="15">
        <f t="shared" ref="BD15:BD16" si="15">IF(AJ15&lt;45000,((-0.00000004907*AJ15^2)+(0.2277*AJ15)+(-134)),((-0.00000001062*AJ15^2)+(0.2147*AJ15)+(590.6)))</f>
        <v>1139.80831516693</v>
      </c>
      <c r="BF15" s="16">
        <f t="shared" si="8"/>
        <v>49.351983807046402</v>
      </c>
      <c r="BG15" s="17">
        <f t="shared" si="9"/>
        <v>1085.97847528379</v>
      </c>
      <c r="BI15">
        <v>51</v>
      </c>
      <c r="BJ15" t="s">
        <v>41</v>
      </c>
      <c r="BK15" s="2">
        <v>46126.643101851849</v>
      </c>
      <c r="BL15">
        <v>140</v>
      </c>
      <c r="BM15" t="s">
        <v>13</v>
      </c>
      <c r="BN15">
        <v>0</v>
      </c>
      <c r="BO15">
        <v>2.8919999999999999</v>
      </c>
      <c r="BP15" s="3">
        <v>636057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46126.664305555554</v>
      </c>
      <c r="D16">
        <v>329</v>
      </c>
      <c r="E16" t="s">
        <v>13</v>
      </c>
      <c r="F16">
        <v>0</v>
      </c>
      <c r="G16">
        <v>6.0590000000000002</v>
      </c>
      <c r="H16" s="3">
        <v>11004</v>
      </c>
      <c r="I16">
        <v>2.1999999999999999E-2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46126.664305555554</v>
      </c>
      <c r="R16">
        <v>329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46126.664305555554</v>
      </c>
      <c r="AF16">
        <v>329</v>
      </c>
      <c r="AG16" t="s">
        <v>13</v>
      </c>
      <c r="AH16">
        <v>0</v>
      </c>
      <c r="AI16">
        <v>12.302</v>
      </c>
      <c r="AJ16" s="3">
        <v>17430</v>
      </c>
      <c r="AK16">
        <v>3.07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27.101142470777603</v>
      </c>
      <c r="AU16" s="17">
        <f t="shared" si="1"/>
        <v>3292.3741773710003</v>
      </c>
      <c r="AW16" s="9">
        <f t="shared" si="10"/>
        <v>22.874216198767996</v>
      </c>
      <c r="AX16" s="10">
        <f t="shared" si="11"/>
        <v>4092.63458511</v>
      </c>
      <c r="AZ16" s="11">
        <f t="shared" si="12"/>
        <v>27.544625780979203</v>
      </c>
      <c r="BA16" s="12">
        <f t="shared" si="13"/>
        <v>3589.0824669799995</v>
      </c>
      <c r="BC16" s="14">
        <f t="shared" si="14"/>
        <v>32.659881851792001</v>
      </c>
      <c r="BD16" s="15">
        <f t="shared" si="15"/>
        <v>3819.9032935570003</v>
      </c>
      <c r="BF16" s="16">
        <f t="shared" si="8"/>
        <v>27.101142470777603</v>
      </c>
      <c r="BG16" s="17">
        <f t="shared" si="9"/>
        <v>3292.3741773710003</v>
      </c>
      <c r="BI16">
        <v>52</v>
      </c>
      <c r="BJ16" t="s">
        <v>42</v>
      </c>
      <c r="BK16" s="2">
        <v>46126.664305555554</v>
      </c>
      <c r="BL16">
        <v>329</v>
      </c>
      <c r="BM16" t="s">
        <v>13</v>
      </c>
      <c r="BN16">
        <v>0</v>
      </c>
      <c r="BO16">
        <v>2.88</v>
      </c>
      <c r="BP16" s="3">
        <v>838559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46126.685532407406</v>
      </c>
      <c r="D17">
        <v>111</v>
      </c>
      <c r="E17" t="s">
        <v>13</v>
      </c>
      <c r="F17">
        <v>0</v>
      </c>
      <c r="G17">
        <v>6.07</v>
      </c>
      <c r="H17" s="3">
        <v>3328</v>
      </c>
      <c r="I17">
        <v>7.0000000000000001E-3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46126.685532407406</v>
      </c>
      <c r="R17">
        <v>111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46126.685532407406</v>
      </c>
      <c r="AF17">
        <v>111</v>
      </c>
      <c r="AG17" t="s">
        <v>13</v>
      </c>
      <c r="AH17">
        <v>0</v>
      </c>
      <c r="AI17">
        <v>12.28</v>
      </c>
      <c r="AJ17" s="3">
        <v>33706</v>
      </c>
      <c r="AK17">
        <v>5.851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10.017305281023999</v>
      </c>
      <c r="AU17" s="17">
        <f t="shared" si="1"/>
        <v>6344.61501986444</v>
      </c>
      <c r="AW17" s="9">
        <f t="shared" ref="AW17:AW37" si="16">IF(H17&lt;10000,((H17^2*0.00000054)+(H17*-0.004765)+(12.72)),(IF(H17&lt;200000,((H17^2*-0.000000001577)+(H17*0.003043)+(-10.42)),(IF(H17&lt;8000000,((H17^2*-0.0000000000186)+(H17*0.00194)+(154.1)),((V17^2*-0.00000002)+(V17*0.2565)+(-1032)))))))</f>
        <v>2.8428953600000018</v>
      </c>
      <c r="AX17" s="10">
        <f t="shared" ref="AX17:AX37" si="17">IF(AJ17&lt;45000,((-0.0000004561*AJ17^2)+(0.244*AJ17)+(-21.72)),((-0.0000000409*AJ17^2)+(0.2477*AJ17)+(-1777)))</f>
        <v>7684.3713277403986</v>
      </c>
      <c r="AZ17" s="11">
        <f t="shared" ref="AZ17:AZ37" si="18">IF(H17&lt;10000,((H17^2*0.00000005714)+(H17*0.002453)+(-3.811)),(IF(H17&lt;200000,((H17^2*-0.0000000002888)+(H17*0.002899)+(-4.321)),(IF(H17&lt;8000000,((H17^2*-0.0000000000062)+(H17*0.002143)+(157)),((V17^2*-0.000000031)+(V17*0.2771)+(-709.5)))))))</f>
        <v>4.98544286976</v>
      </c>
      <c r="BA17" s="12">
        <f t="shared" ref="BA17:BA37" si="19">IF(AJ17&lt;45000,((-0.0000000598*AJ17^2)+(0.205*AJ17)+(34.1)),((-0.00000002403*AJ17^2)+(0.2063*AJ17)+(-550.7)))</f>
        <v>6875.8915527272002</v>
      </c>
      <c r="BC17" s="14">
        <f t="shared" ref="BC17:BC37" si="20">IF(H17&lt;10000,((H17^2*0.000000008493)+(H17*0.003482)+(-3.269)),(IF(H17&lt;200000,((H17^2*-0.000000000263)+(H17*0.002682)+(3.179)),(IF(H17&lt;8000000,((H17^2*-0.000000000005099)+(H17*0.002054)+(174.8)),((V17^2*-0.00000001014)+(V17*0.2415)+(1123)))))))</f>
        <v>8.4131609349119998</v>
      </c>
      <c r="BD17" s="15">
        <f t="shared" ref="BD17:BD37" si="21">IF(AJ17&lt;45000,((-0.00000004907*AJ17^2)+(0.2277*AJ17)+(-134)),((-0.00000001062*AJ17^2)+(0.2147*AJ17)+(590.6)))</f>
        <v>7485.1080460254798</v>
      </c>
      <c r="BF17" s="16">
        <f t="shared" si="8"/>
        <v>10.017305281023999</v>
      </c>
      <c r="BG17" s="17">
        <f t="shared" si="9"/>
        <v>6344.61501986444</v>
      </c>
      <c r="BI17">
        <v>53</v>
      </c>
      <c r="BJ17" t="s">
        <v>43</v>
      </c>
      <c r="BK17" s="2">
        <v>46126.685532407406</v>
      </c>
      <c r="BL17">
        <v>111</v>
      </c>
      <c r="BM17" t="s">
        <v>13</v>
      </c>
      <c r="BN17">
        <v>0</v>
      </c>
      <c r="BO17">
        <v>2.8839999999999999</v>
      </c>
      <c r="BP17" s="3">
        <v>752217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46126.706747685188</v>
      </c>
      <c r="D18">
        <v>159</v>
      </c>
      <c r="E18" t="s">
        <v>13</v>
      </c>
      <c r="F18">
        <v>0</v>
      </c>
      <c r="G18">
        <v>6.0860000000000003</v>
      </c>
      <c r="H18" s="3">
        <v>2138</v>
      </c>
      <c r="I18">
        <v>4.0000000000000001E-3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46126.706747685188</v>
      </c>
      <c r="R18">
        <v>159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46126.706747685188</v>
      </c>
      <c r="AF18">
        <v>159</v>
      </c>
      <c r="AG18" t="s">
        <v>13</v>
      </c>
      <c r="AH18">
        <v>0</v>
      </c>
      <c r="AI18">
        <v>12.273</v>
      </c>
      <c r="AJ18" s="3">
        <v>41185</v>
      </c>
      <c r="AK18">
        <v>7.1280000000000001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6.9415131425840002</v>
      </c>
      <c r="AU18" s="17">
        <f t="shared" si="1"/>
        <v>7753.5116492127499</v>
      </c>
      <c r="AW18" s="9">
        <f t="shared" si="16"/>
        <v>5.0007937599999996</v>
      </c>
      <c r="AX18" s="10">
        <f t="shared" si="17"/>
        <v>9253.7812529775001</v>
      </c>
      <c r="AZ18" s="11">
        <f t="shared" si="18"/>
        <v>1.6947034541599999</v>
      </c>
      <c r="BA18" s="12">
        <f t="shared" si="19"/>
        <v>8375.5919873450002</v>
      </c>
      <c r="BC18" s="14">
        <f t="shared" si="20"/>
        <v>4.2143378766919994</v>
      </c>
      <c r="BD18" s="15">
        <f t="shared" si="21"/>
        <v>9160.5917586792511</v>
      </c>
      <c r="BF18" s="16">
        <f t="shared" si="8"/>
        <v>6.9415131425840002</v>
      </c>
      <c r="BG18" s="17">
        <f t="shared" si="9"/>
        <v>7753.5116492127499</v>
      </c>
      <c r="BI18">
        <v>54</v>
      </c>
      <c r="BJ18" t="s">
        <v>44</v>
      </c>
      <c r="BK18" s="2">
        <v>46126.706747685188</v>
      </c>
      <c r="BL18">
        <v>159</v>
      </c>
      <c r="BM18" t="s">
        <v>13</v>
      </c>
      <c r="BN18">
        <v>0</v>
      </c>
      <c r="BO18">
        <v>2.887</v>
      </c>
      <c r="BP18" s="3">
        <v>694877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46126.727951388886</v>
      </c>
      <c r="D19">
        <v>175</v>
      </c>
      <c r="E19" t="s">
        <v>13</v>
      </c>
      <c r="F19">
        <v>0</v>
      </c>
      <c r="G19">
        <v>6.0549999999999997</v>
      </c>
      <c r="H19" s="3">
        <v>21561</v>
      </c>
      <c r="I19">
        <v>4.3999999999999997E-2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46126.727951388886</v>
      </c>
      <c r="R19">
        <v>175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46126.727951388886</v>
      </c>
      <c r="AF19">
        <v>175</v>
      </c>
      <c r="AG19" t="s">
        <v>13</v>
      </c>
      <c r="AH19">
        <v>0</v>
      </c>
      <c r="AI19">
        <v>12.33</v>
      </c>
      <c r="AJ19" s="3">
        <v>2597</v>
      </c>
      <c r="AK19">
        <v>0.53600000000000003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49.986000402215602</v>
      </c>
      <c r="AU19" s="17">
        <f t="shared" si="1"/>
        <v>527.25428239811004</v>
      </c>
      <c r="AW19" s="9">
        <f t="shared" si="16"/>
        <v>54.457012410982998</v>
      </c>
      <c r="AX19" s="10">
        <f t="shared" si="17"/>
        <v>608.87187505509996</v>
      </c>
      <c r="AZ19" s="11">
        <f t="shared" si="18"/>
        <v>58.050082602975202</v>
      </c>
      <c r="BA19" s="12">
        <f t="shared" si="19"/>
        <v>566.08168434180004</v>
      </c>
      <c r="BC19" s="14">
        <f t="shared" si="20"/>
        <v>60.883339422377006</v>
      </c>
      <c r="BD19" s="15">
        <f t="shared" si="21"/>
        <v>457.00595185037002</v>
      </c>
      <c r="BF19" s="16">
        <f t="shared" si="8"/>
        <v>49.986000402215602</v>
      </c>
      <c r="BG19" s="17">
        <f t="shared" si="9"/>
        <v>527.25428239811004</v>
      </c>
      <c r="BI19">
        <v>55</v>
      </c>
      <c r="BJ19" t="s">
        <v>45</v>
      </c>
      <c r="BK19" s="2">
        <v>46126.727951388886</v>
      </c>
      <c r="BL19">
        <v>175</v>
      </c>
      <c r="BM19" t="s">
        <v>13</v>
      </c>
      <c r="BN19">
        <v>0</v>
      </c>
      <c r="BO19">
        <v>2.887</v>
      </c>
      <c r="BP19" s="3">
        <v>720933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46126.749178240738</v>
      </c>
      <c r="D20">
        <v>326</v>
      </c>
      <c r="E20" t="s">
        <v>13</v>
      </c>
      <c r="F20">
        <v>0</v>
      </c>
      <c r="G20">
        <v>6.056</v>
      </c>
      <c r="H20" s="3">
        <v>83221</v>
      </c>
      <c r="I20">
        <v>0.16900000000000001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46126.749178240738</v>
      </c>
      <c r="R20">
        <v>326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46126.749178240738</v>
      </c>
      <c r="AF20">
        <v>326</v>
      </c>
      <c r="AG20" t="s">
        <v>13</v>
      </c>
      <c r="AH20">
        <v>0</v>
      </c>
      <c r="AI20">
        <v>12.241</v>
      </c>
      <c r="AJ20" s="3">
        <v>74121</v>
      </c>
      <c r="AK20">
        <v>12.752000000000001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181.97293340584761</v>
      </c>
      <c r="AU20" s="17">
        <f t="shared" si="1"/>
        <v>13743.913475997138</v>
      </c>
      <c r="AW20" s="9">
        <f t="shared" si="16"/>
        <v>231.89961915574304</v>
      </c>
      <c r="AX20" s="10">
        <f t="shared" si="17"/>
        <v>16358.0702639831</v>
      </c>
      <c r="AZ20" s="11">
        <f t="shared" si="18"/>
        <v>234.9365267779192</v>
      </c>
      <c r="BA20" s="12">
        <f t="shared" si="19"/>
        <v>14608.44333893677</v>
      </c>
      <c r="BC20" s="14">
        <f t="shared" si="20"/>
        <v>224.55625373681701</v>
      </c>
      <c r="BD20" s="15">
        <f t="shared" si="21"/>
        <v>16446.033241552581</v>
      </c>
      <c r="BF20" s="16">
        <f t="shared" si="8"/>
        <v>181.97293340584761</v>
      </c>
      <c r="BG20" s="17">
        <f t="shared" si="9"/>
        <v>13743.913475997138</v>
      </c>
      <c r="BI20">
        <v>56</v>
      </c>
      <c r="BJ20" t="s">
        <v>46</v>
      </c>
      <c r="BK20" s="2">
        <v>46126.749178240738</v>
      </c>
      <c r="BL20">
        <v>326</v>
      </c>
      <c r="BM20" t="s">
        <v>13</v>
      </c>
      <c r="BN20">
        <v>0</v>
      </c>
      <c r="BO20">
        <v>2.89</v>
      </c>
      <c r="BP20" s="3">
        <v>719419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46126.770439814813</v>
      </c>
      <c r="D21">
        <v>378</v>
      </c>
      <c r="E21" t="s">
        <v>13</v>
      </c>
      <c r="F21">
        <v>0</v>
      </c>
      <c r="G21">
        <v>6.0529999999999999</v>
      </c>
      <c r="H21" s="3">
        <v>72794</v>
      </c>
      <c r="I21">
        <v>0.14799999999999999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46126.770439814813</v>
      </c>
      <c r="R21">
        <v>378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46126.770439814813</v>
      </c>
      <c r="AF21">
        <v>378</v>
      </c>
      <c r="AG21" t="s">
        <v>13</v>
      </c>
      <c r="AH21">
        <v>0</v>
      </c>
      <c r="AI21">
        <v>12.241</v>
      </c>
      <c r="AJ21" s="3">
        <v>72504</v>
      </c>
      <c r="AK21">
        <v>12.476000000000001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159.85438903348958</v>
      </c>
      <c r="AU21" s="17">
        <f t="shared" si="1"/>
        <v>13479.154417243526</v>
      </c>
      <c r="AW21" s="9">
        <f t="shared" si="16"/>
        <v>202.73567193042803</v>
      </c>
      <c r="AX21" s="10">
        <f t="shared" si="17"/>
        <v>15967.236452345598</v>
      </c>
      <c r="AZ21" s="11">
        <f t="shared" si="18"/>
        <v>205.1784644932832</v>
      </c>
      <c r="BA21" s="12">
        <f t="shared" si="19"/>
        <v>14280.553574715521</v>
      </c>
      <c r="BC21" s="14">
        <f t="shared" si="20"/>
        <v>197.018879827332</v>
      </c>
      <c r="BD21" s="15">
        <f t="shared" si="21"/>
        <v>16101.38126523008</v>
      </c>
      <c r="BF21" s="16">
        <f t="shared" si="8"/>
        <v>159.85438903348958</v>
      </c>
      <c r="BG21" s="17">
        <f t="shared" si="9"/>
        <v>13479.154417243526</v>
      </c>
      <c r="BI21">
        <v>57</v>
      </c>
      <c r="BJ21" t="s">
        <v>47</v>
      </c>
      <c r="BK21" s="2">
        <v>46126.770439814813</v>
      </c>
      <c r="BL21">
        <v>378</v>
      </c>
      <c r="BM21" t="s">
        <v>13</v>
      </c>
      <c r="BN21">
        <v>0</v>
      </c>
      <c r="BO21">
        <v>2.887</v>
      </c>
      <c r="BP21" s="3">
        <v>717042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46126.791678240741</v>
      </c>
      <c r="D22">
        <v>223</v>
      </c>
      <c r="E22" t="s">
        <v>13</v>
      </c>
      <c r="F22">
        <v>0</v>
      </c>
      <c r="G22">
        <v>6.07</v>
      </c>
      <c r="H22" s="3">
        <v>3416</v>
      </c>
      <c r="I22">
        <v>7.0000000000000001E-3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46126.791678240741</v>
      </c>
      <c r="R22">
        <v>223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46126.791678240741</v>
      </c>
      <c r="AF22">
        <v>223</v>
      </c>
      <c r="AG22" t="s">
        <v>13</v>
      </c>
      <c r="AH22">
        <v>0</v>
      </c>
      <c r="AI22">
        <v>12.287000000000001</v>
      </c>
      <c r="AJ22" s="3">
        <v>34510</v>
      </c>
      <c r="AK22">
        <v>5.9880000000000004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10.244341126016</v>
      </c>
      <c r="AU22" s="17">
        <f t="shared" si="1"/>
        <v>6495.8807461790002</v>
      </c>
      <c r="AW22" s="9">
        <f t="shared" si="16"/>
        <v>2.7440502400000018</v>
      </c>
      <c r="AX22" s="10">
        <f t="shared" si="17"/>
        <v>7855.5322203900005</v>
      </c>
      <c r="AZ22" s="11">
        <f t="shared" si="18"/>
        <v>5.2352178598400005</v>
      </c>
      <c r="BA22" s="12">
        <f t="shared" si="19"/>
        <v>7037.4317820199994</v>
      </c>
      <c r="BC22" s="14">
        <f t="shared" si="20"/>
        <v>8.7246172926079986</v>
      </c>
      <c r="BD22" s="15">
        <f t="shared" si="21"/>
        <v>7665.4875692930009</v>
      </c>
      <c r="BF22" s="16">
        <f t="shared" si="8"/>
        <v>10.244341126016</v>
      </c>
      <c r="BG22" s="17">
        <f t="shared" si="9"/>
        <v>6495.8807461790002</v>
      </c>
      <c r="BI22">
        <v>58</v>
      </c>
      <c r="BJ22" t="s">
        <v>48</v>
      </c>
      <c r="BK22" s="2">
        <v>46126.791678240741</v>
      </c>
      <c r="BL22">
        <v>223</v>
      </c>
      <c r="BM22" t="s">
        <v>13</v>
      </c>
      <c r="BN22">
        <v>0</v>
      </c>
      <c r="BO22">
        <v>2.8730000000000002</v>
      </c>
      <c r="BP22" s="3">
        <v>990315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46126.812916666669</v>
      </c>
      <c r="D23">
        <v>366</v>
      </c>
      <c r="E23" t="s">
        <v>13</v>
      </c>
      <c r="F23">
        <v>0</v>
      </c>
      <c r="G23">
        <v>6.0949999999999998</v>
      </c>
      <c r="H23" s="3">
        <v>2116</v>
      </c>
      <c r="I23">
        <v>4.0000000000000001E-3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46126.812916666669</v>
      </c>
      <c r="R23">
        <v>366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46126.812916666669</v>
      </c>
      <c r="AF23">
        <v>366</v>
      </c>
      <c r="AG23" t="s">
        <v>13</v>
      </c>
      <c r="AH23">
        <v>0</v>
      </c>
      <c r="AI23">
        <v>12.279</v>
      </c>
      <c r="AJ23" s="3">
        <v>41741</v>
      </c>
      <c r="AK23">
        <v>7.2229999999999999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6.8845507284160004</v>
      </c>
      <c r="AU23" s="17">
        <f t="shared" si="1"/>
        <v>7858.4110135889905</v>
      </c>
      <c r="AW23" s="9">
        <f t="shared" si="16"/>
        <v>5.0550862399999996</v>
      </c>
      <c r="AX23" s="10">
        <f t="shared" si="17"/>
        <v>9368.4159159559003</v>
      </c>
      <c r="AZ23" s="11">
        <f t="shared" si="18"/>
        <v>1.6353898358399999</v>
      </c>
      <c r="BA23" s="12">
        <f t="shared" si="19"/>
        <v>8486.8147973561991</v>
      </c>
      <c r="BC23" s="14">
        <f t="shared" si="20"/>
        <v>4.1369390338079999</v>
      </c>
      <c r="BD23" s="15">
        <f t="shared" si="21"/>
        <v>9284.9304952553302</v>
      </c>
      <c r="BF23" s="16">
        <f t="shared" si="8"/>
        <v>6.8845507284160004</v>
      </c>
      <c r="BG23" s="17">
        <f t="shared" si="9"/>
        <v>7858.4110135889905</v>
      </c>
      <c r="BI23">
        <v>59</v>
      </c>
      <c r="BJ23" t="s">
        <v>49</v>
      </c>
      <c r="BK23" s="2">
        <v>46126.812916666669</v>
      </c>
      <c r="BL23">
        <v>366</v>
      </c>
      <c r="BM23" t="s">
        <v>13</v>
      </c>
      <c r="BN23">
        <v>0</v>
      </c>
      <c r="BO23">
        <v>2.8889999999999998</v>
      </c>
      <c r="BP23" s="3">
        <v>718650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46126.834131944444</v>
      </c>
      <c r="D24">
        <v>217</v>
      </c>
      <c r="E24" t="s">
        <v>13</v>
      </c>
      <c r="F24">
        <v>0</v>
      </c>
      <c r="G24">
        <v>6.06</v>
      </c>
      <c r="H24" s="3">
        <v>8956</v>
      </c>
      <c r="I24">
        <v>1.7999999999999999E-2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46126.834131944444</v>
      </c>
      <c r="R24">
        <v>217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46126.834131944444</v>
      </c>
      <c r="AF24">
        <v>217</v>
      </c>
      <c r="AG24" t="s">
        <v>13</v>
      </c>
      <c r="AH24">
        <v>0</v>
      </c>
      <c r="AI24">
        <v>12.292999999999999</v>
      </c>
      <c r="AJ24" s="3">
        <v>26748</v>
      </c>
      <c r="AK24">
        <v>4.6619999999999999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24.421480297696</v>
      </c>
      <c r="AU24" s="17">
        <f t="shared" si="1"/>
        <v>5037.4597524881601</v>
      </c>
      <c r="AW24" s="9">
        <f t="shared" si="16"/>
        <v>13.35802544</v>
      </c>
      <c r="AX24" s="10">
        <f t="shared" si="17"/>
        <v>6178.4727446255993</v>
      </c>
      <c r="AZ24" s="11">
        <f t="shared" si="18"/>
        <v>22.741263743040001</v>
      </c>
      <c r="BA24" s="12">
        <f t="shared" si="19"/>
        <v>5474.6557608608</v>
      </c>
      <c r="BC24" s="14">
        <f t="shared" si="20"/>
        <v>28.597014986447995</v>
      </c>
      <c r="BD24" s="15">
        <f t="shared" si="21"/>
        <v>5921.4121984187204</v>
      </c>
      <c r="BF24" s="16">
        <f t="shared" si="8"/>
        <v>24.421480297696</v>
      </c>
      <c r="BG24" s="17">
        <f t="shared" si="9"/>
        <v>5037.4597524881601</v>
      </c>
      <c r="BI24">
        <v>60</v>
      </c>
      <c r="BJ24" t="s">
        <v>50</v>
      </c>
      <c r="BK24" s="2">
        <v>46126.834131944444</v>
      </c>
      <c r="BL24">
        <v>217</v>
      </c>
      <c r="BM24" t="s">
        <v>13</v>
      </c>
      <c r="BN24">
        <v>0</v>
      </c>
      <c r="BO24">
        <v>2.8839999999999999</v>
      </c>
      <c r="BP24" s="3">
        <v>752864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46126.855393518519</v>
      </c>
      <c r="D25">
        <v>314</v>
      </c>
      <c r="E25" t="s">
        <v>13</v>
      </c>
      <c r="F25">
        <v>0</v>
      </c>
      <c r="G25">
        <v>6.0579999999999998</v>
      </c>
      <c r="H25" s="3">
        <v>23779</v>
      </c>
      <c r="I25">
        <v>4.8000000000000001E-2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46126.855393518519</v>
      </c>
      <c r="R25">
        <v>314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46126.855393518519</v>
      </c>
      <c r="AF25">
        <v>314</v>
      </c>
      <c r="AG25" t="s">
        <v>13</v>
      </c>
      <c r="AH25">
        <v>0</v>
      </c>
      <c r="AI25">
        <v>12.324</v>
      </c>
      <c r="AJ25" s="3">
        <v>3371</v>
      </c>
      <c r="AK25">
        <v>0.66800000000000004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54.783388067447603</v>
      </c>
      <c r="AU25" s="17">
        <f t="shared" si="1"/>
        <v>671.15140471139</v>
      </c>
      <c r="AW25" s="9">
        <f t="shared" si="16"/>
        <v>61.047796793743004</v>
      </c>
      <c r="AX25" s="10">
        <f t="shared" si="17"/>
        <v>795.62104333989998</v>
      </c>
      <c r="AZ25" s="11">
        <f t="shared" si="18"/>
        <v>64.451021685119201</v>
      </c>
      <c r="BA25" s="12">
        <f t="shared" si="19"/>
        <v>724.4754542682</v>
      </c>
      <c r="BC25" s="14">
        <f t="shared" si="20"/>
        <v>66.805567058817005</v>
      </c>
      <c r="BD25" s="15">
        <f t="shared" si="21"/>
        <v>633.01908613613011</v>
      </c>
      <c r="BF25" s="16">
        <f t="shared" si="8"/>
        <v>54.783388067447603</v>
      </c>
      <c r="BG25" s="17">
        <f t="shared" si="9"/>
        <v>671.15140471139</v>
      </c>
      <c r="BI25">
        <v>61</v>
      </c>
      <c r="BJ25" t="s">
        <v>51</v>
      </c>
      <c r="BK25" s="2">
        <v>46126.855393518519</v>
      </c>
      <c r="BL25">
        <v>314</v>
      </c>
      <c r="BM25" t="s">
        <v>13</v>
      </c>
      <c r="BN25">
        <v>0</v>
      </c>
      <c r="BO25">
        <v>2.887</v>
      </c>
      <c r="BP25" s="3">
        <v>758400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46126.876655092594</v>
      </c>
      <c r="D26">
        <v>164</v>
      </c>
      <c r="E26" t="s">
        <v>13</v>
      </c>
      <c r="F26">
        <v>0</v>
      </c>
      <c r="G26">
        <v>6.0579999999999998</v>
      </c>
      <c r="H26" s="3">
        <v>32478</v>
      </c>
      <c r="I26">
        <v>6.6000000000000003E-2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46126.876655092594</v>
      </c>
      <c r="R26">
        <v>164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46126.876655092594</v>
      </c>
      <c r="AF26">
        <v>164</v>
      </c>
      <c r="AG26" t="s">
        <v>13</v>
      </c>
      <c r="AH26">
        <v>0</v>
      </c>
      <c r="AI26">
        <v>12.332000000000001</v>
      </c>
      <c r="AJ26" s="3">
        <v>2131</v>
      </c>
      <c r="AK26">
        <v>0.45600000000000002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73.563005569822408</v>
      </c>
      <c r="AU26" s="17">
        <f t="shared" si="1"/>
        <v>440.63922815219001</v>
      </c>
      <c r="AW26" s="9">
        <f t="shared" si="16"/>
        <v>86.747102096732007</v>
      </c>
      <c r="AX26" s="10">
        <f t="shared" si="17"/>
        <v>496.17277646789989</v>
      </c>
      <c r="AZ26" s="11">
        <f t="shared" si="18"/>
        <v>89.528089844220801</v>
      </c>
      <c r="BA26" s="12">
        <f t="shared" si="19"/>
        <v>470.68343857219998</v>
      </c>
      <c r="BC26" s="14">
        <f t="shared" si="20"/>
        <v>90.007578212707998</v>
      </c>
      <c r="BD26" s="15">
        <f t="shared" si="21"/>
        <v>351.00586522972998</v>
      </c>
      <c r="BF26" s="16">
        <f t="shared" si="8"/>
        <v>73.563005569822408</v>
      </c>
      <c r="BG26" s="17">
        <f t="shared" si="9"/>
        <v>440.63922815219001</v>
      </c>
      <c r="BI26">
        <v>62</v>
      </c>
      <c r="BJ26" t="s">
        <v>52</v>
      </c>
      <c r="BK26" s="2">
        <v>46126.876655092594</v>
      </c>
      <c r="BL26">
        <v>164</v>
      </c>
      <c r="BM26" t="s">
        <v>13</v>
      </c>
      <c r="BN26">
        <v>0</v>
      </c>
      <c r="BO26">
        <v>2.8820000000000001</v>
      </c>
      <c r="BP26" s="3">
        <v>869971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46126.897893518515</v>
      </c>
      <c r="D27">
        <v>102</v>
      </c>
      <c r="E27" t="s">
        <v>13</v>
      </c>
      <c r="F27">
        <v>0</v>
      </c>
      <c r="G27">
        <v>6.0540000000000003</v>
      </c>
      <c r="H27" s="3">
        <v>23470</v>
      </c>
      <c r="I27">
        <v>4.8000000000000001E-2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46126.897893518515</v>
      </c>
      <c r="R27">
        <v>102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46126.897893518515</v>
      </c>
      <c r="AF27">
        <v>102</v>
      </c>
      <c r="AG27" t="s">
        <v>13</v>
      </c>
      <c r="AH27">
        <v>0</v>
      </c>
      <c r="AI27">
        <v>12.319000000000001</v>
      </c>
      <c r="AJ27" s="3">
        <v>3417</v>
      </c>
      <c r="AK27">
        <v>0.67600000000000005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54.11526348524</v>
      </c>
      <c r="AU27" s="17">
        <f t="shared" si="1"/>
        <v>679.70478006731003</v>
      </c>
      <c r="AW27" s="9">
        <f t="shared" si="16"/>
        <v>60.130533900700001</v>
      </c>
      <c r="AX27" s="10">
        <f t="shared" si="17"/>
        <v>806.70262702709988</v>
      </c>
      <c r="AZ27" s="11">
        <f t="shared" si="18"/>
        <v>63.559447148079997</v>
      </c>
      <c r="BA27" s="12">
        <f t="shared" si="19"/>
        <v>733.88678183780007</v>
      </c>
      <c r="BC27" s="14">
        <f t="shared" si="20"/>
        <v>65.980668843299995</v>
      </c>
      <c r="BD27" s="15">
        <f t="shared" si="21"/>
        <v>643.47796412677008</v>
      </c>
      <c r="BF27" s="16">
        <f t="shared" si="8"/>
        <v>54.11526348524</v>
      </c>
      <c r="BG27" s="17">
        <f t="shared" si="9"/>
        <v>679.70478006731003</v>
      </c>
      <c r="BI27">
        <v>63</v>
      </c>
      <c r="BJ27" t="s">
        <v>53</v>
      </c>
      <c r="BK27" s="2">
        <v>46126.897893518515</v>
      </c>
      <c r="BL27">
        <v>102</v>
      </c>
      <c r="BM27" t="s">
        <v>13</v>
      </c>
      <c r="BN27">
        <v>0</v>
      </c>
      <c r="BO27">
        <v>2.88</v>
      </c>
      <c r="BP27" s="3">
        <v>831446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46126.919131944444</v>
      </c>
      <c r="D28">
        <v>312</v>
      </c>
      <c r="E28" t="s">
        <v>13</v>
      </c>
      <c r="F28">
        <v>0</v>
      </c>
      <c r="G28">
        <v>6.077</v>
      </c>
      <c r="H28" s="3">
        <v>1912</v>
      </c>
      <c r="I28">
        <v>4.0000000000000001E-3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46126.919131944444</v>
      </c>
      <c r="R28">
        <v>312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46126.919131944444</v>
      </c>
      <c r="AF28">
        <v>312</v>
      </c>
      <c r="AG28" t="s">
        <v>13</v>
      </c>
      <c r="AH28">
        <v>0</v>
      </c>
      <c r="AI28">
        <v>12.268000000000001</v>
      </c>
      <c r="AJ28" s="3">
        <v>46022</v>
      </c>
      <c r="AK28">
        <v>7.9539999999999997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6.3561825667840006</v>
      </c>
      <c r="AU28" s="17">
        <f t="shared" si="1"/>
        <v>9144.830038094522</v>
      </c>
      <c r="AW28" s="9">
        <f t="shared" si="16"/>
        <v>5.5834217600000002</v>
      </c>
      <c r="AX28" s="10">
        <f t="shared" si="17"/>
        <v>9536.0221986043998</v>
      </c>
      <c r="AZ28" s="11">
        <f t="shared" si="18"/>
        <v>1.0880252121599998</v>
      </c>
      <c r="BA28" s="12">
        <f t="shared" si="19"/>
        <v>8892.7424716494806</v>
      </c>
      <c r="BC28" s="14">
        <f t="shared" si="20"/>
        <v>3.419632233792</v>
      </c>
      <c r="BD28" s="15">
        <f t="shared" si="21"/>
        <v>10449.02997997992</v>
      </c>
      <c r="BF28" s="16">
        <f t="shared" si="8"/>
        <v>6.3561825667840006</v>
      </c>
      <c r="BG28" s="17">
        <f t="shared" si="9"/>
        <v>9144.830038094522</v>
      </c>
      <c r="BI28">
        <v>64</v>
      </c>
      <c r="BJ28" t="s">
        <v>54</v>
      </c>
      <c r="BK28" s="2">
        <v>46126.919131944444</v>
      </c>
      <c r="BL28">
        <v>312</v>
      </c>
      <c r="BM28" t="s">
        <v>13</v>
      </c>
      <c r="BN28">
        <v>0</v>
      </c>
      <c r="BO28">
        <v>2.855</v>
      </c>
      <c r="BP28" s="3">
        <v>1271471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46126.940324074072</v>
      </c>
      <c r="D29">
        <v>230</v>
      </c>
      <c r="E29" t="s">
        <v>13</v>
      </c>
      <c r="F29">
        <v>0</v>
      </c>
      <c r="G29">
        <v>6.0549999999999997</v>
      </c>
      <c r="H29" s="3">
        <v>11618</v>
      </c>
      <c r="I29">
        <v>2.4E-2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46126.940324074072</v>
      </c>
      <c r="R29">
        <v>230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46126.940324074072</v>
      </c>
      <c r="AF29">
        <v>230</v>
      </c>
      <c r="AG29" t="s">
        <v>13</v>
      </c>
      <c r="AH29">
        <v>0</v>
      </c>
      <c r="AI29">
        <v>12.301</v>
      </c>
      <c r="AJ29" s="3">
        <v>16961</v>
      </c>
      <c r="AK29" s="13">
        <v>2.99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28.434434309406402</v>
      </c>
      <c r="AU29" s="17">
        <f t="shared" si="1"/>
        <v>3204.7036068965904</v>
      </c>
      <c r="AW29" s="9">
        <f t="shared" si="16"/>
        <v>24.720713813852001</v>
      </c>
      <c r="AX29" s="10">
        <f t="shared" si="17"/>
        <v>3985.5551948718999</v>
      </c>
      <c r="AZ29" s="11">
        <f t="shared" si="18"/>
        <v>29.3206003755488</v>
      </c>
      <c r="BA29" s="12">
        <f t="shared" si="19"/>
        <v>3493.9020038441995</v>
      </c>
      <c r="BC29" s="14">
        <f t="shared" si="20"/>
        <v>34.302976805987996</v>
      </c>
      <c r="BD29" s="15">
        <f t="shared" si="21"/>
        <v>3713.9034621845303</v>
      </c>
      <c r="BF29" s="16">
        <f t="shared" si="8"/>
        <v>28.434434309406402</v>
      </c>
      <c r="BG29" s="17">
        <f t="shared" si="9"/>
        <v>3204.7036068965904</v>
      </c>
      <c r="BI29">
        <v>65</v>
      </c>
      <c r="BJ29" t="s">
        <v>55</v>
      </c>
      <c r="BK29" s="2">
        <v>46126.940324074072</v>
      </c>
      <c r="BL29">
        <v>230</v>
      </c>
      <c r="BM29" t="s">
        <v>13</v>
      </c>
      <c r="BN29">
        <v>0</v>
      </c>
      <c r="BO29">
        <v>2.88</v>
      </c>
      <c r="BP29" s="3">
        <v>831837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46126.961608796293</v>
      </c>
      <c r="D30">
        <v>180</v>
      </c>
      <c r="E30" t="s">
        <v>13</v>
      </c>
      <c r="F30">
        <v>0</v>
      </c>
      <c r="G30">
        <v>6.0570000000000004</v>
      </c>
      <c r="H30" s="3">
        <v>13390</v>
      </c>
      <c r="I30">
        <v>2.7E-2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46126.961608796293</v>
      </c>
      <c r="R30">
        <v>180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46126.961608796293</v>
      </c>
      <c r="AF30">
        <v>180</v>
      </c>
      <c r="AG30" t="s">
        <v>13</v>
      </c>
      <c r="AH30">
        <v>0</v>
      </c>
      <c r="AI30">
        <v>12.301</v>
      </c>
      <c r="AJ30" s="3">
        <v>18463</v>
      </c>
      <c r="AK30">
        <v>3.2469999999999999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ref="AT30:AT37" si="22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32.280714453560002</v>
      </c>
      <c r="AU30" s="17">
        <f t="shared" ref="AU30:AU37" si="23">IF($AJ30&lt;45000,((0.00000003579*$AJ30^2)+(0.1857*$AJ30)+(44.75)),((0.0000000022829*$AJ30^2)+(0.1634*$AJ30)+(1620)))</f>
        <v>3485.5292799865101</v>
      </c>
      <c r="AW30" s="9">
        <f t="shared" si="16"/>
        <v>30.043026358299997</v>
      </c>
      <c r="AX30" s="10">
        <f t="shared" si="17"/>
        <v>4327.7755514990995</v>
      </c>
      <c r="AZ30" s="11">
        <f t="shared" si="18"/>
        <v>34.444830441520004</v>
      </c>
      <c r="BA30" s="12">
        <f t="shared" si="19"/>
        <v>3798.6302343337998</v>
      </c>
      <c r="BC30" s="14">
        <f t="shared" si="20"/>
        <v>39.043826177700005</v>
      </c>
      <c r="BD30" s="15">
        <f t="shared" si="21"/>
        <v>4053.2980021531703</v>
      </c>
      <c r="BF30" s="16">
        <f t="shared" ref="BF30:BF37" si="24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32.280714453560002</v>
      </c>
      <c r="BG30" s="17">
        <f t="shared" ref="BG30:BG37" si="25">IF($AJ30&lt;45000,((0.00000003579*$AJ30^2)+(0.1857*$AJ30)+(44.75)),((0.0000000022829*$AJ30^2)+(0.1634*$AJ30)+(1620)))</f>
        <v>3485.5292799865101</v>
      </c>
      <c r="BI30">
        <v>66</v>
      </c>
      <c r="BJ30" t="s">
        <v>56</v>
      </c>
      <c r="BK30" s="2">
        <v>46126.961608796293</v>
      </c>
      <c r="BL30">
        <v>180</v>
      </c>
      <c r="BM30" t="s">
        <v>13</v>
      </c>
      <c r="BN30">
        <v>0</v>
      </c>
      <c r="BO30">
        <v>2.887</v>
      </c>
      <c r="BP30" s="3">
        <v>762453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46126.982858796298</v>
      </c>
      <c r="D31">
        <v>322</v>
      </c>
      <c r="E31" t="s">
        <v>13</v>
      </c>
      <c r="F31">
        <v>0</v>
      </c>
      <c r="G31">
        <v>6.06</v>
      </c>
      <c r="H31" s="3">
        <v>7289</v>
      </c>
      <c r="I31">
        <v>1.4999999999999999E-2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46126.982858796298</v>
      </c>
      <c r="R31">
        <v>322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46126.982858796298</v>
      </c>
      <c r="AF31">
        <v>322</v>
      </c>
      <c r="AG31" t="s">
        <v>13</v>
      </c>
      <c r="AH31">
        <v>0</v>
      </c>
      <c r="AI31">
        <v>12.31</v>
      </c>
      <c r="AJ31" s="3">
        <v>7227</v>
      </c>
      <c r="AK31">
        <v>1.327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22"/>
        <v>20.179521959005999</v>
      </c>
      <c r="AU31" s="17">
        <f t="shared" si="23"/>
        <v>1388.6731948429101</v>
      </c>
      <c r="AW31" s="9">
        <f t="shared" si="16"/>
        <v>6.6778563400000035</v>
      </c>
      <c r="AX31" s="10">
        <f t="shared" si="17"/>
        <v>1717.8461118230998</v>
      </c>
      <c r="AZ31" s="11">
        <f t="shared" si="18"/>
        <v>17.104737829939999</v>
      </c>
      <c r="BA31" s="12">
        <f t="shared" si="19"/>
        <v>1512.5116741657998</v>
      </c>
      <c r="BC31" s="14">
        <f t="shared" si="20"/>
        <v>22.562527021853001</v>
      </c>
      <c r="BD31" s="15">
        <f t="shared" si="21"/>
        <v>1509.0249970119701</v>
      </c>
      <c r="BF31" s="16">
        <f t="shared" si="24"/>
        <v>20.179521959005999</v>
      </c>
      <c r="BG31" s="17">
        <f t="shared" si="25"/>
        <v>1388.6731948429101</v>
      </c>
      <c r="BI31">
        <v>67</v>
      </c>
      <c r="BJ31" t="s">
        <v>57</v>
      </c>
      <c r="BK31" s="2">
        <v>46126.982858796298</v>
      </c>
      <c r="BL31">
        <v>322</v>
      </c>
      <c r="BM31" t="s">
        <v>13</v>
      </c>
      <c r="BN31">
        <v>0</v>
      </c>
      <c r="BO31">
        <v>2.8820000000000001</v>
      </c>
      <c r="BP31" s="3">
        <v>793417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46127.004074074073</v>
      </c>
      <c r="D32">
        <v>313</v>
      </c>
      <c r="E32" t="s">
        <v>13</v>
      </c>
      <c r="F32">
        <v>0</v>
      </c>
      <c r="G32">
        <v>6.0789999999999997</v>
      </c>
      <c r="H32" s="3">
        <v>1374</v>
      </c>
      <c r="I32">
        <v>3.0000000000000001E-3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46127.004074074073</v>
      </c>
      <c r="R32">
        <v>313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46127.004074074073</v>
      </c>
      <c r="AF32">
        <v>313</v>
      </c>
      <c r="AG32" t="s">
        <v>13</v>
      </c>
      <c r="AH32">
        <v>0</v>
      </c>
      <c r="AI32">
        <v>12.285</v>
      </c>
      <c r="AJ32" s="3">
        <v>41660</v>
      </c>
      <c r="AK32">
        <v>7.2089999999999996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22"/>
        <v>4.9612584285360004</v>
      </c>
      <c r="AU32" s="17">
        <f t="shared" si="23"/>
        <v>7843.1275349239995</v>
      </c>
      <c r="AW32" s="9">
        <f t="shared" si="16"/>
        <v>7.1923430400000008</v>
      </c>
      <c r="AX32" s="10">
        <f t="shared" si="17"/>
        <v>9351.7330908399999</v>
      </c>
      <c r="AZ32" s="11">
        <f t="shared" si="18"/>
        <v>-0.33270476535999993</v>
      </c>
      <c r="BA32" s="12">
        <f t="shared" si="19"/>
        <v>8470.6137751200004</v>
      </c>
      <c r="BC32" s="14">
        <f t="shared" si="20"/>
        <v>1.5313017308679999</v>
      </c>
      <c r="BD32" s="15">
        <f t="shared" si="21"/>
        <v>9266.8182867079995</v>
      </c>
      <c r="BF32" s="16">
        <f t="shared" si="24"/>
        <v>4.9612584285360004</v>
      </c>
      <c r="BG32" s="17">
        <f t="shared" si="25"/>
        <v>7843.1275349239995</v>
      </c>
      <c r="BI32">
        <v>68</v>
      </c>
      <c r="BJ32" t="s">
        <v>58</v>
      </c>
      <c r="BK32" s="2">
        <v>46127.004074074073</v>
      </c>
      <c r="BL32">
        <v>313</v>
      </c>
      <c r="BM32" t="s">
        <v>13</v>
      </c>
      <c r="BN32">
        <v>0</v>
      </c>
      <c r="BO32">
        <v>2.89</v>
      </c>
      <c r="BP32" s="3">
        <v>782806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46127.025289351855</v>
      </c>
      <c r="D33">
        <v>316</v>
      </c>
      <c r="E33" t="s">
        <v>13</v>
      </c>
      <c r="F33">
        <v>0</v>
      </c>
      <c r="G33">
        <v>6.0540000000000003</v>
      </c>
      <c r="H33" s="3">
        <v>18142</v>
      </c>
      <c r="I33">
        <v>3.6999999999999998E-2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46127.025289351855</v>
      </c>
      <c r="R33">
        <v>316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46127.025289351855</v>
      </c>
      <c r="AF33">
        <v>316</v>
      </c>
      <c r="AG33" t="s">
        <v>13</v>
      </c>
      <c r="AH33">
        <v>0</v>
      </c>
      <c r="AI33">
        <v>12.314</v>
      </c>
      <c r="AJ33" s="3">
        <v>4985</v>
      </c>
      <c r="AK33">
        <v>0.94399999999999995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22"/>
        <v>42.583674653470403</v>
      </c>
      <c r="AU33" s="17">
        <f t="shared" si="23"/>
        <v>971.35388955275005</v>
      </c>
      <c r="AW33" s="9">
        <f t="shared" si="16"/>
        <v>44.267064577372004</v>
      </c>
      <c r="AX33" s="10">
        <f t="shared" si="17"/>
        <v>1183.2858123775</v>
      </c>
      <c r="AZ33" s="11">
        <f t="shared" si="18"/>
        <v>48.177604631036807</v>
      </c>
      <c r="BA33" s="12">
        <f t="shared" si="19"/>
        <v>1054.538956545</v>
      </c>
      <c r="BC33" s="14">
        <f t="shared" si="20"/>
        <v>51.749282240867998</v>
      </c>
      <c r="BD33" s="15">
        <f t="shared" si="21"/>
        <v>999.86509945925013</v>
      </c>
      <c r="BF33" s="16">
        <f t="shared" si="24"/>
        <v>42.583674653470403</v>
      </c>
      <c r="BG33" s="17">
        <f t="shared" si="25"/>
        <v>971.35388955275005</v>
      </c>
      <c r="BI33">
        <v>69</v>
      </c>
      <c r="BJ33" t="s">
        <v>59</v>
      </c>
      <c r="BK33" s="2">
        <v>46127.025289351855</v>
      </c>
      <c r="BL33">
        <v>316</v>
      </c>
      <c r="BM33" t="s">
        <v>13</v>
      </c>
      <c r="BN33">
        <v>0</v>
      </c>
      <c r="BO33">
        <v>2.8690000000000002</v>
      </c>
      <c r="BP33" s="3">
        <v>1041681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46127.046550925923</v>
      </c>
      <c r="D34">
        <v>299</v>
      </c>
      <c r="E34" t="s">
        <v>13</v>
      </c>
      <c r="F34">
        <v>0</v>
      </c>
      <c r="G34">
        <v>6.0519999999999996</v>
      </c>
      <c r="H34" s="3">
        <v>26670</v>
      </c>
      <c r="I34">
        <v>5.3999999999999999E-2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46127.046550925923</v>
      </c>
      <c r="R34">
        <v>299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46127.046550925923</v>
      </c>
      <c r="AF34">
        <v>299</v>
      </c>
      <c r="AG34" t="s">
        <v>13</v>
      </c>
      <c r="AH34">
        <v>0</v>
      </c>
      <c r="AI34">
        <v>12.266999999999999</v>
      </c>
      <c r="AJ34" s="3">
        <v>5137</v>
      </c>
      <c r="AK34">
        <v>0.97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22"/>
        <v>61.030870858040004</v>
      </c>
      <c r="AU34" s="17">
        <f t="shared" si="23"/>
        <v>999.63535404251002</v>
      </c>
      <c r="AW34" s="9">
        <f t="shared" si="16"/>
        <v>69.615107404700012</v>
      </c>
      <c r="AX34" s="10">
        <f t="shared" si="17"/>
        <v>1219.6720824590998</v>
      </c>
      <c r="AZ34" s="11">
        <f t="shared" si="18"/>
        <v>72.789909765680008</v>
      </c>
      <c r="BA34" s="12">
        <f t="shared" si="19"/>
        <v>1085.6069516138</v>
      </c>
      <c r="BC34" s="14">
        <f t="shared" si="20"/>
        <v>74.520871019299989</v>
      </c>
      <c r="BD34" s="15">
        <f t="shared" si="21"/>
        <v>1034.4000031051701</v>
      </c>
      <c r="BF34" s="16">
        <f t="shared" si="24"/>
        <v>61.030870858040004</v>
      </c>
      <c r="BG34" s="17">
        <f t="shared" si="25"/>
        <v>999.63535404251002</v>
      </c>
      <c r="BI34">
        <v>70</v>
      </c>
      <c r="BJ34" t="s">
        <v>60</v>
      </c>
      <c r="BK34" s="2">
        <v>46127.046550925923</v>
      </c>
      <c r="BL34">
        <v>299</v>
      </c>
      <c r="BM34" t="s">
        <v>13</v>
      </c>
      <c r="BN34">
        <v>0</v>
      </c>
      <c r="BO34">
        <v>2.88</v>
      </c>
      <c r="BP34" s="3">
        <v>832640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46127.067789351851</v>
      </c>
      <c r="D35">
        <v>335</v>
      </c>
      <c r="E35" t="s">
        <v>13</v>
      </c>
      <c r="F35">
        <v>0</v>
      </c>
      <c r="G35">
        <v>6.056</v>
      </c>
      <c r="H35" s="3">
        <v>31458</v>
      </c>
      <c r="I35">
        <v>6.4000000000000001E-2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46127.067789351851</v>
      </c>
      <c r="R35">
        <v>335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46127.067789351851</v>
      </c>
      <c r="AF35">
        <v>335</v>
      </c>
      <c r="AG35" t="s">
        <v>13</v>
      </c>
      <c r="AH35">
        <v>0</v>
      </c>
      <c r="AI35">
        <v>12.334</v>
      </c>
      <c r="AJ35" s="3">
        <v>2282</v>
      </c>
      <c r="AK35">
        <v>0.48199999999999998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22"/>
        <v>71.363952390430399</v>
      </c>
      <c r="AU35" s="17">
        <f t="shared" si="23"/>
        <v>468.70377728395999</v>
      </c>
      <c r="AW35" s="9">
        <f t="shared" si="16"/>
        <v>83.746085710172011</v>
      </c>
      <c r="AX35" s="10">
        <f t="shared" si="17"/>
        <v>532.71284830359991</v>
      </c>
      <c r="AZ35" s="11">
        <f t="shared" si="18"/>
        <v>86.589943855356807</v>
      </c>
      <c r="BA35" s="12">
        <f t="shared" si="19"/>
        <v>501.59859006479996</v>
      </c>
      <c r="BC35" s="14">
        <f t="shared" si="20"/>
        <v>87.289089684068003</v>
      </c>
      <c r="BD35" s="15">
        <f t="shared" si="21"/>
        <v>385.35586679732</v>
      </c>
      <c r="BF35" s="16">
        <f t="shared" si="24"/>
        <v>71.363952390430399</v>
      </c>
      <c r="BG35" s="17">
        <f t="shared" si="25"/>
        <v>468.70377728395999</v>
      </c>
      <c r="BI35">
        <v>71</v>
      </c>
      <c r="BJ35" t="s">
        <v>61</v>
      </c>
      <c r="BK35" s="2">
        <v>46127.067789351851</v>
      </c>
      <c r="BL35">
        <v>335</v>
      </c>
      <c r="BM35" t="s">
        <v>13</v>
      </c>
      <c r="BN35">
        <v>0</v>
      </c>
      <c r="BO35">
        <v>2.88</v>
      </c>
      <c r="BP35" s="3">
        <v>884911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46127.089050925926</v>
      </c>
      <c r="D36">
        <v>29</v>
      </c>
      <c r="E36" t="s">
        <v>13</v>
      </c>
      <c r="F36">
        <v>0</v>
      </c>
      <c r="G36">
        <v>6.056</v>
      </c>
      <c r="H36" s="3">
        <v>11881</v>
      </c>
      <c r="I36">
        <v>2.4E-2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46127.089050925926</v>
      </c>
      <c r="R36">
        <v>29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46127.089050925926</v>
      </c>
      <c r="AF36">
        <v>29</v>
      </c>
      <c r="AG36" t="s">
        <v>13</v>
      </c>
      <c r="AH36">
        <v>0</v>
      </c>
      <c r="AI36">
        <v>12.28</v>
      </c>
      <c r="AJ36" s="3">
        <v>20274</v>
      </c>
      <c r="AK36">
        <v>3.556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8">
        <v>72</v>
      </c>
      <c r="AT36" s="16">
        <f t="shared" si="22"/>
        <v>29.005448068199602</v>
      </c>
      <c r="AU36" s="17">
        <f t="shared" si="23"/>
        <v>3824.3427453700401</v>
      </c>
      <c r="AW36" s="9">
        <f t="shared" si="16"/>
        <v>25.511276580103001</v>
      </c>
      <c r="AX36" s="10">
        <f t="shared" si="17"/>
        <v>4737.6629018363992</v>
      </c>
      <c r="AZ36" s="11">
        <f t="shared" si="18"/>
        <v>30.081252523103203</v>
      </c>
      <c r="BA36" s="12">
        <f t="shared" si="19"/>
        <v>4165.6901024552008</v>
      </c>
      <c r="BC36" s="14">
        <f t="shared" si="20"/>
        <v>35.006717403656999</v>
      </c>
      <c r="BD36" s="15">
        <f t="shared" si="21"/>
        <v>4462.2203088206797</v>
      </c>
      <c r="BF36" s="16">
        <f t="shared" si="24"/>
        <v>29.005448068199602</v>
      </c>
      <c r="BG36" s="17">
        <f t="shared" si="25"/>
        <v>3824.3427453700401</v>
      </c>
      <c r="BI36">
        <v>72</v>
      </c>
      <c r="BJ36" t="s">
        <v>62</v>
      </c>
      <c r="BK36" s="2">
        <v>46127.089050925926</v>
      </c>
      <c r="BL36">
        <v>29</v>
      </c>
      <c r="BM36" t="s">
        <v>13</v>
      </c>
      <c r="BN36">
        <v>0</v>
      </c>
      <c r="BO36">
        <v>2.8860000000000001</v>
      </c>
      <c r="BP36" s="3">
        <v>762082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46127.110231481478</v>
      </c>
      <c r="D37">
        <v>191</v>
      </c>
      <c r="E37" t="s">
        <v>13</v>
      </c>
      <c r="F37">
        <v>0</v>
      </c>
      <c r="G37">
        <v>6.0529999999999999</v>
      </c>
      <c r="H37" s="3">
        <v>19745</v>
      </c>
      <c r="I37">
        <v>0.04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46127.110231481478</v>
      </c>
      <c r="R37">
        <v>191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46127.110231481478</v>
      </c>
      <c r="AF37">
        <v>191</v>
      </c>
      <c r="AG37" t="s">
        <v>13</v>
      </c>
      <c r="AH37">
        <v>0</v>
      </c>
      <c r="AI37">
        <v>12.311</v>
      </c>
      <c r="AJ37" s="3">
        <v>5439</v>
      </c>
      <c r="AK37">
        <v>1.022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8">
        <v>73</v>
      </c>
      <c r="AT37" s="16">
        <f t="shared" si="22"/>
        <v>46.055354804590003</v>
      </c>
      <c r="AU37" s="17">
        <f t="shared" si="23"/>
        <v>1055.8310655845899</v>
      </c>
      <c r="AW37" s="9">
        <f t="shared" si="16"/>
        <v>49.049217855575002</v>
      </c>
      <c r="AX37" s="10">
        <f t="shared" si="17"/>
        <v>1291.9033209519</v>
      </c>
      <c r="AZ37" s="11">
        <f t="shared" si="18"/>
        <v>52.807161980780002</v>
      </c>
      <c r="BA37" s="12">
        <f t="shared" si="19"/>
        <v>1147.3259532841998</v>
      </c>
      <c r="BC37" s="14">
        <f t="shared" si="20"/>
        <v>56.032555498424998</v>
      </c>
      <c r="BD37" s="15">
        <f t="shared" si="21"/>
        <v>1103.0086758805301</v>
      </c>
      <c r="BF37" s="16">
        <f t="shared" si="24"/>
        <v>46.055354804590003</v>
      </c>
      <c r="BG37" s="17">
        <f t="shared" si="25"/>
        <v>1055.8310655845899</v>
      </c>
      <c r="BI37">
        <v>73</v>
      </c>
      <c r="BJ37" t="s">
        <v>63</v>
      </c>
      <c r="BK37" s="2">
        <v>46127.110231481478</v>
      </c>
      <c r="BL37">
        <v>191</v>
      </c>
      <c r="BM37" t="s">
        <v>13</v>
      </c>
      <c r="BN37">
        <v>0</v>
      </c>
      <c r="BO37">
        <v>2.8740000000000001</v>
      </c>
      <c r="BP37" s="3">
        <v>926443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C38" s="2"/>
      <c r="H38" s="3"/>
      <c r="Q38" s="2"/>
      <c r="AE38" s="2"/>
      <c r="AJ38" s="3"/>
      <c r="AS38" s="8"/>
      <c r="AT38" s="16"/>
      <c r="AU38" s="17"/>
      <c r="AW38" s="9"/>
      <c r="AX38" s="10"/>
      <c r="AZ38" s="11"/>
      <c r="BA38" s="12"/>
      <c r="BC38" s="14"/>
      <c r="BD38" s="15"/>
      <c r="BF38" s="16"/>
      <c r="BG38" s="17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8"/>
      <c r="AT39" s="16"/>
      <c r="AU39" s="17"/>
      <c r="AW39" s="9"/>
      <c r="AX39" s="10"/>
      <c r="AZ39" s="11"/>
      <c r="BA39" s="12"/>
      <c r="BC39" s="14"/>
      <c r="BD39" s="15"/>
      <c r="BF39" s="16"/>
      <c r="BG39" s="17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6"/>
      <c r="AU40" s="17"/>
      <c r="AW40" s="9"/>
      <c r="AX40" s="10"/>
      <c r="AZ40" s="11"/>
      <c r="BA40" s="12"/>
      <c r="BC40" s="14"/>
      <c r="BD40" s="15"/>
      <c r="BF40" s="16"/>
      <c r="BG40" s="17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6"/>
      <c r="AU41" s="17"/>
      <c r="AW41" s="9"/>
      <c r="AX41" s="10"/>
      <c r="AZ41" s="11"/>
      <c r="BA41" s="12"/>
      <c r="BC41" s="14"/>
      <c r="BD41" s="15"/>
      <c r="BF41" s="16"/>
      <c r="BG41" s="17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2026-04-16T15:18:00Z</dcterms:modified>
</cp:coreProperties>
</file>