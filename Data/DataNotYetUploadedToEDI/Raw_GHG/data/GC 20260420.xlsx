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D32DD262-904D-4178-8EE2-6D0E6E22DA2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<sst xmlns="http://schemas.openxmlformats.org/spreadsheetml/2006/main" count="591" uniqueCount="54">
  <si>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</si>
  <si>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</si>
  <si>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</si>
  <si>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</si>
  <si>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</si>
  <si>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</si>
  <si>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</si>
  <si>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</si>
  <si>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</si>
  <si>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</si>
  <si>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</si>
  <si>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</si>
  <si>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</si>
  <si>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</si>
  <si>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</si>
  <si>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</si>
  <si>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</si>
  <si>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</si>
  <si>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</si>
  <si>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</si>
  <si>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</si>
  <si>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</si>
  <si>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</si>
  <si>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</si>
  <si>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</si>
  <si>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</si>
  <si>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</si>
  <si>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</si>
  <si>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</si>
  <si>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</si>
  <si>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</si>
  <si>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</si>
  <si>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</si>
  <si>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</si>
  <si>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</si>
  <si>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FMI20260420_001.gcd</t>
  </si>
  <si>
    <t>FMI20260420_002.gcd</t>
  </si>
  <si>
    <t>FMI20260420_003.gcd</t>
  </si>
  <si>
    <t>FMI20260420_004.gcd</t>
  </si>
  <si>
    <t>FMI20260420_005.gcd</t>
  </si>
  <si>
    <t>FMI20260420_006.gcd</t>
  </si>
  <si>
    <t>FMI20260420_007.gcd</t>
  </si>
  <si>
    <t>FMI20260420_008.gcd</t>
  </si>
  <si>
    <t>FMI20260420_009.gcd</t>
  </si>
  <si>
    <t>FMI20260420_010.gcd</t>
  </si>
  <si>
    <t>FMI20260420_011.gcd</t>
  </si>
  <si>
    <t>FMI20260420_012.gcd</t>
  </si>
  <si>
    <t>FMI20260420_013.gcd</t>
  </si>
  <si>
    <t>FMI20260420_014.gcd</t>
  </si>
  <si>
    <t>FMI20260420_015.gcd</t>
  </si>
  <si>
    <t>FMI20260420_016.gcd</t>
  </si>
  <si>
    <t>FMI20260420_017.gcd</t>
  </si>
  <si>
    <t>FMI20260420_018.gcd</t>
  </si>
  <si>
    <t>FMI20260420_019.gcd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</si>
</sst>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V6" workbookViewId="0">
      <selection activeCell="AP9" sqref="AP9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46132.691030092596</v>
      </c>
      <c r="D9" t="s">
        <v>31</v>
      </c>
      <c r="E9" t="s">
        <v>13</v>
      </c>
      <c r="F9">
        <v>0</v>
      </c>
      <c r="G9">
        <v>6.1130000000000004</v>
      </c>
      <c r="H9" s="3">
        <v>1479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46132.691030092596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46132.691030092596</v>
      </c>
      <c r="AF9" t="s">
        <v>31</v>
      </c>
      <c r="AG9" t="s">
        <v>13</v>
      </c>
      <c r="AH9">
        <v>0</v>
      </c>
      <c r="AI9">
        <v>12.412000000000001</v>
      </c>
      <c r="AJ9" s="3">
        <v>1932</v>
      </c>
      <c r="AK9">
        <v>0.42199999999999999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7" si="0">IF($H9&lt;10000,(($H9^2*-0.000000003714)+($H9*0.002605)+(1.389)),(IF($H9&lt;200000,(($H9^2*-0.0000000003764)+($H9*0.00218)+(3.158)),(IF($H9&lt;8000000,(($H9^2*-0.000000000004719)+($H9*0.001816)+(146.1)),(($V9^2*0.000000002578)+($V9*0.2173)+(2294)))))))</f>
        <v>5.2336708441260003</v>
      </c>
      <c r="AU9" s="17">
        <f t="shared" ref="AU9:AU27" si="1">IF($AJ9&lt;45000,((0.00000003579*$AJ9^2)+(0.1857*$AJ9)+(44.75)),((0.0000000022829*$AJ9^2)+(0.1634*$AJ9)+(1620)))</f>
        <v>403.65599061296001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6.8537831400000009</v>
      </c>
      <c r="AX9" s="10">
        <f t="shared" ref="AX9:AX14" si="3">IF(AJ9&lt;45000,((-0.0000004561*AJ9^2)+(0.244*AJ9)+(-21.72)),((-0.0000000409*AJ9^2)+(0.2477*AJ9)+(-1777)))</f>
        <v>447.98555019360003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-5.8022621260000129E-2</v>
      </c>
      <c r="BA9" s="12">
        <f t="shared" ref="BA9:BA14" si="5">IF(AJ9&lt;45000,((-0.0000000598*AJ9^2)+(0.205*AJ9)+(34.1)),((-0.00000002403*AJ9^2)+(0.2063*AJ9)+(-550.7)))</f>
        <v>429.93678908480001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1.8994559364130001</v>
      </c>
      <c r="BD9" s="15">
        <f t="shared" ref="BD9:BD14" si="7">IF(AJ9&lt;45000,((-0.00000004907*AJ9^2)+(0.2277*AJ9)+(-134)),((-0.00000001062*AJ9^2)+(0.2147*AJ9)+(590.6)))</f>
        <v>305.73324014031999</v>
      </c>
      <c r="BF9" s="16">
        <f t="shared" ref="BF9:BF27" si="8">IF($H9&lt;10000,(($H9^2*-0.000000003714)+($H9*0.002605)+(1.389)),(IF($H9&lt;200000,(($H9^2*-0.0000000003764)+($H9*0.00218)+(3.158)),(IF($H9&lt;8000000,(($H9^2*-0.000000000004719)+($H9*0.001816)+(146.1)),(($V9^2*0.000000002578)+($V9*0.2173)+(2294)))))))</f>
        <v>5.2336708441260003</v>
      </c>
      <c r="BG9" s="17">
        <f t="shared" ref="BG9:BG27" si="9">IF($AJ9&lt;45000,((0.00000003579*$AJ9^2)+(0.1857*$AJ9)+(44.75)),((0.0000000022829*$AJ9^2)+(0.1634*$AJ9)+(1620)))</f>
        <v>403.65599061296001</v>
      </c>
      <c r="BI9">
        <v>45</v>
      </c>
      <c r="BJ9" t="s">
        <v>35</v>
      </c>
      <c r="BK9" s="2">
        <v>46132.691030092596</v>
      </c>
      <c r="BL9" t="s">
        <v>31</v>
      </c>
      <c r="BM9" t="s">
        <v>13</v>
      </c>
      <c r="BN9">
        <v>0</v>
      </c>
      <c r="BO9">
        <v>2.742</v>
      </c>
      <c r="BP9" s="3">
        <v>4840678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46132.712210648147</v>
      </c>
      <c r="D10" t="s">
        <v>32</v>
      </c>
      <c r="E10" t="s">
        <v>13</v>
      </c>
      <c r="F10">
        <v>0</v>
      </c>
      <c r="G10">
        <v>6.0720000000000001</v>
      </c>
      <c r="H10" s="3">
        <v>951970</v>
      </c>
      <c r="I10">
        <v>1.9359999999999999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46132.712210648147</v>
      </c>
      <c r="R10" t="s">
        <v>32</v>
      </c>
      <c r="S10" t="s">
        <v>13</v>
      </c>
      <c r="T10">
        <v>0</v>
      </c>
      <c r="U10">
        <v>6.0229999999999997</v>
      </c>
      <c r="V10" s="3">
        <v>7767</v>
      </c>
      <c r="W10">
        <v>1.92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46132.712210648147</v>
      </c>
      <c r="AF10" t="s">
        <v>32</v>
      </c>
      <c r="AG10" t="s">
        <v>13</v>
      </c>
      <c r="AH10">
        <v>0</v>
      </c>
      <c r="AI10">
        <v>12.379</v>
      </c>
      <c r="AJ10" s="3">
        <v>8596</v>
      </c>
      <c r="AK10">
        <v>1.5609999999999999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1870.6009409690328</v>
      </c>
      <c r="AU10" s="17">
        <f t="shared" si="1"/>
        <v>1643.67176662064</v>
      </c>
      <c r="AW10" s="9">
        <f t="shared" si="2"/>
        <v>1984.0656080152601</v>
      </c>
      <c r="AX10" s="10">
        <f t="shared" si="3"/>
        <v>2042.0022163823999</v>
      </c>
      <c r="AZ10" s="11">
        <f t="shared" si="4"/>
        <v>2191.4529793384199</v>
      </c>
      <c r="BA10" s="12">
        <f t="shared" si="5"/>
        <v>1791.8613052831997</v>
      </c>
      <c r="BC10" s="14">
        <f t="shared" si="6"/>
        <v>2125.5254271542908</v>
      </c>
      <c r="BD10" s="15">
        <f t="shared" si="7"/>
        <v>1819.6833580308801</v>
      </c>
      <c r="BF10" s="16">
        <f t="shared" si="8"/>
        <v>1870.6009409690328</v>
      </c>
      <c r="BG10" s="17">
        <f t="shared" si="9"/>
        <v>1643.67176662064</v>
      </c>
      <c r="BI10">
        <v>46</v>
      </c>
      <c r="BJ10" t="s">
        <v>36</v>
      </c>
      <c r="BK10" s="2">
        <v>46132.712210648147</v>
      </c>
      <c r="BL10" t="s">
        <v>32</v>
      </c>
      <c r="BM10" t="s">
        <v>13</v>
      </c>
      <c r="BN10">
        <v>0</v>
      </c>
      <c r="BO10">
        <v>2.7360000000000002</v>
      </c>
      <c r="BP10" s="3">
        <v>4973428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46132.733391203707</v>
      </c>
      <c r="D11" t="s">
        <v>26</v>
      </c>
      <c r="E11" t="s">
        <v>13</v>
      </c>
      <c r="F11">
        <v>0</v>
      </c>
      <c r="G11">
        <v>6.085</v>
      </c>
      <c r="H11" s="3">
        <v>3034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46132.733391203707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46132.733391203707</v>
      </c>
      <c r="AF11" t="s">
        <v>26</v>
      </c>
      <c r="AG11" t="s">
        <v>13</v>
      </c>
      <c r="AH11">
        <v>0</v>
      </c>
      <c r="AI11">
        <v>12.397</v>
      </c>
      <c r="AJ11" s="3">
        <v>1659</v>
      </c>
      <c r="AK11">
        <v>0.376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9.2583820506159995</v>
      </c>
      <c r="AU11" s="17">
        <f t="shared" si="1"/>
        <v>352.92480413699002</v>
      </c>
      <c r="AW11" s="9">
        <f t="shared" si="2"/>
        <v>3.2337742400000007</v>
      </c>
      <c r="AX11" s="10">
        <f t="shared" si="3"/>
        <v>381.82068463589997</v>
      </c>
      <c r="AZ11" s="11">
        <f t="shared" si="4"/>
        <v>4.1573846138399997</v>
      </c>
      <c r="BA11" s="12">
        <f t="shared" si="5"/>
        <v>374.03041359619999</v>
      </c>
      <c r="BC11" s="14">
        <f t="shared" si="6"/>
        <v>7.3735673899079988</v>
      </c>
      <c r="BD11" s="15">
        <f t="shared" si="7"/>
        <v>243.61924557133</v>
      </c>
      <c r="BF11" s="16">
        <f t="shared" si="8"/>
        <v>9.2583820506159995</v>
      </c>
      <c r="BG11" s="17">
        <f t="shared" si="9"/>
        <v>352.92480413699002</v>
      </c>
      <c r="BI11">
        <v>47</v>
      </c>
      <c r="BJ11" t="s">
        <v>37</v>
      </c>
      <c r="BK11" s="2">
        <v>46132.733391203707</v>
      </c>
      <c r="BL11" t="s">
        <v>26</v>
      </c>
      <c r="BM11" t="s">
        <v>13</v>
      </c>
      <c r="BN11">
        <v>0</v>
      </c>
      <c r="BO11">
        <v>2.7360000000000002</v>
      </c>
      <c r="BP11" s="3">
        <v>5026404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46132.754606481481</v>
      </c>
      <c r="D12">
        <v>143</v>
      </c>
      <c r="E12" t="s">
        <v>13</v>
      </c>
      <c r="F12">
        <v>0</v>
      </c>
      <c r="G12">
        <v>6.0759999999999996</v>
      </c>
      <c r="H12" s="3">
        <v>35470</v>
      </c>
      <c r="I12">
        <v>7.1999999999999995E-2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46132.754606481481</v>
      </c>
      <c r="R12">
        <v>143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46132.754606481481</v>
      </c>
      <c r="AF12">
        <v>143</v>
      </c>
      <c r="AG12" t="s">
        <v>13</v>
      </c>
      <c r="AH12">
        <v>0</v>
      </c>
      <c r="AI12">
        <v>12.375</v>
      </c>
      <c r="AJ12" s="3">
        <v>2003</v>
      </c>
      <c r="AK12">
        <v>0.435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80.009043293240012</v>
      </c>
      <c r="AU12" s="17">
        <f t="shared" si="1"/>
        <v>416.85068980211003</v>
      </c>
      <c r="AW12" s="9">
        <f t="shared" si="2"/>
        <v>95.531153340700001</v>
      </c>
      <c r="AX12" s="10">
        <f t="shared" si="3"/>
        <v>465.18212269510002</v>
      </c>
      <c r="AZ12" s="11">
        <f t="shared" si="4"/>
        <v>98.143184684080012</v>
      </c>
      <c r="BA12" s="12">
        <f t="shared" si="5"/>
        <v>444.47508186179999</v>
      </c>
      <c r="BC12" s="14">
        <f t="shared" si="6"/>
        <v>97.978654203299996</v>
      </c>
      <c r="BD12" s="15">
        <f t="shared" si="7"/>
        <v>321.88623071837003</v>
      </c>
      <c r="BF12" s="16">
        <f t="shared" si="8"/>
        <v>80.009043293240012</v>
      </c>
      <c r="BG12" s="17">
        <f t="shared" si="9"/>
        <v>416.85068980211003</v>
      </c>
      <c r="BI12">
        <v>48</v>
      </c>
      <c r="BJ12" t="s">
        <v>38</v>
      </c>
      <c r="BK12" s="2">
        <v>46132.754606481481</v>
      </c>
      <c r="BL12">
        <v>143</v>
      </c>
      <c r="BM12" t="s">
        <v>13</v>
      </c>
      <c r="BN12">
        <v>0</v>
      </c>
      <c r="BO12">
        <v>2.907</v>
      </c>
      <c r="BP12" s="3">
        <v>555104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46132.77579861111</v>
      </c>
      <c r="D13">
        <v>115</v>
      </c>
      <c r="E13" t="s">
        <v>13</v>
      </c>
      <c r="F13">
        <v>0</v>
      </c>
      <c r="G13">
        <v>6.0759999999999996</v>
      </c>
      <c r="H13" s="3">
        <v>20409</v>
      </c>
      <c r="I13">
        <v>4.2000000000000003E-2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46132.77579861111</v>
      </c>
      <c r="R13">
        <v>115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46132.77579861111</v>
      </c>
      <c r="AF13">
        <v>115</v>
      </c>
      <c r="AG13" t="s">
        <v>13</v>
      </c>
      <c r="AH13">
        <v>0</v>
      </c>
      <c r="AI13">
        <v>12.358000000000001</v>
      </c>
      <c r="AJ13" s="3">
        <v>554</v>
      </c>
      <c r="AK13">
        <v>0.187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47.492839131431609</v>
      </c>
      <c r="AU13" s="17">
        <f t="shared" si="1"/>
        <v>147.63878452364003</v>
      </c>
      <c r="AW13" s="9">
        <f t="shared" si="2"/>
        <v>51.027723477862999</v>
      </c>
      <c r="AX13" s="10">
        <f t="shared" si="3"/>
        <v>113.31601561239998</v>
      </c>
      <c r="AZ13" s="11">
        <f t="shared" si="4"/>
        <v>54.724397921247203</v>
      </c>
      <c r="BA13" s="12">
        <f t="shared" si="5"/>
        <v>147.65164642319999</v>
      </c>
      <c r="BC13" s="14">
        <f t="shared" si="6"/>
        <v>57.806391325096996</v>
      </c>
      <c r="BD13" s="15">
        <f t="shared" si="7"/>
        <v>-7.8692603681199955</v>
      </c>
      <c r="BF13" s="16">
        <f t="shared" si="8"/>
        <v>47.492839131431609</v>
      </c>
      <c r="BG13" s="17">
        <f t="shared" si="9"/>
        <v>147.63878452364003</v>
      </c>
      <c r="BI13">
        <v>49</v>
      </c>
      <c r="BJ13" t="s">
        <v>39</v>
      </c>
      <c r="BK13" s="2">
        <v>46132.77579861111</v>
      </c>
      <c r="BL13">
        <v>115</v>
      </c>
      <c r="BM13" t="s">
        <v>13</v>
      </c>
      <c r="BN13">
        <v>0</v>
      </c>
      <c r="BO13">
        <v>2.8969999999999998</v>
      </c>
      <c r="BP13" s="3">
        <v>718714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46132.797013888892</v>
      </c>
      <c r="D14">
        <v>173</v>
      </c>
      <c r="E14" t="s">
        <v>13</v>
      </c>
      <c r="F14">
        <v>0</v>
      </c>
      <c r="G14">
        <v>6.0750000000000002</v>
      </c>
      <c r="H14" s="3">
        <v>38128</v>
      </c>
      <c r="I14">
        <v>7.6999999999999999E-2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46132.797013888892</v>
      </c>
      <c r="R14">
        <v>173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46132.797013888892</v>
      </c>
      <c r="AF14">
        <v>173</v>
      </c>
      <c r="AG14" t="s">
        <v>13</v>
      </c>
      <c r="AH14">
        <v>0</v>
      </c>
      <c r="AI14">
        <v>12.372999999999999</v>
      </c>
      <c r="AJ14" s="3">
        <v>2837</v>
      </c>
      <c r="AK14">
        <v>0.57699999999999996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85.729850613862396</v>
      </c>
      <c r="AU14" s="17">
        <f t="shared" si="1"/>
        <v>571.86895828451009</v>
      </c>
      <c r="AW14" s="9">
        <f t="shared" si="2"/>
        <v>103.31094910643201</v>
      </c>
      <c r="AX14" s="10">
        <f t="shared" si="3"/>
        <v>666.8370476790999</v>
      </c>
      <c r="AZ14" s="11">
        <f t="shared" si="4"/>
        <v>105.7922306219008</v>
      </c>
      <c r="BA14" s="12">
        <f t="shared" si="5"/>
        <v>615.20369557379991</v>
      </c>
      <c r="BC14" s="14">
        <f t="shared" si="6"/>
        <v>105.055961227008</v>
      </c>
      <c r="BD14" s="15">
        <f t="shared" si="7"/>
        <v>511.58995671917</v>
      </c>
      <c r="BF14" s="16">
        <f t="shared" si="8"/>
        <v>85.729850613862396</v>
      </c>
      <c r="BG14" s="17">
        <f t="shared" si="9"/>
        <v>571.86895828451009</v>
      </c>
      <c r="BI14">
        <v>50</v>
      </c>
      <c r="BJ14" t="s">
        <v>40</v>
      </c>
      <c r="BK14" s="2">
        <v>46132.797013888892</v>
      </c>
      <c r="BL14">
        <v>173</v>
      </c>
      <c r="BM14" t="s">
        <v>13</v>
      </c>
      <c r="BN14">
        <v>0</v>
      </c>
      <c r="BO14">
        <v>2.9039999999999999</v>
      </c>
      <c r="BP14" s="3">
        <v>599254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46132.818229166667</v>
      </c>
      <c r="D15">
        <v>192</v>
      </c>
      <c r="E15" t="s">
        <v>13</v>
      </c>
      <c r="F15">
        <v>0</v>
      </c>
      <c r="G15">
        <v>6.0810000000000004</v>
      </c>
      <c r="H15" s="3">
        <v>3849</v>
      </c>
      <c r="I15">
        <v>8.0000000000000002E-3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46132.818229166667</v>
      </c>
      <c r="R15">
        <v>192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46132.818229166667</v>
      </c>
      <c r="AF15">
        <v>192</v>
      </c>
      <c r="AG15" t="s">
        <v>13</v>
      </c>
      <c r="AH15">
        <v>0</v>
      </c>
      <c r="AI15">
        <v>12.311999999999999</v>
      </c>
      <c r="AJ15" s="3">
        <v>49453</v>
      </c>
      <c r="AK15">
        <v>8.5399999999999991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11.360622829085999</v>
      </c>
      <c r="AU15" s="17">
        <f t="shared" si="1"/>
        <v>9706.2032584342251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2.3795075400000005</v>
      </c>
      <c r="AX15" s="10">
        <f t="shared" ref="AX15:AX16" si="11">IF(AJ15&lt;45000,((-0.0000004561*AJ15^2)+(0.244*AJ15)+(-21.72)),((-0.0000000409*AJ15^2)+(0.2477*AJ15)+(-1777)))</f>
        <v>10372.4830923519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6.4771147291400002</v>
      </c>
      <c r="BA15" s="12">
        <f t="shared" ref="BA15:BA16" si="13">IF(AJ15&lt;45000,((-0.0000000598*AJ15^2)+(0.205*AJ15)+(34.1)),((-0.00000002403*AJ15^2)+(0.2063*AJ15)+(-550.7)))</f>
        <v>9592.6861510077306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10.259040104893</v>
      </c>
      <c r="BD15" s="15">
        <f t="shared" ref="BD15:BD16" si="15">IF(AJ15&lt;45000,((-0.00000004907*AJ15^2)+(0.2277*AJ15)+(-134)),((-0.00000001062*AJ15^2)+(0.2147*AJ15)+(590.6)))</f>
        <v>11182.18683640042</v>
      </c>
      <c r="BF15" s="16">
        <f t="shared" si="8"/>
        <v>11.360622829085999</v>
      </c>
      <c r="BG15" s="17">
        <f t="shared" si="9"/>
        <v>9706.2032584342251</v>
      </c>
      <c r="BI15">
        <v>51</v>
      </c>
      <c r="BJ15" t="s">
        <v>41</v>
      </c>
      <c r="BK15" s="2">
        <v>46132.818229166667</v>
      </c>
      <c r="BL15">
        <v>192</v>
      </c>
      <c r="BM15" t="s">
        <v>13</v>
      </c>
      <c r="BN15">
        <v>0</v>
      </c>
      <c r="BO15">
        <v>2.899</v>
      </c>
      <c r="BP15" s="3">
        <v>693941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46132.839456018519</v>
      </c>
      <c r="D16">
        <v>209</v>
      </c>
      <c r="E16" t="s">
        <v>13</v>
      </c>
      <c r="F16">
        <v>0</v>
      </c>
      <c r="G16">
        <v>6.08</v>
      </c>
      <c r="H16" s="3">
        <v>38851</v>
      </c>
      <c r="I16">
        <v>7.9000000000000001E-2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46132.839456018519</v>
      </c>
      <c r="R16">
        <v>209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46132.839456018519</v>
      </c>
      <c r="AF16">
        <v>209</v>
      </c>
      <c r="AG16" t="s">
        <v>13</v>
      </c>
      <c r="AH16">
        <v>0</v>
      </c>
      <c r="AI16">
        <v>12.381</v>
      </c>
      <c r="AJ16" s="3">
        <v>2126</v>
      </c>
      <c r="AK16">
        <v>0.45600000000000002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87.285041764343603</v>
      </c>
      <c r="AU16" s="17">
        <f t="shared" si="1"/>
        <v>439.70996636204001</v>
      </c>
      <c r="AW16" s="9">
        <f t="shared" si="10"/>
        <v>105.42326888302301</v>
      </c>
      <c r="AX16" s="10">
        <f t="shared" si="11"/>
        <v>494.9624845564</v>
      </c>
      <c r="AZ16" s="11">
        <f t="shared" si="12"/>
        <v>107.87213422195121</v>
      </c>
      <c r="BA16" s="12">
        <f t="shared" si="13"/>
        <v>469.65971141519998</v>
      </c>
      <c r="BC16" s="14">
        <f t="shared" si="14"/>
        <v>106.980409747137</v>
      </c>
      <c r="BD16" s="15">
        <f t="shared" si="15"/>
        <v>349.86840968468005</v>
      </c>
      <c r="BF16" s="16">
        <f t="shared" si="8"/>
        <v>87.285041764343603</v>
      </c>
      <c r="BG16" s="17">
        <f t="shared" si="9"/>
        <v>439.70996636204001</v>
      </c>
      <c r="BI16">
        <v>52</v>
      </c>
      <c r="BJ16" t="s">
        <v>42</v>
      </c>
      <c r="BK16" s="2">
        <v>46132.839456018519</v>
      </c>
      <c r="BL16">
        <v>209</v>
      </c>
      <c r="BM16" t="s">
        <v>13</v>
      </c>
      <c r="BN16">
        <v>0</v>
      </c>
      <c r="BO16">
        <v>2.9089999999999998</v>
      </c>
      <c r="BP16" s="3">
        <v>608905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46132.860636574071</v>
      </c>
      <c r="D17">
        <v>76</v>
      </c>
      <c r="E17" t="s">
        <v>13</v>
      </c>
      <c r="F17">
        <v>0</v>
      </c>
      <c r="G17">
        <v>6.0759999999999996</v>
      </c>
      <c r="H17" s="3">
        <v>38917</v>
      </c>
      <c r="I17">
        <v>7.9000000000000001E-2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46132.860636574071</v>
      </c>
      <c r="R17">
        <v>76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46132.860636574071</v>
      </c>
      <c r="AF17">
        <v>76</v>
      </c>
      <c r="AG17" t="s">
        <v>13</v>
      </c>
      <c r="AH17">
        <v>0</v>
      </c>
      <c r="AI17">
        <v>12.365</v>
      </c>
      <c r="AJ17" s="3">
        <v>2893</v>
      </c>
      <c r="AK17">
        <v>0.58699999999999997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87.426989820580403</v>
      </c>
      <c r="AU17" s="17">
        <f t="shared" si="1"/>
        <v>582.27964257970996</v>
      </c>
      <c r="AW17" s="9">
        <f t="shared" ref="AW17:AW27" si="16">IF(H17&lt;10000,((H17^2*0.00000054)+(H17*-0.004765)+(12.72)),(IF(H17&lt;200000,((H17^2*-0.000000001577)+(H17*0.003043)+(-10.42)),(IF(H17&lt;8000000,((H17^2*-0.0000000000186)+(H17*0.00194)+(154.1)),((V17^2*-0.00000002)+(V17*0.2565)+(-1032)))))))</f>
        <v>105.616012634047</v>
      </c>
      <c r="AX17" s="10">
        <f t="shared" ref="AX17:AX27" si="17">IF(AJ17&lt;45000,((-0.0000004561*AJ17^2)+(0.244*AJ17)+(-21.72)),((-0.0000000409*AJ17^2)+(0.2477*AJ17)+(-1777)))</f>
        <v>680.35469431109993</v>
      </c>
      <c r="AZ17" s="11">
        <f t="shared" ref="AZ17:AZ27" si="18">IF(H17&lt;10000,((H17^2*0.00000005714)+(H17*0.002453)+(-3.811)),(IF(H17&lt;200000,((H17^2*-0.0000000002888)+(H17*0.002899)+(-4.321)),(IF(H17&lt;8000000,((H17^2*-0.0000000000062)+(H17*0.002143)+(157)),((V17^2*-0.000000031)+(V17*0.2771)+(-709.5)))))))</f>
        <v>108.06198590165681</v>
      </c>
      <c r="BA17" s="12">
        <f t="shared" ref="BA17:BA27" si="19">IF(AJ17&lt;45000,((-0.0000000598*AJ17^2)+(0.205*AJ17)+(34.1)),((-0.00000002403*AJ17^2)+(0.2063*AJ17)+(-550.7)))</f>
        <v>626.66450694979994</v>
      </c>
      <c r="BC17" s="14">
        <f t="shared" ref="BC17:BC27" si="20">IF(H17&lt;10000,((H17^2*0.000000008493)+(H17*0.003482)+(-3.269)),(IF(H17&lt;200000,((H17^2*-0.000000000263)+(H17*0.002682)+(3.179)),(IF(H17&lt;8000000,((H17^2*-0.000000000005099)+(H17*0.002054)+(174.8)),((V17^2*-0.00000001014)+(V17*0.2415)+(1123)))))))</f>
        <v>107.156071850193</v>
      </c>
      <c r="BD17" s="15">
        <f t="shared" ref="BD17:BD27" si="21">IF(AJ17&lt;45000,((-0.00000004907*AJ17^2)+(0.2277*AJ17)+(-134)),((-0.00000001062*AJ17^2)+(0.2147*AJ17)+(590.6)))</f>
        <v>524.32541113757009</v>
      </c>
      <c r="BF17" s="16">
        <f t="shared" si="8"/>
        <v>87.426989820580403</v>
      </c>
      <c r="BG17" s="17">
        <f t="shared" si="9"/>
        <v>582.27964257970996</v>
      </c>
      <c r="BI17">
        <v>53</v>
      </c>
      <c r="BJ17" t="s">
        <v>43</v>
      </c>
      <c r="BK17" s="2">
        <v>46132.860636574071</v>
      </c>
      <c r="BL17">
        <v>76</v>
      </c>
      <c r="BM17" t="s">
        <v>13</v>
      </c>
      <c r="BN17">
        <v>0</v>
      </c>
      <c r="BO17">
        <v>2.899</v>
      </c>
      <c r="BP17" s="3">
        <v>709216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46132.881828703707</v>
      </c>
      <c r="D18">
        <v>182</v>
      </c>
      <c r="E18" t="s">
        <v>13</v>
      </c>
      <c r="F18">
        <v>0</v>
      </c>
      <c r="G18">
        <v>6.08</v>
      </c>
      <c r="H18" s="3">
        <v>4178</v>
      </c>
      <c r="I18">
        <v>8.9999999999999993E-3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46132.881828703707</v>
      </c>
      <c r="R18">
        <v>182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46132.881828703707</v>
      </c>
      <c r="AF18">
        <v>182</v>
      </c>
      <c r="AG18" t="s">
        <v>13</v>
      </c>
      <c r="AH18">
        <v>0</v>
      </c>
      <c r="AI18">
        <v>12.366</v>
      </c>
      <c r="AJ18" s="3">
        <v>4732</v>
      </c>
      <c r="AK18">
        <v>0.90100000000000002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12.207859589623999</v>
      </c>
      <c r="AU18" s="17">
        <f t="shared" si="1"/>
        <v>924.28380338095997</v>
      </c>
      <c r="AW18" s="9">
        <f t="shared" si="16"/>
        <v>2.2378993599999983</v>
      </c>
      <c r="AX18" s="10">
        <f t="shared" si="17"/>
        <v>1122.6750890736</v>
      </c>
      <c r="AZ18" s="11">
        <f t="shared" si="18"/>
        <v>7.4350517837599988</v>
      </c>
      <c r="BA18" s="12">
        <f t="shared" si="19"/>
        <v>1002.8209689248</v>
      </c>
      <c r="BC18" s="14">
        <f t="shared" si="20"/>
        <v>11.427047124212001</v>
      </c>
      <c r="BD18" s="15">
        <f t="shared" si="21"/>
        <v>942.37763319631995</v>
      </c>
      <c r="BF18" s="16">
        <f t="shared" si="8"/>
        <v>12.207859589623999</v>
      </c>
      <c r="BG18" s="17">
        <f t="shared" si="9"/>
        <v>924.28380338095997</v>
      </c>
      <c r="BI18">
        <v>54</v>
      </c>
      <c r="BJ18" t="s">
        <v>44</v>
      </c>
      <c r="BK18" s="2">
        <v>46132.881828703707</v>
      </c>
      <c r="BL18">
        <v>182</v>
      </c>
      <c r="BM18" t="s">
        <v>13</v>
      </c>
      <c r="BN18">
        <v>0</v>
      </c>
      <c r="BO18">
        <v>2.8980000000000001</v>
      </c>
      <c r="BP18" s="3">
        <v>693274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46132.903009259258</v>
      </c>
      <c r="D19">
        <v>45</v>
      </c>
      <c r="E19" t="s">
        <v>13</v>
      </c>
      <c r="F19">
        <v>0</v>
      </c>
      <c r="G19">
        <v>6.0839999999999996</v>
      </c>
      <c r="H19" s="3">
        <v>3286</v>
      </c>
      <c r="I19">
        <v>7.0000000000000001E-3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46132.903009259258</v>
      </c>
      <c r="R19">
        <v>45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46132.903009259258</v>
      </c>
      <c r="AF19">
        <v>45</v>
      </c>
      <c r="AG19" t="s">
        <v>13</v>
      </c>
      <c r="AH19">
        <v>0</v>
      </c>
      <c r="AI19">
        <v>12.311</v>
      </c>
      <c r="AJ19" s="3">
        <v>44598</v>
      </c>
      <c r="AK19">
        <v>7.7110000000000003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9.9089269856560005</v>
      </c>
      <c r="AU19" s="17">
        <f t="shared" si="1"/>
        <v>8397.7842516071596</v>
      </c>
      <c r="AW19" s="9">
        <f t="shared" si="16"/>
        <v>2.8930198400000009</v>
      </c>
      <c r="AX19" s="10">
        <f t="shared" si="17"/>
        <v>9953.0174904156011</v>
      </c>
      <c r="AZ19" s="11">
        <f t="shared" si="18"/>
        <v>4.866544063440001</v>
      </c>
      <c r="BA19" s="12">
        <f t="shared" si="19"/>
        <v>9057.7489000808</v>
      </c>
      <c r="BC19" s="14">
        <f t="shared" si="20"/>
        <v>8.2645576814279984</v>
      </c>
      <c r="BD19" s="15">
        <f t="shared" si="21"/>
        <v>9923.3652726917207</v>
      </c>
      <c r="BF19" s="16">
        <f t="shared" si="8"/>
        <v>9.9089269856560005</v>
      </c>
      <c r="BG19" s="17">
        <f t="shared" si="9"/>
        <v>8397.7842516071596</v>
      </c>
      <c r="BI19">
        <v>55</v>
      </c>
      <c r="BJ19" t="s">
        <v>45</v>
      </c>
      <c r="BK19" s="2">
        <v>46132.903009259258</v>
      </c>
      <c r="BL19">
        <v>45</v>
      </c>
      <c r="BM19" t="s">
        <v>13</v>
      </c>
      <c r="BN19">
        <v>0</v>
      </c>
      <c r="BO19">
        <v>2.895</v>
      </c>
      <c r="BP19" s="3">
        <v>731056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46132.924212962964</v>
      </c>
      <c r="D20">
        <v>410</v>
      </c>
      <c r="E20" t="s">
        <v>13</v>
      </c>
      <c r="F20">
        <v>0</v>
      </c>
      <c r="G20">
        <v>6.0810000000000004</v>
      </c>
      <c r="H20" s="3">
        <v>3703</v>
      </c>
      <c r="I20">
        <v>8.0000000000000002E-3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46132.924212962964</v>
      </c>
      <c r="R20">
        <v>410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46132.924212962964</v>
      </c>
      <c r="AF20">
        <v>410</v>
      </c>
      <c r="AG20" t="s">
        <v>13</v>
      </c>
      <c r="AH20">
        <v>0</v>
      </c>
      <c r="AI20">
        <v>12.308999999999999</v>
      </c>
      <c r="AJ20" s="3">
        <v>48282</v>
      </c>
      <c r="AK20">
        <v>8.34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10.984387855773999</v>
      </c>
      <c r="AU20" s="17">
        <f t="shared" si="1"/>
        <v>9514.6005858141398</v>
      </c>
      <c r="AW20" s="9">
        <f t="shared" si="16"/>
        <v>2.4797978599999997</v>
      </c>
      <c r="AX20" s="10">
        <f t="shared" si="17"/>
        <v>10087.107302668401</v>
      </c>
      <c r="AZ20" s="11">
        <f t="shared" si="18"/>
        <v>6.0559746222599991</v>
      </c>
      <c r="BA20" s="12">
        <f t="shared" si="19"/>
        <v>9353.8590288782798</v>
      </c>
      <c r="BC20" s="14">
        <f t="shared" si="20"/>
        <v>9.7413037910369997</v>
      </c>
      <c r="BD20" s="15">
        <f t="shared" si="21"/>
        <v>10931.98857081512</v>
      </c>
      <c r="BF20" s="16">
        <f t="shared" si="8"/>
        <v>10.984387855773999</v>
      </c>
      <c r="BG20" s="17">
        <f t="shared" si="9"/>
        <v>9514.6005858141398</v>
      </c>
      <c r="BI20">
        <v>56</v>
      </c>
      <c r="BJ20" t="s">
        <v>46</v>
      </c>
      <c r="BK20" s="2">
        <v>46132.924212962964</v>
      </c>
      <c r="BL20">
        <v>410</v>
      </c>
      <c r="BM20" t="s">
        <v>13</v>
      </c>
      <c r="BN20">
        <v>0</v>
      </c>
      <c r="BO20">
        <v>2.8959999999999999</v>
      </c>
      <c r="BP20" s="3">
        <v>719629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46132.945393518516</v>
      </c>
      <c r="D21">
        <v>82</v>
      </c>
      <c r="E21" t="s">
        <v>13</v>
      </c>
      <c r="F21">
        <v>0</v>
      </c>
      <c r="G21">
        <v>6.0810000000000004</v>
      </c>
      <c r="H21" s="3">
        <v>22746</v>
      </c>
      <c r="I21">
        <v>4.5999999999999999E-2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46132.945393518516</v>
      </c>
      <c r="R21">
        <v>82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46132.945393518516</v>
      </c>
      <c r="AF21">
        <v>82</v>
      </c>
      <c r="AG21" t="s">
        <v>13</v>
      </c>
      <c r="AH21">
        <v>0</v>
      </c>
      <c r="AI21">
        <v>12.375</v>
      </c>
      <c r="AJ21" s="3">
        <v>1182</v>
      </c>
      <c r="AK21">
        <v>0.29399999999999998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52.549537973777603</v>
      </c>
      <c r="AU21" s="17">
        <f t="shared" si="1"/>
        <v>264.29740306795998</v>
      </c>
      <c r="AW21" s="9">
        <f t="shared" si="16"/>
        <v>57.980168926267993</v>
      </c>
      <c r="AX21" s="10">
        <f t="shared" si="17"/>
        <v>266.05077174359997</v>
      </c>
      <c r="AZ21" s="11">
        <f t="shared" si="18"/>
        <v>61.47023450697921</v>
      </c>
      <c r="BA21" s="12">
        <f t="shared" si="19"/>
        <v>276.32645198479997</v>
      </c>
      <c r="BC21" s="14">
        <f t="shared" si="20"/>
        <v>64.047700924291988</v>
      </c>
      <c r="BD21" s="15">
        <f t="shared" si="21"/>
        <v>135.07284312532005</v>
      </c>
      <c r="BF21" s="16">
        <f t="shared" si="8"/>
        <v>52.549537973777603</v>
      </c>
      <c r="BG21" s="17">
        <f t="shared" si="9"/>
        <v>264.29740306795998</v>
      </c>
      <c r="BI21">
        <v>57</v>
      </c>
      <c r="BJ21" t="s">
        <v>47</v>
      </c>
      <c r="BK21" s="2">
        <v>46132.945393518516</v>
      </c>
      <c r="BL21">
        <v>82</v>
      </c>
      <c r="BM21" t="s">
        <v>13</v>
      </c>
      <c r="BN21">
        <v>0</v>
      </c>
      <c r="BO21">
        <v>2.9</v>
      </c>
      <c r="BP21" s="3">
        <v>774868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46132.966574074075</v>
      </c>
      <c r="D22">
        <v>247</v>
      </c>
      <c r="E22" t="s">
        <v>13</v>
      </c>
      <c r="F22">
        <v>0</v>
      </c>
      <c r="G22">
        <v>6.0830000000000002</v>
      </c>
      <c r="H22" s="3">
        <v>4333</v>
      </c>
      <c r="I22">
        <v>8.9999999999999993E-3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46132.966574074075</v>
      </c>
      <c r="R22">
        <v>247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46132.966574074075</v>
      </c>
      <c r="AF22">
        <v>247</v>
      </c>
      <c r="AG22" t="s">
        <v>13</v>
      </c>
      <c r="AH22">
        <v>0</v>
      </c>
      <c r="AI22">
        <v>12.305999999999999</v>
      </c>
      <c r="AJ22" s="3">
        <v>47150</v>
      </c>
      <c r="AK22">
        <v>8.1470000000000002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12.606735062254</v>
      </c>
      <c r="AU22" s="17">
        <f t="shared" si="1"/>
        <v>9329.3851663552487</v>
      </c>
      <c r="AW22" s="9">
        <f t="shared" si="16"/>
        <v>2.211695060000002</v>
      </c>
      <c r="AX22" s="10">
        <f t="shared" si="17"/>
        <v>9811.1292897500007</v>
      </c>
      <c r="AZ22" s="11">
        <f t="shared" si="18"/>
        <v>7.8906461574599991</v>
      </c>
      <c r="BA22" s="12">
        <f t="shared" si="19"/>
        <v>9122.9233663249997</v>
      </c>
      <c r="BC22" s="14">
        <f t="shared" si="20"/>
        <v>11.977961132276999</v>
      </c>
      <c r="BD22" s="15">
        <f t="shared" si="21"/>
        <v>10690.095439049999</v>
      </c>
      <c r="BF22" s="16">
        <f t="shared" si="8"/>
        <v>12.606735062254</v>
      </c>
      <c r="BG22" s="17">
        <f t="shared" si="9"/>
        <v>9329.3851663552487</v>
      </c>
      <c r="BI22">
        <v>58</v>
      </c>
      <c r="BJ22" t="s">
        <v>48</v>
      </c>
      <c r="BK22" s="2">
        <v>46132.966574074075</v>
      </c>
      <c r="BL22">
        <v>247</v>
      </c>
      <c r="BM22" t="s">
        <v>13</v>
      </c>
      <c r="BN22">
        <v>0</v>
      </c>
      <c r="BO22">
        <v>2.8919999999999999</v>
      </c>
      <c r="BP22" s="3">
        <v>799826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46132.98777777778</v>
      </c>
      <c r="D23">
        <v>15</v>
      </c>
      <c r="E23" t="s">
        <v>13</v>
      </c>
      <c r="F23">
        <v>0</v>
      </c>
      <c r="G23">
        <v>6.0780000000000003</v>
      </c>
      <c r="H23" s="3">
        <v>12249</v>
      </c>
      <c r="I23">
        <v>2.5000000000000001E-2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46132.98777777778</v>
      </c>
      <c r="R23">
        <v>15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46132.98777777778</v>
      </c>
      <c r="AF23">
        <v>15</v>
      </c>
      <c r="AG23" t="s">
        <v>13</v>
      </c>
      <c r="AH23">
        <v>0</v>
      </c>
      <c r="AI23">
        <v>12.331</v>
      </c>
      <c r="AJ23" s="3">
        <v>30772</v>
      </c>
      <c r="AK23">
        <v>5.3490000000000002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29.804345696423603</v>
      </c>
      <c r="AU23" s="17">
        <f t="shared" si="1"/>
        <v>5793.0005230673605</v>
      </c>
      <c r="AW23" s="9">
        <f t="shared" si="16"/>
        <v>26.617097072423</v>
      </c>
      <c r="AX23" s="10">
        <f t="shared" si="17"/>
        <v>7054.7596196975992</v>
      </c>
      <c r="AZ23" s="11">
        <f t="shared" si="18"/>
        <v>31.145520025311207</v>
      </c>
      <c r="BA23" s="12">
        <f t="shared" si="19"/>
        <v>6285.7344241567998</v>
      </c>
      <c r="BC23" s="14">
        <f t="shared" si="20"/>
        <v>35.991358005737005</v>
      </c>
      <c r="BD23" s="15">
        <f t="shared" si="21"/>
        <v>6826.3192326651206</v>
      </c>
      <c r="BF23" s="16">
        <f t="shared" si="8"/>
        <v>29.804345696423603</v>
      </c>
      <c r="BG23" s="17">
        <f t="shared" si="9"/>
        <v>5793.0005230673605</v>
      </c>
      <c r="BI23">
        <v>59</v>
      </c>
      <c r="BJ23" t="s">
        <v>49</v>
      </c>
      <c r="BK23" s="2">
        <v>46132.98777777778</v>
      </c>
      <c r="BL23">
        <v>15</v>
      </c>
      <c r="BM23" t="s">
        <v>13</v>
      </c>
      <c r="BN23">
        <v>0</v>
      </c>
      <c r="BO23">
        <v>2.895</v>
      </c>
      <c r="BP23" s="3">
        <v>763681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46133.008981481478</v>
      </c>
      <c r="D24">
        <v>304</v>
      </c>
      <c r="E24" t="s">
        <v>13</v>
      </c>
      <c r="F24">
        <v>0</v>
      </c>
      <c r="G24">
        <v>6.0780000000000003</v>
      </c>
      <c r="H24" s="3">
        <v>4509</v>
      </c>
      <c r="I24">
        <v>8.9999999999999993E-3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46133.008981481478</v>
      </c>
      <c r="R24">
        <v>304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46133.008981481478</v>
      </c>
      <c r="AF24">
        <v>304</v>
      </c>
      <c r="AG24" t="s">
        <v>13</v>
      </c>
      <c r="AH24">
        <v>0</v>
      </c>
      <c r="AI24">
        <v>12.316000000000001</v>
      </c>
      <c r="AJ24" s="3">
        <v>47961</v>
      </c>
      <c r="AK24">
        <v>8.2850000000000001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13.059435365165999</v>
      </c>
      <c r="AU24" s="17">
        <f t="shared" si="1"/>
        <v>9462.07865789469</v>
      </c>
      <c r="AW24" s="9">
        <f t="shared" si="16"/>
        <v>2.2133987400000006</v>
      </c>
      <c r="AX24" s="10">
        <f t="shared" si="17"/>
        <v>10008.859167391101</v>
      </c>
      <c r="AZ24" s="11">
        <f t="shared" si="18"/>
        <v>8.41129496834</v>
      </c>
      <c r="BA24" s="12">
        <f t="shared" si="19"/>
        <v>9288.3791117703695</v>
      </c>
      <c r="BC24" s="14">
        <f t="shared" si="20"/>
        <v>12.604009870932998</v>
      </c>
      <c r="BD24" s="15">
        <f t="shared" si="21"/>
        <v>10863.39796512698</v>
      </c>
      <c r="BF24" s="16">
        <f t="shared" si="8"/>
        <v>13.059435365165999</v>
      </c>
      <c r="BG24" s="17">
        <f t="shared" si="9"/>
        <v>9462.07865789469</v>
      </c>
      <c r="BI24">
        <v>60</v>
      </c>
      <c r="BJ24" t="s">
        <v>50</v>
      </c>
      <c r="BK24" s="2">
        <v>46133.008981481478</v>
      </c>
      <c r="BL24">
        <v>304</v>
      </c>
      <c r="BM24" t="s">
        <v>13</v>
      </c>
      <c r="BN24">
        <v>0</v>
      </c>
      <c r="BO24">
        <v>2.8929999999999998</v>
      </c>
      <c r="BP24" s="3">
        <v>765040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46133.030162037037</v>
      </c>
      <c r="D25">
        <v>222</v>
      </c>
      <c r="E25" t="s">
        <v>13</v>
      </c>
      <c r="F25">
        <v>0</v>
      </c>
      <c r="G25">
        <v>6.077</v>
      </c>
      <c r="H25" s="3">
        <v>12071</v>
      </c>
      <c r="I25">
        <v>2.5000000000000001E-2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46133.030162037037</v>
      </c>
      <c r="R25">
        <v>222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46133.030162037037</v>
      </c>
      <c r="AF25">
        <v>222</v>
      </c>
      <c r="AG25" t="s">
        <v>13</v>
      </c>
      <c r="AH25">
        <v>0</v>
      </c>
      <c r="AI25">
        <v>12.333</v>
      </c>
      <c r="AJ25" s="3">
        <v>30017</v>
      </c>
      <c r="AK25">
        <v>5.22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29.417935116967605</v>
      </c>
      <c r="AU25" s="17">
        <f t="shared" si="1"/>
        <v>5651.1544161433103</v>
      </c>
      <c r="AW25" s="9">
        <f t="shared" si="16"/>
        <v>26.082269842342996</v>
      </c>
      <c r="AX25" s="10">
        <f t="shared" si="17"/>
        <v>6891.4726461870996</v>
      </c>
      <c r="AZ25" s="11">
        <f t="shared" si="18"/>
        <v>30.630748228959199</v>
      </c>
      <c r="BA25" s="12">
        <f t="shared" si="19"/>
        <v>6133.7039867178</v>
      </c>
      <c r="BC25" s="14">
        <f t="shared" si="20"/>
        <v>35.515100522216997</v>
      </c>
      <c r="BD25" s="15">
        <f t="shared" si="21"/>
        <v>6656.657834418771</v>
      </c>
      <c r="BF25" s="16">
        <f t="shared" si="8"/>
        <v>29.417935116967605</v>
      </c>
      <c r="BG25" s="17">
        <f t="shared" si="9"/>
        <v>5651.1544161433103</v>
      </c>
      <c r="BI25">
        <v>61</v>
      </c>
      <c r="BJ25" t="s">
        <v>51</v>
      </c>
      <c r="BK25" s="2">
        <v>46133.030162037037</v>
      </c>
      <c r="BL25">
        <v>222</v>
      </c>
      <c r="BM25" t="s">
        <v>13</v>
      </c>
      <c r="BN25">
        <v>0</v>
      </c>
      <c r="BO25">
        <v>2.8959999999999999</v>
      </c>
      <c r="BP25" s="3">
        <v>737590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46133.051388888889</v>
      </c>
      <c r="D26">
        <v>171</v>
      </c>
      <c r="E26" t="s">
        <v>13</v>
      </c>
      <c r="F26">
        <v>0</v>
      </c>
      <c r="G26">
        <v>6.0810000000000004</v>
      </c>
      <c r="H26" s="3">
        <v>4410</v>
      </c>
      <c r="I26">
        <v>8.9999999999999993E-3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46133.051388888889</v>
      </c>
      <c r="R26">
        <v>171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46133.051388888889</v>
      </c>
      <c r="AF26">
        <v>171</v>
      </c>
      <c r="AG26" t="s">
        <v>13</v>
      </c>
      <c r="AH26">
        <v>0</v>
      </c>
      <c r="AI26">
        <v>12.364000000000001</v>
      </c>
      <c r="AJ26" s="3">
        <v>5747</v>
      </c>
      <c r="AK26">
        <v>1.0740000000000001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12.804819756600001</v>
      </c>
      <c r="AU26" s="17">
        <f t="shared" si="1"/>
        <v>1113.1499724421101</v>
      </c>
      <c r="AW26" s="9">
        <f t="shared" si="16"/>
        <v>2.2083239999999993</v>
      </c>
      <c r="AX26" s="10">
        <f t="shared" si="17"/>
        <v>1365.4839250950999</v>
      </c>
      <c r="AZ26" s="11">
        <f t="shared" si="18"/>
        <v>8.1179944339999999</v>
      </c>
      <c r="BA26" s="12">
        <f t="shared" si="19"/>
        <v>1210.2599250618</v>
      </c>
      <c r="BC26" s="14">
        <f t="shared" si="20"/>
        <v>12.2517927133</v>
      </c>
      <c r="BD26" s="15">
        <f t="shared" si="21"/>
        <v>1172.9712155983702</v>
      </c>
      <c r="BF26" s="16">
        <f t="shared" si="8"/>
        <v>12.804819756600001</v>
      </c>
      <c r="BG26" s="17">
        <f t="shared" si="9"/>
        <v>1113.1499724421101</v>
      </c>
      <c r="BI26">
        <v>62</v>
      </c>
      <c r="BJ26" t="s">
        <v>52</v>
      </c>
      <c r="BK26" s="2">
        <v>46133.051388888889</v>
      </c>
      <c r="BL26">
        <v>171</v>
      </c>
      <c r="BM26" t="s">
        <v>13</v>
      </c>
      <c r="BN26">
        <v>0</v>
      </c>
      <c r="BO26">
        <v>2.8929999999999998</v>
      </c>
      <c r="BP26" s="3">
        <v>785550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46133.072604166664</v>
      </c>
      <c r="D27">
        <v>123</v>
      </c>
      <c r="E27" t="s">
        <v>13</v>
      </c>
      <c r="F27">
        <v>0</v>
      </c>
      <c r="G27">
        <v>6.0960000000000001</v>
      </c>
      <c r="H27" s="3">
        <v>2965</v>
      </c>
      <c r="I27">
        <v>6.0000000000000001E-3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46133.072604166664</v>
      </c>
      <c r="R27">
        <v>123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46133.072604166664</v>
      </c>
      <c r="AF27">
        <v>123</v>
      </c>
      <c r="AG27" t="s">
        <v>13</v>
      </c>
      <c r="AH27">
        <v>0</v>
      </c>
      <c r="AI27">
        <v>12.317</v>
      </c>
      <c r="AJ27" s="3">
        <v>43452</v>
      </c>
      <c r="AK27">
        <v>7.5149999999999997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9.0801743903500007</v>
      </c>
      <c r="AU27" s="17">
        <f t="shared" si="1"/>
        <v>8181.36065092016</v>
      </c>
      <c r="AW27" s="9">
        <f t="shared" si="16"/>
        <v>3.3390365000000006</v>
      </c>
      <c r="AX27" s="10">
        <f t="shared" si="17"/>
        <v>9719.416397745601</v>
      </c>
      <c r="AZ27" s="11">
        <f t="shared" si="18"/>
        <v>3.9644755964999998</v>
      </c>
      <c r="BA27" s="12">
        <f t="shared" si="19"/>
        <v>8828.8530370208009</v>
      </c>
      <c r="BC27" s="14">
        <f t="shared" si="20"/>
        <v>7.1297938739249993</v>
      </c>
      <c r="BD27" s="15">
        <f t="shared" si="21"/>
        <v>9667.3724957627219</v>
      </c>
      <c r="BF27" s="16">
        <f t="shared" si="8"/>
        <v>9.0801743903500007</v>
      </c>
      <c r="BG27" s="17">
        <f t="shared" si="9"/>
        <v>8181.36065092016</v>
      </c>
      <c r="BI27">
        <v>63</v>
      </c>
      <c r="BJ27" t="s">
        <v>53</v>
      </c>
      <c r="BK27" s="2">
        <v>46133.072604166664</v>
      </c>
      <c r="BL27">
        <v>123</v>
      </c>
      <c r="BM27" t="s">
        <v>13</v>
      </c>
      <c r="BN27">
        <v>0</v>
      </c>
      <c r="BO27">
        <v>2.9020000000000001</v>
      </c>
      <c r="BP27" s="3">
        <v>750342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2026-04-21T14:58:14Z</dcterms:modified>
</cp:coreProperties>
</file>