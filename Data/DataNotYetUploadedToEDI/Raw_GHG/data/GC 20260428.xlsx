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9877679C-AE3A-4CD2-B664-4CFE6AA541C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BG16" i="1" l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<sst xmlns="http://schemas.openxmlformats.org/spreadsheetml/2006/main" count="747" uniqueCount="60">
  <si>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</si>
  <si>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</si>
  <si>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</si>
  <si>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</si>
  <si>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</si>
  <si>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</si>
  <si>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</si>
  <si>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</si>
  <si>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</si>
  <si>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</si>
  <si>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</si>
  <si>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</si>
  <si>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</si>
  <si>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</si>
  <si>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</si>
  <si>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</si>
  <si>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</si>
  <si>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</si>
  <si>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</si>
  <si>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</si>
  <si>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</si>
  <si>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</si>
  <si>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</si>
  <si>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</si>
  <si>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</si>
  <si>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</si>
  <si>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</si>
  <si>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</si>
  <si>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</si>
  <si>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</si>
  <si>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</si>
  <si>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</si>
  <si>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</si>
  <si>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</si>
  <si>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</si>
  <si>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FMI20260428_001.gcd</t>
  </si>
  <si>
    <t>FMI20260428_002.gcd</t>
  </si>
  <si>
    <t>FMI20260428_003.gcd</t>
  </si>
  <si>
    <t>FMI20260428_004.gcd</t>
  </si>
  <si>
    <t>FMI20260428_005.gcd</t>
  </si>
  <si>
    <t>FMI20260428_006.gcd</t>
  </si>
  <si>
    <t>FMI20260428_007.gcd</t>
  </si>
  <si>
    <t>FMI20260428_008.gcd</t>
  </si>
  <si>
    <t>FMI20260428_009.gcd</t>
  </si>
  <si>
    <t>FMI20260428_010.gcd</t>
  </si>
  <si>
    <t>FMI20260428_011.gcd</t>
  </si>
  <si>
    <t>FMI20260428_012.gcd</t>
  </si>
  <si>
    <t>FMI20260428_013.gcd</t>
  </si>
  <si>
    <t>FMI20260428_014.gcd</t>
  </si>
  <si>
    <t>FMI20260428_015.gcd</t>
  </si>
  <si>
    <t>FMI20260428_016.gcd</t>
  </si>
  <si>
    <t>FMI20260428_017.gcd</t>
  </si>
  <si>
    <t>FMI20260428_018.gcd</t>
  </si>
  <si>
    <t>FMI20260428_019.gcd</t>
  </si>
  <si>
    <t>FMI20260428_020.gcd</t>
  </si>
  <si>
    <t>FMI20260428_021.gcd</t>
  </si>
  <si>
    <t>FMI20260428_022.gcd</t>
  </si>
  <si>
    <t>FMI20260428_023.gcd</t>
  </si>
  <si>
    <t>FMI20260428_024.gcd</t>
  </si>
  <si>
    <t>FMI20260428_025.gcd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</si>
</sst>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J1" workbookViewId="0">
      <selection activeCell="AR12" sqref="AR12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46140.481759259259</v>
      </c>
      <c r="D9" t="s">
        <v>31</v>
      </c>
      <c r="E9" t="s">
        <v>13</v>
      </c>
      <c r="F9">
        <v>0</v>
      </c>
      <c r="G9">
        <v>6.1059999999999999</v>
      </c>
      <c r="H9" s="3">
        <v>1276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46140.481759259259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46140.481759259259</v>
      </c>
      <c r="AF9" t="s">
        <v>31</v>
      </c>
      <c r="AG9" t="s">
        <v>13</v>
      </c>
      <c r="AH9">
        <v>0</v>
      </c>
      <c r="AI9">
        <v>12.366</v>
      </c>
      <c r="AJ9" s="3">
        <v>2036</v>
      </c>
      <c r="AK9">
        <v>0.44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9" si="0">IF($H9&lt;10000,(($H9^2*-0.000000003714)+($H9*0.002605)+(1.389)),(IF($H9&lt;200000,(($H9^2*-0.0000000003764)+($H9*0.00218)+(3.158)),(IF($H9&lt;8000000,(($H9^2*-0.000000000004719)+($H9*0.001816)+(146.1)),(($V9^2*0.000000002578)+($V9*0.2173)+(2294)))))))</f>
        <v>4.7069329543360006</v>
      </c>
      <c r="AU9" s="17">
        <f t="shared" ref="AU9:AU29" si="1">IF($AJ9&lt;45000,((0.00000003579*$AJ9^2)+(0.1857*$AJ9)+(44.75)),((0.0000000022829*$AJ9^2)+(0.1634*$AJ9)+(1620)))</f>
        <v>422.98356014384001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7.5190750400000006</v>
      </c>
      <c r="AX9" s="10">
        <f t="shared" ref="AX9:AX14" si="3">IF(AJ9&lt;45000,((-0.0000004561*AJ9^2)+(0.244*AJ9)+(-21.72)),((-0.0000000409*AJ9^2)+(0.2477*AJ9)+(-1777)))</f>
        <v>473.17333049440003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-0.58793802336000001</v>
      </c>
      <c r="BA9" s="12">
        <f t="shared" ref="BA9:BA14" si="5">IF(AJ9&lt;45000,((-0.0000000598*AJ9^2)+(0.205*AJ9)+(34.1)),((-0.00000002403*AJ9^2)+(0.2063*AJ9)+(-550.7)))</f>
        <v>451.23211129920003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1.1878600987679997</v>
      </c>
      <c r="BD9" s="15">
        <f t="shared" ref="BD9:BD14" si="7">IF(AJ9&lt;45000,((-0.00000004907*AJ9^2)+(0.2277*AJ9)+(-134)),((-0.00000001062*AJ9^2)+(0.2147*AJ9)+(590.6)))</f>
        <v>329.39379032528007</v>
      </c>
      <c r="BF9" s="16">
        <f t="shared" ref="BF9:BF29" si="8">IF($H9&lt;10000,(($H9^2*-0.000000003714)+($H9*0.002605)+(1.389)),(IF($H9&lt;200000,(($H9^2*-0.0000000003764)+($H9*0.00218)+(3.158)),(IF($H9&lt;8000000,(($H9^2*-0.000000000004719)+($H9*0.001816)+(146.1)),(($V9^2*0.000000002578)+($V9*0.2173)+(2294)))))))</f>
        <v>4.7069329543360006</v>
      </c>
      <c r="BG9" s="17">
        <f t="shared" ref="BG9:BG29" si="9">IF($AJ9&lt;45000,((0.00000003579*$AJ9^2)+(0.1857*$AJ9)+(44.75)),((0.0000000022829*$AJ9^2)+(0.1634*$AJ9)+(1620)))</f>
        <v>422.98356014384001</v>
      </c>
      <c r="BI9">
        <v>45</v>
      </c>
      <c r="BJ9" t="s">
        <v>35</v>
      </c>
      <c r="BK9" s="2">
        <v>46140.481759259259</v>
      </c>
      <c r="BL9" t="s">
        <v>31</v>
      </c>
      <c r="BM9" t="s">
        <v>13</v>
      </c>
      <c r="BN9">
        <v>0</v>
      </c>
      <c r="BO9">
        <v>2.7370000000000001</v>
      </c>
      <c r="BP9" s="3">
        <v>4801166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46140.502974537034</v>
      </c>
      <c r="D10" t="s">
        <v>32</v>
      </c>
      <c r="E10" t="s">
        <v>13</v>
      </c>
      <c r="F10">
        <v>0</v>
      </c>
      <c r="G10">
        <v>6.056</v>
      </c>
      <c r="H10" s="3">
        <v>1212979</v>
      </c>
      <c r="I10">
        <v>2.468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46140.502974537034</v>
      </c>
      <c r="R10" t="s">
        <v>32</v>
      </c>
      <c r="S10" t="s">
        <v>13</v>
      </c>
      <c r="T10">
        <v>0</v>
      </c>
      <c r="U10">
        <v>6.0119999999999996</v>
      </c>
      <c r="V10" s="3">
        <v>9248</v>
      </c>
      <c r="W10">
        <v>2.2559999999999998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46140.502974537034</v>
      </c>
      <c r="AF10" t="s">
        <v>32</v>
      </c>
      <c r="AG10" t="s">
        <v>13</v>
      </c>
      <c r="AH10">
        <v>0</v>
      </c>
      <c r="AI10">
        <v>12.348000000000001</v>
      </c>
      <c r="AJ10" s="3">
        <v>8754</v>
      </c>
      <c r="AK10">
        <v>1.5880000000000001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2341.9267141010928</v>
      </c>
      <c r="AU10" s="17">
        <f t="shared" si="1"/>
        <v>1673.1104777476401</v>
      </c>
      <c r="AW10" s="9">
        <f t="shared" si="2"/>
        <v>2479.9127441873975</v>
      </c>
      <c r="AX10" s="10">
        <f t="shared" si="3"/>
        <v>2079.3039094524001</v>
      </c>
      <c r="AZ10" s="11">
        <f t="shared" si="4"/>
        <v>2747.2918250624657</v>
      </c>
      <c r="BA10" s="12">
        <f t="shared" si="5"/>
        <v>1824.0873755431999</v>
      </c>
      <c r="BC10" s="14">
        <f t="shared" si="6"/>
        <v>2658.7566152404056</v>
      </c>
      <c r="BD10" s="15">
        <f t="shared" si="7"/>
        <v>1855.5254424398802</v>
      </c>
      <c r="BF10" s="16">
        <f t="shared" si="8"/>
        <v>2341.9267141010928</v>
      </c>
      <c r="BG10" s="17">
        <f t="shared" si="9"/>
        <v>1673.1104777476401</v>
      </c>
      <c r="BI10">
        <v>46</v>
      </c>
      <c r="BJ10" t="s">
        <v>36</v>
      </c>
      <c r="BK10" s="2">
        <v>46140.502974537034</v>
      </c>
      <c r="BL10" t="s">
        <v>32</v>
      </c>
      <c r="BM10" t="s">
        <v>13</v>
      </c>
      <c r="BN10">
        <v>0</v>
      </c>
      <c r="BO10">
        <v>2.7280000000000002</v>
      </c>
      <c r="BP10" s="3">
        <v>5005479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46140.524178240739</v>
      </c>
      <c r="D11" t="s">
        <v>26</v>
      </c>
      <c r="E11" t="s">
        <v>13</v>
      </c>
      <c r="F11">
        <v>0</v>
      </c>
      <c r="G11">
        <v>6.08</v>
      </c>
      <c r="H11" s="3">
        <v>2656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46140.524178240739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46140.524178240739</v>
      </c>
      <c r="AF11" t="s">
        <v>26</v>
      </c>
      <c r="AG11" t="s">
        <v>13</v>
      </c>
      <c r="AH11">
        <v>0</v>
      </c>
      <c r="AI11">
        <v>12.359</v>
      </c>
      <c r="AJ11" s="3">
        <v>1163</v>
      </c>
      <c r="AK11">
        <v>0.29099999999999998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8.2816801960959996</v>
      </c>
      <c r="AU11" s="17">
        <f t="shared" si="1"/>
        <v>260.76750844450999</v>
      </c>
      <c r="AW11" s="9">
        <f t="shared" si="2"/>
        <v>3.8735014400000018</v>
      </c>
      <c r="AX11" s="10">
        <f t="shared" si="3"/>
        <v>261.43509327909999</v>
      </c>
      <c r="AZ11" s="11">
        <f t="shared" si="4"/>
        <v>3.1072527590400005</v>
      </c>
      <c r="BA11" s="12">
        <f t="shared" si="5"/>
        <v>272.43411637380001</v>
      </c>
      <c r="BC11" s="14">
        <f t="shared" si="6"/>
        <v>6.0391044756479992</v>
      </c>
      <c r="BD11" s="15">
        <f t="shared" si="7"/>
        <v>130.74872943917001</v>
      </c>
      <c r="BF11" s="16">
        <f t="shared" si="8"/>
        <v>8.2816801960959996</v>
      </c>
      <c r="BG11" s="17">
        <f t="shared" si="9"/>
        <v>260.76750844450999</v>
      </c>
      <c r="BI11">
        <v>47</v>
      </c>
      <c r="BJ11" t="s">
        <v>37</v>
      </c>
      <c r="BK11" s="2">
        <v>46140.524178240739</v>
      </c>
      <c r="BL11" t="s">
        <v>26</v>
      </c>
      <c r="BM11" t="s">
        <v>13</v>
      </c>
      <c r="BN11">
        <v>0</v>
      </c>
      <c r="BO11">
        <v>2.7309999999999999</v>
      </c>
      <c r="BP11" s="3">
        <v>4995879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46140.545381944445</v>
      </c>
      <c r="D12">
        <v>205</v>
      </c>
      <c r="E12" t="s">
        <v>13</v>
      </c>
      <c r="F12">
        <v>0</v>
      </c>
      <c r="G12">
        <v>6.0759999999999996</v>
      </c>
      <c r="H12" s="3">
        <v>2051</v>
      </c>
      <c r="I12">
        <v>4.0000000000000001E-3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46140.545381944445</v>
      </c>
      <c r="R12">
        <v>205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46140.545381944445</v>
      </c>
      <c r="AF12">
        <v>205</v>
      </c>
      <c r="AG12" t="s">
        <v>13</v>
      </c>
      <c r="AH12">
        <v>0</v>
      </c>
      <c r="AI12">
        <v>12.266999999999999</v>
      </c>
      <c r="AJ12" s="3">
        <v>53946</v>
      </c>
      <c r="AK12">
        <v>9.3070000000000004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6.7162316838860008</v>
      </c>
      <c r="AU12" s="17">
        <f t="shared" si="1"/>
        <v>10441.420029184135</v>
      </c>
      <c r="AW12" s="9">
        <f t="shared" si="2"/>
        <v>5.2185495399999997</v>
      </c>
      <c r="AX12" s="10">
        <f t="shared" si="3"/>
        <v>11466.398209535599</v>
      </c>
      <c r="AZ12" s="11">
        <f t="shared" si="4"/>
        <v>1.4604681811399995</v>
      </c>
      <c r="BA12" s="12">
        <f t="shared" si="5"/>
        <v>10508.42839288852</v>
      </c>
      <c r="BC12" s="14">
        <f t="shared" si="6"/>
        <v>3.9083086622929999</v>
      </c>
      <c r="BD12" s="15">
        <f t="shared" si="7"/>
        <v>12141.900184872082</v>
      </c>
      <c r="BF12" s="16">
        <f t="shared" si="8"/>
        <v>6.7162316838860008</v>
      </c>
      <c r="BG12" s="17">
        <f t="shared" si="9"/>
        <v>10441.420029184135</v>
      </c>
      <c r="BI12">
        <v>48</v>
      </c>
      <c r="BJ12" t="s">
        <v>38</v>
      </c>
      <c r="BK12" s="2">
        <v>46140.545381944445</v>
      </c>
      <c r="BL12">
        <v>205</v>
      </c>
      <c r="BM12" t="s">
        <v>13</v>
      </c>
      <c r="BN12">
        <v>0</v>
      </c>
      <c r="BO12">
        <v>2.8929999999999998</v>
      </c>
      <c r="BP12" s="3">
        <v>649794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46140.56658564815</v>
      </c>
      <c r="D13">
        <v>355</v>
      </c>
      <c r="E13" t="s">
        <v>13</v>
      </c>
      <c r="F13">
        <v>0</v>
      </c>
      <c r="G13">
        <v>6.0590000000000002</v>
      </c>
      <c r="H13" s="3">
        <v>41965</v>
      </c>
      <c r="I13">
        <v>8.5000000000000006E-2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46140.56658564815</v>
      </c>
      <c r="R13">
        <v>355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46140.56658564815</v>
      </c>
      <c r="AF13">
        <v>355</v>
      </c>
      <c r="AG13" t="s">
        <v>13</v>
      </c>
      <c r="AH13">
        <v>0</v>
      </c>
      <c r="AI13">
        <v>12.336</v>
      </c>
      <c r="AJ13" s="3">
        <v>2584</v>
      </c>
      <c r="AK13">
        <v>0.53400000000000003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93.978836554910004</v>
      </c>
      <c r="AU13" s="17">
        <f t="shared" si="1"/>
        <v>524.8377718342399</v>
      </c>
      <c r="AW13" s="9">
        <f t="shared" si="2"/>
        <v>114.502301448175</v>
      </c>
      <c r="AX13" s="10">
        <f t="shared" si="3"/>
        <v>605.7305947584</v>
      </c>
      <c r="AZ13" s="11">
        <f t="shared" si="4"/>
        <v>116.82694051822001</v>
      </c>
      <c r="BA13" s="12">
        <f t="shared" si="5"/>
        <v>563.42071205119998</v>
      </c>
      <c r="BC13" s="14">
        <f t="shared" si="6"/>
        <v>115.265970897825</v>
      </c>
      <c r="BD13" s="15">
        <f t="shared" si="7"/>
        <v>454.04915686208005</v>
      </c>
      <c r="BF13" s="16">
        <f t="shared" si="8"/>
        <v>93.978836554910004</v>
      </c>
      <c r="BG13" s="17">
        <f t="shared" si="9"/>
        <v>524.8377718342399</v>
      </c>
      <c r="BI13">
        <v>49</v>
      </c>
      <c r="BJ13" t="s">
        <v>39</v>
      </c>
      <c r="BK13" s="2">
        <v>46140.56658564815</v>
      </c>
      <c r="BL13">
        <v>355</v>
      </c>
      <c r="BM13" t="s">
        <v>13</v>
      </c>
      <c r="BN13">
        <v>0</v>
      </c>
      <c r="BO13">
        <v>2.89</v>
      </c>
      <c r="BP13" s="3">
        <v>715974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46140.587812500002</v>
      </c>
      <c r="D14">
        <v>399</v>
      </c>
      <c r="E14" t="s">
        <v>13</v>
      </c>
      <c r="F14">
        <v>0</v>
      </c>
      <c r="G14">
        <v>6.0650000000000004</v>
      </c>
      <c r="H14" s="3">
        <v>5097</v>
      </c>
      <c r="I14">
        <v>0.01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46140.587812500002</v>
      </c>
      <c r="R14">
        <v>399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46140.587812500002</v>
      </c>
      <c r="AF14">
        <v>399</v>
      </c>
      <c r="AG14" t="s">
        <v>13</v>
      </c>
      <c r="AH14">
        <v>0</v>
      </c>
      <c r="AI14">
        <v>12.282999999999999</v>
      </c>
      <c r="AJ14" s="3">
        <v>37772</v>
      </c>
      <c r="AK14">
        <v>6.5449999999999999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14.570197474974</v>
      </c>
      <c r="AU14" s="17">
        <f t="shared" si="1"/>
        <v>7110.0728513873601</v>
      </c>
      <c r="AW14" s="9">
        <f t="shared" si="2"/>
        <v>2.4616758600000015</v>
      </c>
      <c r="AX14" s="10">
        <f t="shared" si="3"/>
        <v>8543.9191908976009</v>
      </c>
      <c r="AZ14" s="11">
        <f t="shared" si="4"/>
        <v>10.17640443026</v>
      </c>
      <c r="BA14" s="12">
        <f t="shared" si="5"/>
        <v>7692.0419057567997</v>
      </c>
      <c r="BC14" s="14">
        <f t="shared" si="6"/>
        <v>14.699397120637</v>
      </c>
      <c r="BD14" s="15">
        <f t="shared" si="7"/>
        <v>8396.6750541051206</v>
      </c>
      <c r="BF14" s="16">
        <f t="shared" si="8"/>
        <v>14.570197474974</v>
      </c>
      <c r="BG14" s="17">
        <f t="shared" si="9"/>
        <v>7110.0728513873601</v>
      </c>
      <c r="BI14">
        <v>50</v>
      </c>
      <c r="BJ14" t="s">
        <v>40</v>
      </c>
      <c r="BK14" s="2">
        <v>46140.587812500002</v>
      </c>
      <c r="BL14">
        <v>399</v>
      </c>
      <c r="BM14" t="s">
        <v>13</v>
      </c>
      <c r="BN14">
        <v>0</v>
      </c>
      <c r="BO14">
        <v>2.895</v>
      </c>
      <c r="BP14" s="3">
        <v>615507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46140.609016203707</v>
      </c>
      <c r="D15">
        <v>193</v>
      </c>
      <c r="E15" t="s">
        <v>13</v>
      </c>
      <c r="F15">
        <v>0</v>
      </c>
      <c r="G15">
        <v>6.0549999999999997</v>
      </c>
      <c r="H15" s="3">
        <v>368497</v>
      </c>
      <c r="I15">
        <v>0.748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46140.609016203707</v>
      </c>
      <c r="R15">
        <v>193</v>
      </c>
      <c r="S15" t="s">
        <v>13</v>
      </c>
      <c r="T15">
        <v>0</v>
      </c>
      <c r="U15">
        <v>6.0049999999999999</v>
      </c>
      <c r="V15" s="3">
        <v>3117</v>
      </c>
      <c r="W15">
        <v>0.86399999999999999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46140.609016203707</v>
      </c>
      <c r="AF15">
        <v>193</v>
      </c>
      <c r="AG15" t="s">
        <v>13</v>
      </c>
      <c r="AH15">
        <v>0</v>
      </c>
      <c r="AI15">
        <v>12.273</v>
      </c>
      <c r="AJ15" s="3">
        <v>46316</v>
      </c>
      <c r="AK15">
        <v>8.0039999999999996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814.64975880591646</v>
      </c>
      <c r="AU15" s="17">
        <f t="shared" si="1"/>
        <v>9192.9316128300616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866.45848527443263</v>
      </c>
      <c r="AX15" s="10">
        <f t="shared" ref="AX15:AX16" si="11">IF(AJ15&lt;45000,((-0.0000004561*AJ15^2)+(0.244*AJ15)+(-21.72)),((-0.0000000409*AJ15^2)+(0.2477*AJ15)+(-1777)))</f>
        <v>9607.7356710896001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945.84717275814421</v>
      </c>
      <c r="BA15" s="12">
        <f t="shared" ref="BA15:BA16" si="13">IF(AJ15&lt;45000,((-0.0000000598*AJ15^2)+(0.205*AJ15)+(34.1)),((-0.00000002403*AJ15^2)+(0.2063*AJ15)+(-550.7)))</f>
        <v>8952.74232030032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931.00044459109313</v>
      </c>
      <c r="BD15" s="15">
        <f t="shared" ref="BD15:BD16" si="15">IF(AJ15&lt;45000,((-0.00000004907*AJ15^2)+(0.2277*AJ15)+(-134)),((-0.00000001062*AJ15^2)+(0.2147*AJ15)+(590.6)))</f>
        <v>10511.86347488928</v>
      </c>
      <c r="BF15" s="16">
        <f t="shared" si="8"/>
        <v>814.64975880591646</v>
      </c>
      <c r="BG15" s="17">
        <f t="shared" si="9"/>
        <v>9192.9316128300616</v>
      </c>
      <c r="BI15">
        <v>51</v>
      </c>
      <c r="BJ15" t="s">
        <v>41</v>
      </c>
      <c r="BK15" s="2">
        <v>46140.609016203707</v>
      </c>
      <c r="BL15">
        <v>193</v>
      </c>
      <c r="BM15" t="s">
        <v>13</v>
      </c>
      <c r="BN15">
        <v>0</v>
      </c>
      <c r="BO15">
        <v>2.8969999999999998</v>
      </c>
      <c r="BP15" s="3">
        <v>550556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46140.630208333336</v>
      </c>
      <c r="D16">
        <v>69</v>
      </c>
      <c r="E16" t="s">
        <v>13</v>
      </c>
      <c r="F16">
        <v>0</v>
      </c>
      <c r="G16">
        <v>6.0739999999999998</v>
      </c>
      <c r="H16" s="3">
        <v>2289</v>
      </c>
      <c r="I16">
        <v>5.0000000000000001E-3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46140.630208333336</v>
      </c>
      <c r="R16">
        <v>69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46140.630208333336</v>
      </c>
      <c r="AF16">
        <v>69</v>
      </c>
      <c r="AG16" t="s">
        <v>13</v>
      </c>
      <c r="AH16">
        <v>0</v>
      </c>
      <c r="AI16">
        <v>12.266999999999999</v>
      </c>
      <c r="AJ16" s="3">
        <v>53182</v>
      </c>
      <c r="AK16">
        <v>9.1769999999999996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7.3323854190060009</v>
      </c>
      <c r="AU16" s="17">
        <f t="shared" si="1"/>
        <v>10316.395583425579</v>
      </c>
      <c r="AW16" s="9">
        <f t="shared" si="10"/>
        <v>4.6422563400000012</v>
      </c>
      <c r="AX16" s="10">
        <f t="shared" si="11"/>
        <v>11280.502902428399</v>
      </c>
      <c r="AZ16" s="11">
        <f t="shared" si="12"/>
        <v>2.1033032299399999</v>
      </c>
      <c r="BA16" s="12">
        <f t="shared" si="13"/>
        <v>10352.781947270279</v>
      </c>
      <c r="BC16" s="14">
        <f t="shared" si="14"/>
        <v>4.7457972518530003</v>
      </c>
      <c r="BD16" s="15">
        <f t="shared" si="15"/>
        <v>11978.738587183121</v>
      </c>
      <c r="BF16" s="16">
        <f t="shared" si="8"/>
        <v>7.3323854190060009</v>
      </c>
      <c r="BG16" s="17">
        <f t="shared" si="9"/>
        <v>10316.395583425579</v>
      </c>
      <c r="BI16">
        <v>52</v>
      </c>
      <c r="BJ16" t="s">
        <v>42</v>
      </c>
      <c r="BK16" s="2">
        <v>46140.630208333336</v>
      </c>
      <c r="BL16">
        <v>69</v>
      </c>
      <c r="BM16" t="s">
        <v>13</v>
      </c>
      <c r="BN16">
        <v>0</v>
      </c>
      <c r="BO16">
        <v>2.8879999999999999</v>
      </c>
      <c r="BP16" s="3">
        <v>721165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46140.651446759257</v>
      </c>
      <c r="D17">
        <v>291</v>
      </c>
      <c r="E17" t="s">
        <v>13</v>
      </c>
      <c r="F17">
        <v>0</v>
      </c>
      <c r="G17">
        <v>6.0579999999999998</v>
      </c>
      <c r="H17" s="3">
        <v>11841</v>
      </c>
      <c r="I17">
        <v>2.4E-2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46140.651446759257</v>
      </c>
      <c r="R17">
        <v>291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46140.651446759257</v>
      </c>
      <c r="AF17">
        <v>291</v>
      </c>
      <c r="AG17" t="s">
        <v>13</v>
      </c>
      <c r="AH17">
        <v>0</v>
      </c>
      <c r="AI17">
        <v>12.303000000000001</v>
      </c>
      <c r="AJ17" s="3">
        <v>21244</v>
      </c>
      <c r="AK17">
        <v>3.722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28.918605226631602</v>
      </c>
      <c r="AU17" s="17">
        <f t="shared" si="1"/>
        <v>4005.9130967134402</v>
      </c>
      <c r="AW17" s="9">
        <f t="shared" ref="AW17:AW33" si="16">IF(H17&lt;10000,((H17^2*0.00000054)+(H17*-0.004765)+(12.72)),(IF(H17&lt;200000,((H17^2*-0.000000001577)+(H17*0.003043)+(-10.42)),(IF(H17&lt;8000000,((H17^2*-0.0000000000186)+(H17*0.00194)+(154.1)),((V17^2*-0.00000002)+(V17*0.2565)+(-1032)))))))</f>
        <v>25.391052963863004</v>
      </c>
      <c r="AX17" s="10">
        <f t="shared" ref="AX17:AX33" si="17">IF(AJ17&lt;45000,((-0.0000004561*AJ17^2)+(0.244*AJ17)+(-21.72)),((-0.0000000409*AJ17^2)+(0.2477*AJ17)+(-1777)))</f>
        <v>4955.9746328304</v>
      </c>
      <c r="AZ17" s="11">
        <f t="shared" ref="AZ17:AZ33" si="18">IF(H17&lt;10000,((H17^2*0.00000005714)+(H17*0.002453)+(-3.811)),(IF(H17&lt;200000,((H17^2*-0.0000000002888)+(H17*0.002899)+(-4.321)),(IF(H17&lt;8000000,((H17^2*-0.0000000000062)+(H17*0.002143)+(157)),((V17^2*-0.000000031)+(V17*0.2771)+(-709.5)))))))</f>
        <v>29.965566559647201</v>
      </c>
      <c r="BA17" s="12">
        <f t="shared" ref="BA17:BA33" si="19">IF(AJ17&lt;45000,((-0.0000000598*AJ17^2)+(0.205*AJ17)+(34.1)),((-0.00000002403*AJ17^2)+(0.2063*AJ17)+(-550.7)))</f>
        <v>4362.1318093472</v>
      </c>
      <c r="BC17" s="14">
        <f t="shared" ref="BC17:BC33" si="20">IF(H17&lt;10000,((H17^2*0.000000008493)+(H17*0.003482)+(-3.269)),(IF(H17&lt;200000,((H17^2*-0.000000000263)+(H17*0.002682)+(3.179)),(IF(H17&lt;8000000,((H17^2*-0.000000000005099)+(H17*0.002054)+(174.8)),((V17^2*-0.00000001014)+(V17*0.2415)+(1123)))))))</f>
        <v>34.899686959097004</v>
      </c>
      <c r="BD17" s="15">
        <f t="shared" ref="BD17:BD33" si="21">IF(AJ17&lt;45000,((-0.00000004907*AJ17^2)+(0.2277*AJ17)+(-134)),((-0.00000001062*AJ17^2)+(0.2147*AJ17)+(590.6)))</f>
        <v>4681.1131392084808</v>
      </c>
      <c r="BF17" s="16">
        <f t="shared" si="8"/>
        <v>28.918605226631602</v>
      </c>
      <c r="BG17" s="17">
        <f t="shared" si="9"/>
        <v>4005.9130967134402</v>
      </c>
      <c r="BI17">
        <v>53</v>
      </c>
      <c r="BJ17" t="s">
        <v>43</v>
      </c>
      <c r="BK17" s="2">
        <v>46140.651446759257</v>
      </c>
      <c r="BL17">
        <v>291</v>
      </c>
      <c r="BM17" t="s">
        <v>13</v>
      </c>
      <c r="BN17">
        <v>0</v>
      </c>
      <c r="BO17">
        <v>2.8919999999999999</v>
      </c>
      <c r="BP17" s="3">
        <v>666037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46140.672662037039</v>
      </c>
      <c r="D18">
        <v>283</v>
      </c>
      <c r="E18" t="s">
        <v>13</v>
      </c>
      <c r="F18">
        <v>0</v>
      </c>
      <c r="G18">
        <v>6.0570000000000004</v>
      </c>
      <c r="H18" s="3">
        <v>24107</v>
      </c>
      <c r="I18">
        <v>4.9000000000000002E-2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46140.672662037039</v>
      </c>
      <c r="R18">
        <v>283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46140.672662037039</v>
      </c>
      <c r="AF18">
        <v>283</v>
      </c>
      <c r="AG18" t="s">
        <v>13</v>
      </c>
      <c r="AH18">
        <v>0</v>
      </c>
      <c r="AI18">
        <v>12.31</v>
      </c>
      <c r="AJ18" s="3">
        <v>14653</v>
      </c>
      <c r="AK18">
        <v>2.5960000000000001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55.492516100196404</v>
      </c>
      <c r="AU18" s="17">
        <f t="shared" si="1"/>
        <v>2773.4965855381101</v>
      </c>
      <c r="AW18" s="9">
        <f t="shared" si="16"/>
        <v>62.021131472926996</v>
      </c>
      <c r="AX18" s="10">
        <f t="shared" si="17"/>
        <v>3455.6825824551001</v>
      </c>
      <c r="AZ18" s="11">
        <f t="shared" si="18"/>
        <v>65.397357616728812</v>
      </c>
      <c r="BA18" s="12">
        <f t="shared" si="19"/>
        <v>3025.1253175417996</v>
      </c>
      <c r="BC18" s="14">
        <f t="shared" si="20"/>
        <v>67.681132220913</v>
      </c>
      <c r="BD18" s="15">
        <f t="shared" si="21"/>
        <v>3191.95226023037</v>
      </c>
      <c r="BF18" s="16">
        <f t="shared" si="8"/>
        <v>55.492516100196404</v>
      </c>
      <c r="BG18" s="17">
        <f t="shared" si="9"/>
        <v>2773.4965855381101</v>
      </c>
      <c r="BI18">
        <v>54</v>
      </c>
      <c r="BJ18" t="s">
        <v>44</v>
      </c>
      <c r="BK18" s="2">
        <v>46140.672662037039</v>
      </c>
      <c r="BL18">
        <v>283</v>
      </c>
      <c r="BM18" t="s">
        <v>13</v>
      </c>
      <c r="BN18">
        <v>0</v>
      </c>
      <c r="BO18">
        <v>2.8959999999999999</v>
      </c>
      <c r="BP18" s="3">
        <v>586230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46140.693865740737</v>
      </c>
      <c r="D19">
        <v>122</v>
      </c>
      <c r="E19" t="s">
        <v>13</v>
      </c>
      <c r="F19">
        <v>0</v>
      </c>
      <c r="G19">
        <v>6.06</v>
      </c>
      <c r="H19" s="3">
        <v>5757</v>
      </c>
      <c r="I19">
        <v>1.2E-2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46140.693865740737</v>
      </c>
      <c r="R19">
        <v>122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46140.693865740737</v>
      </c>
      <c r="AF19">
        <v>122</v>
      </c>
      <c r="AG19" t="s">
        <v>13</v>
      </c>
      <c r="AH19">
        <v>0</v>
      </c>
      <c r="AI19">
        <v>12.194000000000001</v>
      </c>
      <c r="AJ19" s="3">
        <v>39897</v>
      </c>
      <c r="AK19">
        <v>6.9080000000000004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16.262891716014</v>
      </c>
      <c r="AU19" s="17">
        <f t="shared" si="1"/>
        <v>7510.5923700961102</v>
      </c>
      <c r="AW19" s="9">
        <f t="shared" si="16"/>
        <v>3.1851414600000023</v>
      </c>
      <c r="AX19" s="10">
        <f t="shared" si="17"/>
        <v>8987.1414252351005</v>
      </c>
      <c r="AZ19" s="11">
        <f t="shared" si="18"/>
        <v>12.204714819859998</v>
      </c>
      <c r="BA19" s="12">
        <f t="shared" si="19"/>
        <v>8117.7971175817993</v>
      </c>
      <c r="BC19" s="14">
        <f t="shared" si="20"/>
        <v>17.058357915156996</v>
      </c>
      <c r="BD19" s="15">
        <f t="shared" si="21"/>
        <v>8872.4387162163712</v>
      </c>
      <c r="BF19" s="16">
        <f t="shared" si="8"/>
        <v>16.262891716014</v>
      </c>
      <c r="BG19" s="17">
        <f t="shared" si="9"/>
        <v>7510.5923700961102</v>
      </c>
      <c r="BI19">
        <v>55</v>
      </c>
      <c r="BJ19" t="s">
        <v>45</v>
      </c>
      <c r="BK19" s="2">
        <v>46140.693865740737</v>
      </c>
      <c r="BL19">
        <v>122</v>
      </c>
      <c r="BM19" t="s">
        <v>13</v>
      </c>
      <c r="BN19">
        <v>0</v>
      </c>
      <c r="BO19">
        <v>2.8879999999999999</v>
      </c>
      <c r="BP19" s="3">
        <v>712186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46140.715069444443</v>
      </c>
      <c r="D20">
        <v>199</v>
      </c>
      <c r="E20" t="s">
        <v>13</v>
      </c>
      <c r="F20">
        <v>0</v>
      </c>
      <c r="G20">
        <v>6.0570000000000004</v>
      </c>
      <c r="H20" s="3">
        <v>43173</v>
      </c>
      <c r="I20">
        <v>8.7999999999999995E-2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46140.715069444443</v>
      </c>
      <c r="R20">
        <v>199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46140.715069444443</v>
      </c>
      <c r="AF20">
        <v>199</v>
      </c>
      <c r="AG20" t="s">
        <v>13</v>
      </c>
      <c r="AH20">
        <v>0</v>
      </c>
      <c r="AI20">
        <v>12.334</v>
      </c>
      <c r="AJ20" s="3">
        <v>2524</v>
      </c>
      <c r="AK20">
        <v>0.52400000000000002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96.573565055524412</v>
      </c>
      <c r="AU20" s="17">
        <f t="shared" si="1"/>
        <v>513.68480291504</v>
      </c>
      <c r="AW20" s="9">
        <f t="shared" si="16"/>
        <v>118.01605619596701</v>
      </c>
      <c r="AX20" s="10">
        <f t="shared" si="17"/>
        <v>591.23038028639996</v>
      </c>
      <c r="AZ20" s="11">
        <f t="shared" si="18"/>
        <v>120.29923039010481</v>
      </c>
      <c r="BA20" s="12">
        <f t="shared" si="19"/>
        <v>551.13903955519993</v>
      </c>
      <c r="BC20" s="14">
        <f t="shared" si="20"/>
        <v>118.478778214673</v>
      </c>
      <c r="BD20" s="15">
        <f t="shared" si="21"/>
        <v>440.40219583568012</v>
      </c>
      <c r="BF20" s="16">
        <f t="shared" si="8"/>
        <v>96.573565055524412</v>
      </c>
      <c r="BG20" s="17">
        <f t="shared" si="9"/>
        <v>513.68480291504</v>
      </c>
      <c r="BI20">
        <v>56</v>
      </c>
      <c r="BJ20" t="s">
        <v>46</v>
      </c>
      <c r="BK20" s="2">
        <v>46140.715069444443</v>
      </c>
      <c r="BL20">
        <v>199</v>
      </c>
      <c r="BM20" t="s">
        <v>13</v>
      </c>
      <c r="BN20">
        <v>0</v>
      </c>
      <c r="BO20">
        <v>2.887</v>
      </c>
      <c r="BP20" s="3">
        <v>753395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46140.736284722225</v>
      </c>
      <c r="D21">
        <v>242</v>
      </c>
      <c r="E21" t="s">
        <v>13</v>
      </c>
      <c r="F21">
        <v>0</v>
      </c>
      <c r="G21">
        <v>6.056</v>
      </c>
      <c r="H21" s="3">
        <v>26260</v>
      </c>
      <c r="I21">
        <v>5.2999999999999999E-2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46140.736284722225</v>
      </c>
      <c r="R21">
        <v>242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46140.736284722225</v>
      </c>
      <c r="AF21">
        <v>242</v>
      </c>
      <c r="AG21" t="s">
        <v>13</v>
      </c>
      <c r="AH21">
        <v>0</v>
      </c>
      <c r="AI21">
        <v>12.324</v>
      </c>
      <c r="AJ21" s="3">
        <v>6758</v>
      </c>
      <c r="AK21">
        <v>1.2470000000000001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60.145239227360001</v>
      </c>
      <c r="AU21" s="17">
        <f t="shared" si="1"/>
        <v>1301.3451494855601</v>
      </c>
      <c r="AW21" s="9">
        <f t="shared" si="16"/>
        <v>68.401700354799999</v>
      </c>
      <c r="AX21" s="10">
        <f t="shared" si="17"/>
        <v>1606.4016557595999</v>
      </c>
      <c r="AZ21" s="11">
        <f t="shared" si="18"/>
        <v>71.607587101120004</v>
      </c>
      <c r="BA21" s="12">
        <f t="shared" si="19"/>
        <v>1416.7589002727998</v>
      </c>
      <c r="BC21" s="14">
        <f t="shared" si="20"/>
        <v>73.426958461200002</v>
      </c>
      <c r="BD21" s="15">
        <f t="shared" si="21"/>
        <v>1402.5555454245202</v>
      </c>
      <c r="BF21" s="16">
        <f t="shared" si="8"/>
        <v>60.145239227360001</v>
      </c>
      <c r="BG21" s="17">
        <f t="shared" si="9"/>
        <v>1301.3451494855601</v>
      </c>
      <c r="BI21">
        <v>57</v>
      </c>
      <c r="BJ21" t="s">
        <v>47</v>
      </c>
      <c r="BK21" s="2">
        <v>46140.736284722225</v>
      </c>
      <c r="BL21">
        <v>242</v>
      </c>
      <c r="BM21" t="s">
        <v>13</v>
      </c>
      <c r="BN21">
        <v>0</v>
      </c>
      <c r="BO21">
        <v>2.8860000000000001</v>
      </c>
      <c r="BP21" s="3">
        <v>748357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46140.7575</v>
      </c>
      <c r="D22">
        <v>376</v>
      </c>
      <c r="E22" t="s">
        <v>13</v>
      </c>
      <c r="F22">
        <v>0</v>
      </c>
      <c r="G22">
        <v>6.0570000000000004</v>
      </c>
      <c r="H22" s="3">
        <v>12150</v>
      </c>
      <c r="I22">
        <v>2.5000000000000001E-2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46140.7575</v>
      </c>
      <c r="R22">
        <v>376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46140.7575</v>
      </c>
      <c r="AF22">
        <v>376</v>
      </c>
      <c r="AG22" t="s">
        <v>13</v>
      </c>
      <c r="AH22">
        <v>0</v>
      </c>
      <c r="AI22">
        <v>12.26</v>
      </c>
      <c r="AJ22" s="3">
        <v>21352</v>
      </c>
      <c r="AK22">
        <v>3.74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29.589434891000003</v>
      </c>
      <c r="AU22" s="17">
        <f t="shared" si="1"/>
        <v>4026.1333438841602</v>
      </c>
      <c r="AW22" s="9">
        <f t="shared" si="16"/>
        <v>26.319649317500001</v>
      </c>
      <c r="AX22" s="10">
        <f t="shared" si="17"/>
        <v>4980.2284049855998</v>
      </c>
      <c r="AZ22" s="11">
        <f t="shared" si="18"/>
        <v>30.859216622000005</v>
      </c>
      <c r="BA22" s="12">
        <f t="shared" si="19"/>
        <v>4383.9967073408006</v>
      </c>
      <c r="BC22" s="14">
        <f t="shared" si="20"/>
        <v>35.726475282500004</v>
      </c>
      <c r="BD22" s="15">
        <f t="shared" si="21"/>
        <v>4705.4789991507205</v>
      </c>
      <c r="BF22" s="16">
        <f t="shared" si="8"/>
        <v>29.589434891000003</v>
      </c>
      <c r="BG22" s="17">
        <f t="shared" si="9"/>
        <v>4026.1333438841602</v>
      </c>
      <c r="BI22">
        <v>58</v>
      </c>
      <c r="BJ22" t="s">
        <v>48</v>
      </c>
      <c r="BK22" s="2">
        <v>46140.7575</v>
      </c>
      <c r="BL22">
        <v>376</v>
      </c>
      <c r="BM22" t="s">
        <v>13</v>
      </c>
      <c r="BN22">
        <v>0</v>
      </c>
      <c r="BO22">
        <v>2.8860000000000001</v>
      </c>
      <c r="BP22" s="3">
        <v>756014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46140.778726851851</v>
      </c>
      <c r="D23">
        <v>414</v>
      </c>
      <c r="E23" t="s">
        <v>13</v>
      </c>
      <c r="F23">
        <v>0</v>
      </c>
      <c r="G23">
        <v>6.0620000000000003</v>
      </c>
      <c r="H23" s="3">
        <v>44887</v>
      </c>
      <c r="I23">
        <v>9.0999999999999998E-2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46140.778726851851</v>
      </c>
      <c r="R23">
        <v>414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46140.778726851851</v>
      </c>
      <c r="AF23">
        <v>414</v>
      </c>
      <c r="AG23" t="s">
        <v>13</v>
      </c>
      <c r="AH23">
        <v>0</v>
      </c>
      <c r="AI23">
        <v>12.315</v>
      </c>
      <c r="AJ23" s="3">
        <v>2169</v>
      </c>
      <c r="AK23">
        <v>0.46300000000000002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100.25327318174841</v>
      </c>
      <c r="AU23" s="17">
        <f t="shared" si="1"/>
        <v>447.70167623818998</v>
      </c>
      <c r="AW23" s="9">
        <f t="shared" si="16"/>
        <v>122.99373395328699</v>
      </c>
      <c r="AX23" s="10">
        <f t="shared" si="17"/>
        <v>505.37024972789993</v>
      </c>
      <c r="AZ23" s="11">
        <f t="shared" si="18"/>
        <v>125.22452640831281</v>
      </c>
      <c r="BA23" s="12">
        <f t="shared" si="19"/>
        <v>478.46366725220003</v>
      </c>
      <c r="BC23" s="14">
        <f t="shared" si="20"/>
        <v>123.036030351753</v>
      </c>
      <c r="BD23" s="15">
        <f t="shared" si="21"/>
        <v>359.65044719173</v>
      </c>
      <c r="BF23" s="16">
        <f t="shared" si="8"/>
        <v>100.25327318174841</v>
      </c>
      <c r="BG23" s="17">
        <f t="shared" si="9"/>
        <v>447.70167623818998</v>
      </c>
      <c r="BI23">
        <v>59</v>
      </c>
      <c r="BJ23" t="s">
        <v>49</v>
      </c>
      <c r="BK23" s="2">
        <v>46140.778726851851</v>
      </c>
      <c r="BL23">
        <v>414</v>
      </c>
      <c r="BM23" t="s">
        <v>13</v>
      </c>
      <c r="BN23">
        <v>0</v>
      </c>
      <c r="BO23">
        <v>2.89</v>
      </c>
      <c r="BP23" s="3">
        <v>801152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46140.799953703703</v>
      </c>
      <c r="D24">
        <v>236</v>
      </c>
      <c r="E24" t="s">
        <v>13</v>
      </c>
      <c r="F24">
        <v>0</v>
      </c>
      <c r="G24">
        <v>6.0819999999999999</v>
      </c>
      <c r="H24" s="3">
        <v>2548</v>
      </c>
      <c r="I24">
        <v>5.0000000000000001E-3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46140.799953703703</v>
      </c>
      <c r="R24">
        <v>236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46140.799953703703</v>
      </c>
      <c r="AF24">
        <v>236</v>
      </c>
      <c r="AG24" t="s">
        <v>13</v>
      </c>
      <c r="AH24">
        <v>0</v>
      </c>
      <c r="AI24">
        <v>12.273999999999999</v>
      </c>
      <c r="AJ24" s="3">
        <v>52046</v>
      </c>
      <c r="AK24">
        <v>8.9830000000000005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8.0024275829439997</v>
      </c>
      <c r="AU24" s="17">
        <f t="shared" si="1"/>
        <v>10130.500287824216</v>
      </c>
      <c r="AW24" s="9">
        <f t="shared" si="16"/>
        <v>4.0846241600000006</v>
      </c>
      <c r="AX24" s="10">
        <f t="shared" si="17"/>
        <v>11004.0048478556</v>
      </c>
      <c r="AZ24" s="11">
        <f t="shared" si="18"/>
        <v>2.8102142505599996</v>
      </c>
      <c r="BA24" s="12">
        <f t="shared" si="19"/>
        <v>10121.297669632519</v>
      </c>
      <c r="BC24" s="14">
        <f t="shared" si="20"/>
        <v>5.6582751378719998</v>
      </c>
      <c r="BD24" s="15">
        <f t="shared" si="21"/>
        <v>11736.108891448081</v>
      </c>
      <c r="BF24" s="16">
        <f t="shared" si="8"/>
        <v>8.0024275829439997</v>
      </c>
      <c r="BG24" s="17">
        <f t="shared" si="9"/>
        <v>10130.500287824216</v>
      </c>
      <c r="BI24">
        <v>60</v>
      </c>
      <c r="BJ24" t="s">
        <v>50</v>
      </c>
      <c r="BK24" s="2">
        <v>46140.799953703703</v>
      </c>
      <c r="BL24">
        <v>236</v>
      </c>
      <c r="BM24" t="s">
        <v>13</v>
      </c>
      <c r="BN24">
        <v>0</v>
      </c>
      <c r="BO24">
        <v>2.89</v>
      </c>
      <c r="BP24" s="3">
        <v>785980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46140.821168981478</v>
      </c>
      <c r="D25">
        <v>294</v>
      </c>
      <c r="E25" t="s">
        <v>13</v>
      </c>
      <c r="F25">
        <v>0</v>
      </c>
      <c r="G25">
        <v>6.0640000000000001</v>
      </c>
      <c r="H25" s="3">
        <v>42736</v>
      </c>
      <c r="I25">
        <v>8.6999999999999994E-2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46140.821168981478</v>
      </c>
      <c r="R25">
        <v>294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46140.821168981478</v>
      </c>
      <c r="AF25">
        <v>294</v>
      </c>
      <c r="AG25" t="s">
        <v>13</v>
      </c>
      <c r="AH25">
        <v>0</v>
      </c>
      <c r="AI25">
        <v>12.337999999999999</v>
      </c>
      <c r="AJ25" s="3">
        <v>2279</v>
      </c>
      <c r="AK25">
        <v>0.48199999999999998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95.635035952025603</v>
      </c>
      <c r="AU25" s="17">
        <f t="shared" si="1"/>
        <v>468.14618756939001</v>
      </c>
      <c r="AW25" s="9">
        <f t="shared" si="16"/>
        <v>116.74546929740799</v>
      </c>
      <c r="AX25" s="10">
        <f t="shared" si="17"/>
        <v>531.98708911990002</v>
      </c>
      <c r="AZ25" s="11">
        <f t="shared" si="18"/>
        <v>119.0432095869952</v>
      </c>
      <c r="BA25" s="12">
        <f t="shared" si="19"/>
        <v>500.98440830819999</v>
      </c>
      <c r="BC25" s="14">
        <f t="shared" si="20"/>
        <v>117.31661782195201</v>
      </c>
      <c r="BD25" s="15">
        <f t="shared" si="21"/>
        <v>384.67343822213002</v>
      </c>
      <c r="BF25" s="16">
        <f t="shared" si="8"/>
        <v>95.635035952025603</v>
      </c>
      <c r="BG25" s="17">
        <f t="shared" si="9"/>
        <v>468.14618756939001</v>
      </c>
      <c r="BI25">
        <v>61</v>
      </c>
      <c r="BJ25" t="s">
        <v>51</v>
      </c>
      <c r="BK25" s="2">
        <v>46140.821168981478</v>
      </c>
      <c r="BL25">
        <v>294</v>
      </c>
      <c r="BM25" t="s">
        <v>13</v>
      </c>
      <c r="BN25">
        <v>0</v>
      </c>
      <c r="BO25">
        <v>2.8940000000000001</v>
      </c>
      <c r="BP25" s="3">
        <v>752077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46140.84238425926</v>
      </c>
      <c r="D26">
        <v>327</v>
      </c>
      <c r="E26" t="s">
        <v>13</v>
      </c>
      <c r="F26">
        <v>0</v>
      </c>
      <c r="G26">
        <v>6.0549999999999997</v>
      </c>
      <c r="H26" s="3">
        <v>27626</v>
      </c>
      <c r="I26">
        <v>5.6000000000000001E-2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46140.84238425926</v>
      </c>
      <c r="R26">
        <v>327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46140.84238425926</v>
      </c>
      <c r="AF26">
        <v>327</v>
      </c>
      <c r="AG26" t="s">
        <v>13</v>
      </c>
      <c r="AH26">
        <v>0</v>
      </c>
      <c r="AI26">
        <v>12.301</v>
      </c>
      <c r="AJ26" s="3">
        <v>15858</v>
      </c>
      <c r="AK26">
        <v>2.802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63.095413072273601</v>
      </c>
      <c r="AU26" s="17">
        <f t="shared" si="1"/>
        <v>2998.5809319095601</v>
      </c>
      <c r="AW26" s="9">
        <f t="shared" si="16"/>
        <v>72.442358103548003</v>
      </c>
      <c r="AX26" s="10">
        <f t="shared" si="17"/>
        <v>3732.9337215996002</v>
      </c>
      <c r="AZ26" s="11">
        <f t="shared" si="18"/>
        <v>75.546363031011197</v>
      </c>
      <c r="BA26" s="12">
        <f t="shared" si="19"/>
        <v>3269.9517253927997</v>
      </c>
      <c r="BC26" s="14">
        <f t="shared" si="20"/>
        <v>77.071211484612007</v>
      </c>
      <c r="BD26" s="15">
        <f t="shared" si="21"/>
        <v>3464.5266646325204</v>
      </c>
      <c r="BF26" s="16">
        <f t="shared" si="8"/>
        <v>63.095413072273601</v>
      </c>
      <c r="BG26" s="17">
        <f t="shared" si="9"/>
        <v>2998.5809319095601</v>
      </c>
      <c r="BI26">
        <v>62</v>
      </c>
      <c r="BJ26" t="s">
        <v>52</v>
      </c>
      <c r="BK26" s="2">
        <v>46140.84238425926</v>
      </c>
      <c r="BL26">
        <v>327</v>
      </c>
      <c r="BM26" t="s">
        <v>13</v>
      </c>
      <c r="BN26">
        <v>0</v>
      </c>
      <c r="BO26">
        <v>2.8879999999999999</v>
      </c>
      <c r="BP26" s="3">
        <v>695905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46140.863611111112</v>
      </c>
      <c r="D27">
        <v>391</v>
      </c>
      <c r="E27" t="s">
        <v>13</v>
      </c>
      <c r="F27">
        <v>0</v>
      </c>
      <c r="G27">
        <v>6.0540000000000003</v>
      </c>
      <c r="H27" s="3">
        <v>57000</v>
      </c>
      <c r="I27">
        <v>0.11600000000000001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46140.863611111112</v>
      </c>
      <c r="R27">
        <v>391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46140.863611111112</v>
      </c>
      <c r="AF27">
        <v>391</v>
      </c>
      <c r="AG27" t="s">
        <v>13</v>
      </c>
      <c r="AH27">
        <v>0</v>
      </c>
      <c r="AI27">
        <v>12.321</v>
      </c>
      <c r="AJ27" s="3">
        <v>4556</v>
      </c>
      <c r="AK27">
        <v>0.871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126.1950764</v>
      </c>
      <c r="AU27" s="17">
        <f t="shared" si="1"/>
        <v>891.54209789744004</v>
      </c>
      <c r="AW27" s="9">
        <f t="shared" si="16"/>
        <v>157.90732700000001</v>
      </c>
      <c r="AX27" s="10">
        <f t="shared" si="17"/>
        <v>1080.4766702704001</v>
      </c>
      <c r="AZ27" s="11">
        <f t="shared" si="18"/>
        <v>159.98368880000001</v>
      </c>
      <c r="BA27" s="12">
        <f t="shared" si="19"/>
        <v>966.83872326719995</v>
      </c>
      <c r="BC27" s="14">
        <f t="shared" si="20"/>
        <v>155.19851299999999</v>
      </c>
      <c r="BD27" s="15">
        <f t="shared" si="21"/>
        <v>902.38264733647998</v>
      </c>
      <c r="BF27" s="16">
        <f t="shared" si="8"/>
        <v>126.1950764</v>
      </c>
      <c r="BG27" s="17">
        <f t="shared" si="9"/>
        <v>891.54209789744004</v>
      </c>
      <c r="BI27">
        <v>63</v>
      </c>
      <c r="BJ27" t="s">
        <v>53</v>
      </c>
      <c r="BK27" s="2">
        <v>46140.863611111112</v>
      </c>
      <c r="BL27">
        <v>391</v>
      </c>
      <c r="BM27" t="s">
        <v>13</v>
      </c>
      <c r="BN27">
        <v>0</v>
      </c>
      <c r="BO27">
        <v>2.8849999999999998</v>
      </c>
      <c r="BP27" s="3">
        <v>751802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46140.88484953704</v>
      </c>
      <c r="D28">
        <v>197</v>
      </c>
      <c r="E28" t="s">
        <v>13</v>
      </c>
      <c r="F28">
        <v>0</v>
      </c>
      <c r="G28">
        <v>6.0529999999999999</v>
      </c>
      <c r="H28" s="3">
        <v>58453</v>
      </c>
      <c r="I28">
        <v>0.11899999999999999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46140.88484953704</v>
      </c>
      <c r="R28">
        <v>197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46140.88484953704</v>
      </c>
      <c r="AF28">
        <v>197</v>
      </c>
      <c r="AG28" t="s">
        <v>13</v>
      </c>
      <c r="AH28">
        <v>0</v>
      </c>
      <c r="AI28">
        <v>12.304</v>
      </c>
      <c r="AJ28" s="3">
        <v>4401</v>
      </c>
      <c r="AK28">
        <v>0.84399999999999997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129.29947409213241</v>
      </c>
      <c r="AU28" s="17">
        <f t="shared" si="1"/>
        <v>862.70890938779007</v>
      </c>
      <c r="AW28" s="9">
        <f t="shared" si="16"/>
        <v>162.06425918940701</v>
      </c>
      <c r="AX28" s="10">
        <f t="shared" si="17"/>
        <v>1043.2898898639</v>
      </c>
      <c r="AZ28" s="11">
        <f t="shared" si="18"/>
        <v>164.14748867324082</v>
      </c>
      <c r="BA28" s="12">
        <f t="shared" si="19"/>
        <v>935.14674570019997</v>
      </c>
      <c r="BC28" s="14">
        <f t="shared" si="20"/>
        <v>159.05133990603301</v>
      </c>
      <c r="BD28" s="15">
        <f t="shared" si="21"/>
        <v>867.15727293493001</v>
      </c>
      <c r="BF28" s="16">
        <f t="shared" si="8"/>
        <v>129.29947409213241</v>
      </c>
      <c r="BG28" s="17">
        <f t="shared" si="9"/>
        <v>862.70890938779007</v>
      </c>
      <c r="BI28">
        <v>64</v>
      </c>
      <c r="BJ28" t="s">
        <v>54</v>
      </c>
      <c r="BK28" s="2">
        <v>46140.88484953704</v>
      </c>
      <c r="BL28">
        <v>197</v>
      </c>
      <c r="BM28" t="s">
        <v>13</v>
      </c>
      <c r="BN28">
        <v>0</v>
      </c>
      <c r="BO28">
        <v>2.8839999999999999</v>
      </c>
      <c r="BP28" s="3">
        <v>773343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46140.906053240738</v>
      </c>
      <c r="D29">
        <v>388</v>
      </c>
      <c r="E29" t="s">
        <v>13</v>
      </c>
      <c r="F29">
        <v>0</v>
      </c>
      <c r="G29">
        <v>6.0529999999999999</v>
      </c>
      <c r="H29" s="3">
        <v>28054</v>
      </c>
      <c r="I29">
        <v>5.7000000000000002E-2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46140.906053240738</v>
      </c>
      <c r="R29">
        <v>388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46140.906053240738</v>
      </c>
      <c r="AF29">
        <v>388</v>
      </c>
      <c r="AG29" t="s">
        <v>13</v>
      </c>
      <c r="AH29">
        <v>0</v>
      </c>
      <c r="AI29">
        <v>12.308999999999999</v>
      </c>
      <c r="AJ29" s="3">
        <v>6314</v>
      </c>
      <c r="AK29" s="13">
        <v>1.171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64.019483068817607</v>
      </c>
      <c r="AU29" s="17">
        <f t="shared" si="1"/>
        <v>1218.68662547084</v>
      </c>
      <c r="AW29" s="9">
        <f t="shared" si="16"/>
        <v>73.707180553468007</v>
      </c>
      <c r="AX29" s="10">
        <f t="shared" si="17"/>
        <v>1500.7128455643999</v>
      </c>
      <c r="AZ29" s="11">
        <f t="shared" si="18"/>
        <v>76.780252626659205</v>
      </c>
      <c r="BA29" s="12">
        <f t="shared" si="19"/>
        <v>1326.0859775591998</v>
      </c>
      <c r="BC29" s="14">
        <f t="shared" si="20"/>
        <v>78.212839921091998</v>
      </c>
      <c r="BD29" s="15">
        <f t="shared" si="21"/>
        <v>1301.74154613428</v>
      </c>
      <c r="BF29" s="16">
        <f t="shared" si="8"/>
        <v>64.019483068817607</v>
      </c>
      <c r="BG29" s="17">
        <f t="shared" si="9"/>
        <v>1218.68662547084</v>
      </c>
      <c r="BI29">
        <v>65</v>
      </c>
      <c r="BJ29" t="s">
        <v>55</v>
      </c>
      <c r="BK29" s="2">
        <v>46140.906053240738</v>
      </c>
      <c r="BL29">
        <v>388</v>
      </c>
      <c r="BM29" t="s">
        <v>13</v>
      </c>
      <c r="BN29">
        <v>0</v>
      </c>
      <c r="BO29">
        <v>2.8809999999999998</v>
      </c>
      <c r="BP29" s="3">
        <v>825300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46140.92728009259</v>
      </c>
      <c r="D30">
        <v>18</v>
      </c>
      <c r="E30" t="s">
        <v>13</v>
      </c>
      <c r="F30">
        <v>0</v>
      </c>
      <c r="G30">
        <v>6.0540000000000003</v>
      </c>
      <c r="H30" s="3">
        <v>2569</v>
      </c>
      <c r="I30">
        <v>5.0000000000000001E-3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46140.92728009259</v>
      </c>
      <c r="R30">
        <v>18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46140.92728009259</v>
      </c>
      <c r="AF30">
        <v>18</v>
      </c>
      <c r="AG30" t="s">
        <v>13</v>
      </c>
      <c r="AH30">
        <v>0</v>
      </c>
      <c r="AI30">
        <v>12.249000000000001</v>
      </c>
      <c r="AJ30" s="3">
        <v>53157</v>
      </c>
      <c r="AK30">
        <v>9.1720000000000006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ref="AT30:AT33" si="22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8.0567334876460013</v>
      </c>
      <c r="AU30" s="17">
        <f t="shared" ref="AU30:AU33" si="23">IF($AJ30&lt;45000,((0.00000003579*$AJ30^2)+(0.1857*$AJ30)+(44.75)),((0.0000000022829*$AJ30^2)+(0.1634*$AJ30)+(1620)))</f>
        <v>10312.304514393001</v>
      </c>
      <c r="AW30" s="9">
        <f t="shared" si="16"/>
        <v>4.0425859400000004</v>
      </c>
      <c r="AX30" s="10">
        <f t="shared" si="17"/>
        <v>11274.419134055901</v>
      </c>
      <c r="AZ30" s="11">
        <f t="shared" si="18"/>
        <v>2.8678673435399995</v>
      </c>
      <c r="BA30" s="12">
        <f t="shared" si="19"/>
        <v>10347.688330424529</v>
      </c>
      <c r="BC30" s="14">
        <f t="shared" si="20"/>
        <v>5.7323097701729981</v>
      </c>
      <c r="BD30" s="15">
        <f t="shared" si="21"/>
        <v>11973.39932018762</v>
      </c>
      <c r="BF30" s="16">
        <f t="shared" ref="BF30:BF33" si="24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8.0567334876460013</v>
      </c>
      <c r="BG30" s="17">
        <f t="shared" ref="BG30:BG33" si="25">IF($AJ30&lt;45000,((0.00000003579*$AJ30^2)+(0.1857*$AJ30)+(44.75)),((0.0000000022829*$AJ30^2)+(0.1634*$AJ30)+(1620)))</f>
        <v>10312.304514393001</v>
      </c>
      <c r="BI30">
        <v>66</v>
      </c>
      <c r="BJ30" t="s">
        <v>56</v>
      </c>
      <c r="BK30" s="2">
        <v>46140.92728009259</v>
      </c>
      <c r="BL30">
        <v>18</v>
      </c>
      <c r="BM30" t="s">
        <v>13</v>
      </c>
      <c r="BN30">
        <v>0</v>
      </c>
      <c r="BO30">
        <v>2.8769999999999998</v>
      </c>
      <c r="BP30" s="3">
        <v>867336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46140.948483796295</v>
      </c>
      <c r="D31">
        <v>68</v>
      </c>
      <c r="E31" t="s">
        <v>13</v>
      </c>
      <c r="F31">
        <v>0</v>
      </c>
      <c r="G31">
        <v>6.0519999999999996</v>
      </c>
      <c r="H31" s="3">
        <v>54123</v>
      </c>
      <c r="I31">
        <v>0.11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46140.948483796295</v>
      </c>
      <c r="R31">
        <v>68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46140.948483796295</v>
      </c>
      <c r="AF31">
        <v>68</v>
      </c>
      <c r="AG31" t="s">
        <v>13</v>
      </c>
      <c r="AH31">
        <v>0</v>
      </c>
      <c r="AI31">
        <v>12.301</v>
      </c>
      <c r="AJ31" s="3">
        <v>6829</v>
      </c>
      <c r="AK31">
        <v>1.2589999999999999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22"/>
        <v>120.04355180784441</v>
      </c>
      <c r="AU31" s="17">
        <f t="shared" si="23"/>
        <v>1314.5643752753901</v>
      </c>
      <c r="AW31" s="9">
        <f t="shared" si="16"/>
        <v>149.65678427356701</v>
      </c>
      <c r="AX31" s="10">
        <f t="shared" si="17"/>
        <v>1623.2856665799</v>
      </c>
      <c r="AZ31" s="11">
        <f t="shared" si="18"/>
        <v>151.73559541154481</v>
      </c>
      <c r="BA31" s="12">
        <f t="shared" si="19"/>
        <v>1431.2562125881998</v>
      </c>
      <c r="BC31" s="14">
        <f t="shared" si="20"/>
        <v>147.56648032907299</v>
      </c>
      <c r="BD31" s="15">
        <f t="shared" si="21"/>
        <v>1418.6749087241301</v>
      </c>
      <c r="BF31" s="16">
        <f t="shared" si="24"/>
        <v>120.04355180784441</v>
      </c>
      <c r="BG31" s="17">
        <f t="shared" si="25"/>
        <v>1314.5643752753901</v>
      </c>
      <c r="BI31">
        <v>67</v>
      </c>
      <c r="BJ31" t="s">
        <v>57</v>
      </c>
      <c r="BK31" s="2">
        <v>46140.948483796295</v>
      </c>
      <c r="BL31">
        <v>68</v>
      </c>
      <c r="BM31" t="s">
        <v>13</v>
      </c>
      <c r="BN31">
        <v>0</v>
      </c>
      <c r="BO31">
        <v>2.883</v>
      </c>
      <c r="BP31" s="3">
        <v>782487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46140.969687500001</v>
      </c>
      <c r="D32">
        <v>334</v>
      </c>
      <c r="E32" t="s">
        <v>13</v>
      </c>
      <c r="F32">
        <v>0</v>
      </c>
      <c r="G32">
        <v>6.0510000000000002</v>
      </c>
      <c r="H32" s="3">
        <v>55482</v>
      </c>
      <c r="I32">
        <v>0.113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46140.969687500001</v>
      </c>
      <c r="R32">
        <v>334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46140.969687500001</v>
      </c>
      <c r="AF32">
        <v>334</v>
      </c>
      <c r="AG32" t="s">
        <v>13</v>
      </c>
      <c r="AH32">
        <v>0</v>
      </c>
      <c r="AI32">
        <v>12.231</v>
      </c>
      <c r="AJ32" s="3">
        <v>6123</v>
      </c>
      <c r="AK32">
        <v>1.1379999999999999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22"/>
        <v>122.95010582524641</v>
      </c>
      <c r="AU32" s="17">
        <f t="shared" si="23"/>
        <v>1183.13290750691</v>
      </c>
      <c r="AW32" s="9">
        <f t="shared" si="16"/>
        <v>153.55732208505202</v>
      </c>
      <c r="AX32" s="10">
        <f t="shared" si="17"/>
        <v>1455.1922960631</v>
      </c>
      <c r="AZ32" s="11">
        <f t="shared" si="18"/>
        <v>155.63231872882881</v>
      </c>
      <c r="BA32" s="12">
        <f t="shared" si="19"/>
        <v>1287.0730304857998</v>
      </c>
      <c r="BC32" s="14">
        <f t="shared" si="20"/>
        <v>151.17214363878799</v>
      </c>
      <c r="BD32" s="15">
        <f t="shared" si="21"/>
        <v>1258.3674102999701</v>
      </c>
      <c r="BF32" s="16">
        <f t="shared" si="24"/>
        <v>122.95010582524641</v>
      </c>
      <c r="BG32" s="17">
        <f t="shared" si="25"/>
        <v>1183.13290750691</v>
      </c>
      <c r="BI32">
        <v>68</v>
      </c>
      <c r="BJ32" t="s">
        <v>58</v>
      </c>
      <c r="BK32" s="2">
        <v>46140.969687500001</v>
      </c>
      <c r="BL32">
        <v>334</v>
      </c>
      <c r="BM32" t="s">
        <v>13</v>
      </c>
      <c r="BN32">
        <v>0</v>
      </c>
      <c r="BO32">
        <v>2.88</v>
      </c>
      <c r="BP32" s="3">
        <v>823180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46140.990891203706</v>
      </c>
      <c r="D33">
        <v>34</v>
      </c>
      <c r="E33" t="s">
        <v>13</v>
      </c>
      <c r="F33">
        <v>0</v>
      </c>
      <c r="G33">
        <v>6.0469999999999997</v>
      </c>
      <c r="H33" s="3">
        <v>213771</v>
      </c>
      <c r="I33">
        <v>0.434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46140.990891203706</v>
      </c>
      <c r="R33">
        <v>34</v>
      </c>
      <c r="S33" t="s">
        <v>13</v>
      </c>
      <c r="T33">
        <v>0</v>
      </c>
      <c r="U33">
        <v>6.008</v>
      </c>
      <c r="V33" s="3">
        <v>1844</v>
      </c>
      <c r="W33">
        <v>0.57499999999999996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46140.990891203706</v>
      </c>
      <c r="AF33">
        <v>34</v>
      </c>
      <c r="AG33" t="s">
        <v>13</v>
      </c>
      <c r="AH33">
        <v>0</v>
      </c>
      <c r="AI33">
        <v>12.255000000000001</v>
      </c>
      <c r="AJ33" s="3">
        <v>41788</v>
      </c>
      <c r="AK33">
        <v>7.2309999999999999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22"/>
        <v>534.09248694715893</v>
      </c>
      <c r="AU33" s="17">
        <f t="shared" si="23"/>
        <v>7867.2794202257601</v>
      </c>
      <c r="AW33" s="9">
        <f t="shared" si="16"/>
        <v>567.96575644779739</v>
      </c>
      <c r="AX33" s="10">
        <f t="shared" si="17"/>
        <v>9378.0933298416003</v>
      </c>
      <c r="AZ33" s="11">
        <f t="shared" si="18"/>
        <v>614.82792514926575</v>
      </c>
      <c r="BA33" s="12">
        <f t="shared" si="19"/>
        <v>8496.2150307487991</v>
      </c>
      <c r="BC33" s="14">
        <f t="shared" si="20"/>
        <v>613.6526196917913</v>
      </c>
      <c r="BD33" s="15">
        <f t="shared" si="21"/>
        <v>9295.4397531579198</v>
      </c>
      <c r="BF33" s="16">
        <f t="shared" si="24"/>
        <v>534.09248694715893</v>
      </c>
      <c r="BG33" s="17">
        <f t="shared" si="25"/>
        <v>7867.2794202257601</v>
      </c>
      <c r="BI33">
        <v>69</v>
      </c>
      <c r="BJ33" t="s">
        <v>59</v>
      </c>
      <c r="BK33" s="2">
        <v>46140.990891203706</v>
      </c>
      <c r="BL33">
        <v>34</v>
      </c>
      <c r="BM33" t="s">
        <v>13</v>
      </c>
      <c r="BN33">
        <v>0</v>
      </c>
      <c r="BO33">
        <v>2.88</v>
      </c>
      <c r="BP33" s="3">
        <v>759591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1:73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1:73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1:73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1:73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1:73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2026-04-30T16:20:25Z</dcterms:modified>
</cp:coreProperties>
</file>