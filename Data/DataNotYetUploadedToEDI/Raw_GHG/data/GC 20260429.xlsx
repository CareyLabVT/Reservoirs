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8_{250EA166-BEFF-4321-807E-28F03252B33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 l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<sst xmlns="http://schemas.openxmlformats.org/spreadsheetml/2006/main" count="429" uniqueCount="48">
  <si>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</si>
  <si>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</si>
  <si>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</si>
  <si>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</si>
  <si>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</si>
  <si>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</si>
  <si>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</si>
  <si>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</si>
  <si>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</si>
  <si>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</si>
  <si>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</si>
  <si>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</si>
  <si>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</si>
  <si>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</si>
  <si>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</si>
  <si>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</si>
  <si>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</si>
  <si>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</si>
  <si>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</si>
  <si>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</si>
  <si>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</si>
  <si>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</si>
  <si>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</si>
  <si>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</si>
  <si>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</si>
  <si>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</si>
  <si>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</si>
  <si>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</si>
  <si>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</si>
  <si>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</si>
  <si>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</si>
  <si>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</si>
  <si>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</si>
  <si>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</si>
  <si>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</si>
  <si>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FMI20260429_001.gcd</t>
  </si>
  <si>
    <t>FMI20260429_002.gcd</t>
  </si>
  <si>
    <t>FMI20260429_003.gcd</t>
  </si>
  <si>
    <t>FMI20260429_004.gcd</t>
  </si>
  <si>
    <t>FMI20260429_005.gcd</t>
  </si>
  <si>
    <t>FMI20260429_006.gcd</t>
  </si>
  <si>
    <t>FMI20260429_007.gcd</t>
  </si>
  <si>
    <t>FMI20260429_008.gcd</t>
  </si>
  <si>
    <t>FMI20260429_009.gcd</t>
  </si>
  <si>
    <t>FMI20260429_010.gcd</t>
  </si>
  <si>
    <t>FMI20260429_011.gcd</t>
  </si>
  <si>
    <t>FMI20260429_012.gcd</t>
  </si>
  <si>
    <t>FMI20260429_013.gcd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</si>
</sst>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B1" workbookViewId="0">
      <selection activeCell="AN30" sqref="AN3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46141.522858796299</v>
      </c>
      <c r="D9" t="s">
        <v>31</v>
      </c>
      <c r="E9" t="s">
        <v>13</v>
      </c>
      <c r="F9">
        <v>0</v>
      </c>
      <c r="G9">
        <v>6.0869999999999997</v>
      </c>
      <c r="H9" s="3">
        <v>1454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46141.522858796299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46141.522858796299</v>
      </c>
      <c r="AF9" t="s">
        <v>31</v>
      </c>
      <c r="AG9" t="s">
        <v>13</v>
      </c>
      <c r="AH9">
        <v>0</v>
      </c>
      <c r="AI9">
        <v>12.362</v>
      </c>
      <c r="AJ9" s="3">
        <v>1699</v>
      </c>
      <c r="AK9">
        <v>0.38300000000000001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5.1688181731760006</v>
      </c>
      <c r="AU9" s="17">
        <f t="shared" ref="AU9:AU21" si="1">IF($AJ9&lt;45000,((0.00000003579*$AJ9^2)+(0.1857*$AJ9)+(44.75)),((0.0000000022829*$AJ9^2)+(0.1634*$AJ9)+(1620)))</f>
        <v>360.35761144979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6.9333126400000005</v>
      </c>
      <c r="AX9" s="10">
        <f t="shared" ref="AX9:AX14" si="3">IF(AJ9&lt;45000,((-0.0000004561*AJ9^2)+(0.244*AJ9)+(-21.72)),((-0.0000000409*AJ9^2)+(0.2477*AJ9)+(-1777)))</f>
        <v>391.51942128389999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-0.1235374117600001</v>
      </c>
      <c r="BA9" s="12">
        <f t="shared" ref="BA9:BA14" si="5">IF(AJ9&lt;45000,((-0.0000000598*AJ9^2)+(0.205*AJ9)+(34.1)),((-0.00000002403*AJ9^2)+(0.2063*AJ9)+(-550.7)))</f>
        <v>382.2223812602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1.8117831871879995</v>
      </c>
      <c r="BD9" s="15">
        <f t="shared" ref="BD9:BD14" si="7">IF(AJ9&lt;45000,((-0.00000004907*AJ9^2)+(0.2277*AJ9)+(-134)),((-0.00000001062*AJ9^2)+(0.2147*AJ9)+(590.6)))</f>
        <v>252.72065448892999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5.1688181731760006</v>
      </c>
      <c r="BG9" s="17">
        <f t="shared" ref="BG9:BG21" si="9">IF($AJ9&lt;45000,((0.00000003579*$AJ9^2)+(0.1857*$AJ9)+(44.75)),((0.0000000022829*$AJ9^2)+(0.1634*$AJ9)+(1620)))</f>
        <v>360.35761144979</v>
      </c>
      <c r="BI9">
        <v>45</v>
      </c>
      <c r="BJ9" t="s">
        <v>35</v>
      </c>
      <c r="BK9" s="2">
        <v>46141.522858796299</v>
      </c>
      <c r="BL9" t="s">
        <v>31</v>
      </c>
      <c r="BM9" t="s">
        <v>13</v>
      </c>
      <c r="BN9">
        <v>0</v>
      </c>
      <c r="BO9">
        <v>2.742</v>
      </c>
      <c r="BP9" s="3">
        <v>4770582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46141.544050925928</v>
      </c>
      <c r="D10" t="s">
        <v>32</v>
      </c>
      <c r="E10" t="s">
        <v>13</v>
      </c>
      <c r="F10">
        <v>0</v>
      </c>
      <c r="G10">
        <v>6.0419999999999998</v>
      </c>
      <c r="H10" s="3">
        <v>1189448</v>
      </c>
      <c r="I10">
        <v>2.42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46141.544050925928</v>
      </c>
      <c r="R10" t="s">
        <v>32</v>
      </c>
      <c r="S10" t="s">
        <v>13</v>
      </c>
      <c r="T10">
        <v>0</v>
      </c>
      <c r="U10">
        <v>5.9930000000000003</v>
      </c>
      <c r="V10" s="3">
        <v>8948</v>
      </c>
      <c r="W10">
        <v>2.1880000000000002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46141.544050925928</v>
      </c>
      <c r="AF10" t="s">
        <v>32</v>
      </c>
      <c r="AG10" t="s">
        <v>13</v>
      </c>
      <c r="AH10">
        <v>0</v>
      </c>
      <c r="AI10">
        <v>12.321</v>
      </c>
      <c r="AJ10" s="3">
        <v>8304</v>
      </c>
      <c r="AK10">
        <v>1.5109999999999999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2299.4611902955417</v>
      </c>
      <c r="AU10" s="17">
        <f t="shared" si="1"/>
        <v>1589.27075012864</v>
      </c>
      <c r="AW10" s="9">
        <f t="shared" si="2"/>
        <v>2435.3140902685059</v>
      </c>
      <c r="AX10" s="10">
        <f t="shared" si="3"/>
        <v>1973.0049786623999</v>
      </c>
      <c r="AZ10" s="11">
        <f t="shared" si="4"/>
        <v>2697.2153874228352</v>
      </c>
      <c r="BA10" s="12">
        <f t="shared" si="5"/>
        <v>1732.2964063231998</v>
      </c>
      <c r="BC10" s="14">
        <f t="shared" si="6"/>
        <v>2610.7121954085542</v>
      </c>
      <c r="BD10" s="15">
        <f t="shared" si="7"/>
        <v>1753.4371086668802</v>
      </c>
      <c r="BF10" s="16">
        <f t="shared" si="8"/>
        <v>2299.4611902955417</v>
      </c>
      <c r="BG10" s="17">
        <f t="shared" si="9"/>
        <v>1589.27075012864</v>
      </c>
      <c r="BI10">
        <v>46</v>
      </c>
      <c r="BJ10" t="s">
        <v>36</v>
      </c>
      <c r="BK10" s="2">
        <v>46141.544050925928</v>
      </c>
      <c r="BL10" t="s">
        <v>32</v>
      </c>
      <c r="BM10" t="s">
        <v>13</v>
      </c>
      <c r="BN10">
        <v>0</v>
      </c>
      <c r="BO10">
        <v>2.7240000000000002</v>
      </c>
      <c r="BP10" s="3">
        <v>4986232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46141.565243055556</v>
      </c>
      <c r="D11" t="s">
        <v>26</v>
      </c>
      <c r="E11" t="s">
        <v>13</v>
      </c>
      <c r="F11">
        <v>0</v>
      </c>
      <c r="G11">
        <v>6.0670000000000002</v>
      </c>
      <c r="H11" s="3">
        <v>2647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46141.565243055556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46141.565243055556</v>
      </c>
      <c r="AF11" t="s">
        <v>26</v>
      </c>
      <c r="AG11" t="s">
        <v>13</v>
      </c>
      <c r="AH11">
        <v>0</v>
      </c>
      <c r="AI11">
        <v>12.331</v>
      </c>
      <c r="AJ11" s="3">
        <v>1241</v>
      </c>
      <c r="AK11">
        <v>0.30399999999999999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8.2584124541739996</v>
      </c>
      <c r="AU11" s="17">
        <f t="shared" si="1"/>
        <v>275.25881949898996</v>
      </c>
      <c r="AW11" s="9">
        <f t="shared" si="2"/>
        <v>3.8906138600000002</v>
      </c>
      <c r="AX11" s="10">
        <f t="shared" si="3"/>
        <v>280.38156905589994</v>
      </c>
      <c r="AZ11" s="11">
        <f t="shared" si="4"/>
        <v>3.0824486382599998</v>
      </c>
      <c r="BA11" s="12">
        <f t="shared" si="5"/>
        <v>288.4129031562</v>
      </c>
      <c r="BC11" s="14">
        <f t="shared" si="6"/>
        <v>6.0073611302369994</v>
      </c>
      <c r="BD11" s="15">
        <f t="shared" si="7"/>
        <v>148.50012822533006</v>
      </c>
      <c r="BF11" s="16">
        <f t="shared" si="8"/>
        <v>8.2584124541739996</v>
      </c>
      <c r="BG11" s="17">
        <f t="shared" si="9"/>
        <v>275.25881949898996</v>
      </c>
      <c r="BI11">
        <v>47</v>
      </c>
      <c r="BJ11" t="s">
        <v>37</v>
      </c>
      <c r="BK11" s="2">
        <v>46141.565243055556</v>
      </c>
      <c r="BL11" t="s">
        <v>26</v>
      </c>
      <c r="BM11" t="s">
        <v>13</v>
      </c>
      <c r="BN11">
        <v>0</v>
      </c>
      <c r="BO11">
        <v>2.7240000000000002</v>
      </c>
      <c r="BP11" s="3">
        <v>5011447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46141.586458333331</v>
      </c>
      <c r="D12">
        <v>384</v>
      </c>
      <c r="E12" t="s">
        <v>13</v>
      </c>
      <c r="F12">
        <v>0</v>
      </c>
      <c r="G12">
        <v>6.0540000000000003</v>
      </c>
      <c r="H12" s="3">
        <v>8078</v>
      </c>
      <c r="I12">
        <v>1.6E-2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46141.586458333331</v>
      </c>
      <c r="R12">
        <v>384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46141.586458333331</v>
      </c>
      <c r="AF12">
        <v>384</v>
      </c>
      <c r="AG12" t="s">
        <v>13</v>
      </c>
      <c r="AH12">
        <v>0</v>
      </c>
      <c r="AI12">
        <v>12.3</v>
      </c>
      <c r="AJ12" s="3">
        <v>2617</v>
      </c>
      <c r="AK12">
        <v>0.53900000000000003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22.189836332023997</v>
      </c>
      <c r="AU12" s="17">
        <f t="shared" si="1"/>
        <v>530.97201457930998</v>
      </c>
      <c r="AW12" s="9">
        <f t="shared" si="2"/>
        <v>9.4655353600000058</v>
      </c>
      <c r="AX12" s="10">
        <f t="shared" si="3"/>
        <v>613.70431294709999</v>
      </c>
      <c r="AZ12" s="11">
        <f t="shared" si="4"/>
        <v>19.732952359759999</v>
      </c>
      <c r="BA12" s="12">
        <f t="shared" si="5"/>
        <v>570.17544839779998</v>
      </c>
      <c r="BC12" s="14">
        <f t="shared" si="6"/>
        <v>25.412798935411999</v>
      </c>
      <c r="BD12" s="15">
        <f t="shared" si="7"/>
        <v>461.55483483077001</v>
      </c>
      <c r="BF12" s="16">
        <f t="shared" si="8"/>
        <v>22.189836332023997</v>
      </c>
      <c r="BG12" s="17">
        <f t="shared" si="9"/>
        <v>530.97201457930998</v>
      </c>
      <c r="BI12">
        <v>48</v>
      </c>
      <c r="BJ12" t="s">
        <v>38</v>
      </c>
      <c r="BK12" s="2">
        <v>46141.586458333331</v>
      </c>
      <c r="BL12">
        <v>384</v>
      </c>
      <c r="BM12" t="s">
        <v>13</v>
      </c>
      <c r="BN12">
        <v>0</v>
      </c>
      <c r="BO12">
        <v>2.8919999999999999</v>
      </c>
      <c r="BP12" s="3">
        <v>569013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46141.60765046296</v>
      </c>
      <c r="D13">
        <v>72</v>
      </c>
      <c r="E13" t="s">
        <v>13</v>
      </c>
      <c r="F13">
        <v>0</v>
      </c>
      <c r="G13">
        <v>6.0490000000000004</v>
      </c>
      <c r="H13" s="3">
        <v>8864</v>
      </c>
      <c r="I13">
        <v>1.7999999999999999E-2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46141.60765046296</v>
      </c>
      <c r="R13">
        <v>72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46141.60765046296</v>
      </c>
      <c r="AF13">
        <v>72</v>
      </c>
      <c r="AG13" t="s">
        <v>13</v>
      </c>
      <c r="AH13">
        <v>0</v>
      </c>
      <c r="AI13">
        <v>12.292</v>
      </c>
      <c r="AJ13" s="3">
        <v>2661</v>
      </c>
      <c r="AK13">
        <v>0.54700000000000004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24.187909177856</v>
      </c>
      <c r="AU13" s="17">
        <f t="shared" si="1"/>
        <v>539.15112616259</v>
      </c>
      <c r="AW13" s="9">
        <f t="shared" si="2"/>
        <v>12.911107840000001</v>
      </c>
      <c r="AX13" s="10">
        <f t="shared" si="3"/>
        <v>624.33439193189997</v>
      </c>
      <c r="AZ13" s="11">
        <f t="shared" si="4"/>
        <v>22.421910141440001</v>
      </c>
      <c r="BA13" s="12">
        <f t="shared" si="5"/>
        <v>579.18156092419997</v>
      </c>
      <c r="BC13" s="14">
        <f t="shared" si="6"/>
        <v>28.262747222527999</v>
      </c>
      <c r="BD13" s="15">
        <f t="shared" si="7"/>
        <v>471.56223920653008</v>
      </c>
      <c r="BF13" s="16">
        <f t="shared" si="8"/>
        <v>24.187909177856</v>
      </c>
      <c r="BG13" s="17">
        <f t="shared" si="9"/>
        <v>539.15112616259</v>
      </c>
      <c r="BI13">
        <v>49</v>
      </c>
      <c r="BJ13" t="s">
        <v>39</v>
      </c>
      <c r="BK13" s="2">
        <v>46141.60765046296</v>
      </c>
      <c r="BL13">
        <v>72</v>
      </c>
      <c r="BM13" t="s">
        <v>13</v>
      </c>
      <c r="BN13">
        <v>0</v>
      </c>
      <c r="BO13">
        <v>2.8889999999999998</v>
      </c>
      <c r="BP13" s="3">
        <v>616910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46141.628854166665</v>
      </c>
      <c r="D14">
        <v>147</v>
      </c>
      <c r="E14" t="s">
        <v>13</v>
      </c>
      <c r="F14">
        <v>0</v>
      </c>
      <c r="G14">
        <v>6.0490000000000004</v>
      </c>
      <c r="H14" s="3">
        <v>10300</v>
      </c>
      <c r="I14">
        <v>2.1000000000000001E-2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46141.628854166665</v>
      </c>
      <c r="R14">
        <v>147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46141.628854166665</v>
      </c>
      <c r="AF14">
        <v>147</v>
      </c>
      <c r="AG14" t="s">
        <v>13</v>
      </c>
      <c r="AH14">
        <v>0</v>
      </c>
      <c r="AI14">
        <v>12.291</v>
      </c>
      <c r="AJ14" s="3">
        <v>3107</v>
      </c>
      <c r="AK14">
        <v>0.623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25.572067724000004</v>
      </c>
      <c r="AU14" s="17">
        <f t="shared" si="1"/>
        <v>622.06539693971001</v>
      </c>
      <c r="AW14" s="9">
        <f t="shared" si="2"/>
        <v>20.755596070000003</v>
      </c>
      <c r="AX14" s="10">
        <f t="shared" si="3"/>
        <v>731.98506191109993</v>
      </c>
      <c r="AZ14" s="11">
        <f t="shared" si="4"/>
        <v>25.508061208000001</v>
      </c>
      <c r="BA14" s="12">
        <f t="shared" si="5"/>
        <v>670.45772374979992</v>
      </c>
      <c r="BC14" s="14">
        <f t="shared" si="6"/>
        <v>30.775698330000001</v>
      </c>
      <c r="BD14" s="15">
        <f t="shared" si="7"/>
        <v>572.9902052575701</v>
      </c>
      <c r="BF14" s="16">
        <f t="shared" si="8"/>
        <v>25.572067724000004</v>
      </c>
      <c r="BG14" s="17">
        <f t="shared" si="9"/>
        <v>622.06539693971001</v>
      </c>
      <c r="BI14">
        <v>50</v>
      </c>
      <c r="BJ14" t="s">
        <v>40</v>
      </c>
      <c r="BK14" s="2">
        <v>46141.628854166665</v>
      </c>
      <c r="BL14">
        <v>147</v>
      </c>
      <c r="BM14" t="s">
        <v>13</v>
      </c>
      <c r="BN14">
        <v>0</v>
      </c>
      <c r="BO14">
        <v>2.8849999999999998</v>
      </c>
      <c r="BP14" s="3">
        <v>691612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46141.650081018517</v>
      </c>
      <c r="D15">
        <v>94</v>
      </c>
      <c r="E15" t="s">
        <v>13</v>
      </c>
      <c r="F15">
        <v>0</v>
      </c>
      <c r="G15">
        <v>6.0490000000000004</v>
      </c>
      <c r="H15" s="3">
        <v>4520</v>
      </c>
      <c r="I15">
        <v>8.9999999999999993E-3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46141.650081018517</v>
      </c>
      <c r="R15">
        <v>94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46141.650081018517</v>
      </c>
      <c r="AF15">
        <v>94</v>
      </c>
      <c r="AG15" t="s">
        <v>13</v>
      </c>
      <c r="AH15">
        <v>0</v>
      </c>
      <c r="AI15">
        <v>12.278</v>
      </c>
      <c r="AJ15" s="3">
        <v>17305</v>
      </c>
      <c r="AK15">
        <v>3.0489999999999999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13.0877214944</v>
      </c>
      <c r="AU15" s="17">
        <f t="shared" si="1"/>
        <v>3269.0062816647501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2.2146159999999995</v>
      </c>
      <c r="AX15" s="10">
        <f t="shared" ref="AX15:AX16" si="11">IF(AJ15&lt;45000,((-0.0000004561*AJ15^2)+(0.244*AJ15)+(-21.72)),((-0.0000000409*AJ15^2)+(0.2477*AJ15)+(-1777)))</f>
        <v>4064.1149142975005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8.4439530559999998</v>
      </c>
      <c r="BA15" s="12">
        <f t="shared" ref="BA15:BA16" si="13">IF(AJ15&lt;45000,((-0.0000000598*AJ15^2)+(0.205*AJ15)+(34.1)),((-0.00000002403*AJ15^2)+(0.2063*AJ15)+(-550.7)))</f>
        <v>3563.7171111049997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12.6431553872</v>
      </c>
      <c r="BD15" s="15">
        <f t="shared" ref="BD15:BD16" si="15">IF(AJ15&lt;45000,((-0.00000004907*AJ15^2)+(0.2277*AJ15)+(-134)),((-0.00000001062*AJ15^2)+(0.2147*AJ15)+(590.6)))</f>
        <v>3791.6538493632502</v>
      </c>
      <c r="BF15" s="16">
        <f t="shared" si="8"/>
        <v>13.0877214944</v>
      </c>
      <c r="BG15" s="17">
        <f t="shared" si="9"/>
        <v>3269.0062816647501</v>
      </c>
      <c r="BI15">
        <v>51</v>
      </c>
      <c r="BJ15" t="s">
        <v>41</v>
      </c>
      <c r="BK15" s="2">
        <v>46141.650081018517</v>
      </c>
      <c r="BL15">
        <v>94</v>
      </c>
      <c r="BM15" t="s">
        <v>13</v>
      </c>
      <c r="BN15">
        <v>0</v>
      </c>
      <c r="BO15">
        <v>2.8839999999999999</v>
      </c>
      <c r="BP15" s="3">
        <v>712202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46141.671307870369</v>
      </c>
      <c r="D16">
        <v>374</v>
      </c>
      <c r="E16" t="s">
        <v>13</v>
      </c>
      <c r="F16">
        <v>0</v>
      </c>
      <c r="G16">
        <v>6.05</v>
      </c>
      <c r="H16" s="3">
        <v>3034</v>
      </c>
      <c r="I16">
        <v>6.0000000000000001E-3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46141.671307870369</v>
      </c>
      <c r="R16">
        <v>374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46141.671307870369</v>
      </c>
      <c r="AF16">
        <v>374</v>
      </c>
      <c r="AG16" t="s">
        <v>13</v>
      </c>
      <c r="AH16">
        <v>0</v>
      </c>
      <c r="AI16">
        <v>12.273999999999999</v>
      </c>
      <c r="AJ16" s="3">
        <v>24236</v>
      </c>
      <c r="AK16">
        <v>4.2329999999999997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9.2583820506159995</v>
      </c>
      <c r="AU16" s="17">
        <f t="shared" si="1"/>
        <v>4566.3976624798406</v>
      </c>
      <c r="AW16" s="9">
        <f t="shared" si="10"/>
        <v>3.2337742400000007</v>
      </c>
      <c r="AX16" s="10">
        <f t="shared" si="11"/>
        <v>5623.9582962544</v>
      </c>
      <c r="AZ16" s="11">
        <f t="shared" si="12"/>
        <v>4.1573846138399997</v>
      </c>
      <c r="BA16" s="12">
        <f t="shared" si="13"/>
        <v>4967.3544549792005</v>
      </c>
      <c r="BC16" s="14">
        <f t="shared" si="14"/>
        <v>7.3735673899079988</v>
      </c>
      <c r="BD16" s="15">
        <f t="shared" si="15"/>
        <v>5355.714282037281</v>
      </c>
      <c r="BF16" s="16">
        <f t="shared" si="8"/>
        <v>9.2583820506159995</v>
      </c>
      <c r="BG16" s="17">
        <f t="shared" si="9"/>
        <v>4566.3976624798406</v>
      </c>
      <c r="BI16">
        <v>52</v>
      </c>
      <c r="BJ16" t="s">
        <v>42</v>
      </c>
      <c r="BK16" s="2">
        <v>46141.671307870369</v>
      </c>
      <c r="BL16">
        <v>374</v>
      </c>
      <c r="BM16" t="s">
        <v>13</v>
      </c>
      <c r="BN16">
        <v>0</v>
      </c>
      <c r="BO16">
        <v>2.88</v>
      </c>
      <c r="BP16" s="3">
        <v>764157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46141.692523148151</v>
      </c>
      <c r="D17">
        <v>274</v>
      </c>
      <c r="E17" t="s">
        <v>13</v>
      </c>
      <c r="F17">
        <v>0</v>
      </c>
      <c r="G17">
        <v>6.0570000000000004</v>
      </c>
      <c r="H17" s="3">
        <v>3028</v>
      </c>
      <c r="I17">
        <v>6.0000000000000001E-3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46141.692523148151</v>
      </c>
      <c r="R17">
        <v>274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46141.692523148151</v>
      </c>
      <c r="AF17">
        <v>274</v>
      </c>
      <c r="AG17" t="s">
        <v>13</v>
      </c>
      <c r="AH17">
        <v>0</v>
      </c>
      <c r="AI17">
        <v>12.273</v>
      </c>
      <c r="AJ17" s="3">
        <v>25771</v>
      </c>
      <c r="AK17">
        <v>4.4950000000000001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9.2428871362240006</v>
      </c>
      <c r="AU17" s="17">
        <f t="shared" si="1"/>
        <v>4854.1944295433905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3.2427233600000012</v>
      </c>
      <c r="AX17" s="10">
        <f t="shared" ref="AX17:AX21" si="17">IF(AJ17&lt;45000,((-0.0000004561*AJ17^2)+(0.244*AJ17)+(-21.72)),((-0.0000000409*AJ17^2)+(0.2477*AJ17)+(-1777)))</f>
        <v>5963.4877204598997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4.1405883177599989</v>
      </c>
      <c r="BA17" s="12">
        <f t="shared" ref="BA17:BA21" si="19">IF(AJ17&lt;45000,((-0.0000000598*AJ17^2)+(0.205*AJ17)+(34.1)),((-0.00000002403*AJ17^2)+(0.2063*AJ17)+(-550.7)))</f>
        <v>5277.4391624281998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7.3523664825119983</v>
      </c>
      <c r="BD17" s="15">
        <f t="shared" ref="BD17:BD21" si="21">IF(AJ17&lt;45000,((-0.00000004907*AJ17^2)+(0.2277*AJ17)+(-134)),((-0.00000001062*AJ17^2)+(0.2147*AJ17)+(590.6)))</f>
        <v>5701.4671322801305</v>
      </c>
      <c r="BF17" s="16">
        <f t="shared" si="8"/>
        <v>9.2428871362240006</v>
      </c>
      <c r="BG17" s="17">
        <f t="shared" si="9"/>
        <v>4854.1944295433905</v>
      </c>
      <c r="BI17">
        <v>53</v>
      </c>
      <c r="BJ17" t="s">
        <v>43</v>
      </c>
      <c r="BK17" s="2">
        <v>46141.692523148151</v>
      </c>
      <c r="BL17">
        <v>274</v>
      </c>
      <c r="BM17" t="s">
        <v>13</v>
      </c>
      <c r="BN17">
        <v>0</v>
      </c>
      <c r="BO17">
        <v>2.879</v>
      </c>
      <c r="BP17" s="3">
        <v>794173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46141.71371527778</v>
      </c>
      <c r="D18">
        <v>375</v>
      </c>
      <c r="E18" t="s">
        <v>13</v>
      </c>
      <c r="F18">
        <v>0</v>
      </c>
      <c r="G18">
        <v>6.0529999999999999</v>
      </c>
      <c r="H18" s="3">
        <v>4168</v>
      </c>
      <c r="I18">
        <v>8.9999999999999993E-3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46141.71371527778</v>
      </c>
      <c r="R18">
        <v>375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46141.71371527778</v>
      </c>
      <c r="AF18">
        <v>375</v>
      </c>
      <c r="AG18" t="s">
        <v>13</v>
      </c>
      <c r="AH18">
        <v>0</v>
      </c>
      <c r="AI18">
        <v>12.281000000000001</v>
      </c>
      <c r="AJ18" s="3">
        <v>18145</v>
      </c>
      <c r="AK18">
        <v>3.1920000000000002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12.182119560063999</v>
      </c>
      <c r="AU18" s="17">
        <f t="shared" si="1"/>
        <v>3426.0600362847499</v>
      </c>
      <c r="AW18" s="9">
        <f t="shared" si="16"/>
        <v>2.2404809599999993</v>
      </c>
      <c r="AX18" s="10">
        <f t="shared" si="17"/>
        <v>4255.4931684974999</v>
      </c>
      <c r="AZ18" s="11">
        <f t="shared" si="18"/>
        <v>7.4057528793599996</v>
      </c>
      <c r="BA18" s="12">
        <f t="shared" si="19"/>
        <v>3734.1363867049999</v>
      </c>
      <c r="BC18" s="14">
        <f t="shared" si="20"/>
        <v>11.391518298432</v>
      </c>
      <c r="BD18" s="15">
        <f t="shared" si="21"/>
        <v>3981.4606429032501</v>
      </c>
      <c r="BF18" s="16">
        <f t="shared" si="8"/>
        <v>12.182119560063999</v>
      </c>
      <c r="BG18" s="17">
        <f t="shared" si="9"/>
        <v>3426.0600362847499</v>
      </c>
      <c r="BI18">
        <v>54</v>
      </c>
      <c r="BJ18" t="s">
        <v>44</v>
      </c>
      <c r="BK18" s="2">
        <v>46141.71371527778</v>
      </c>
      <c r="BL18">
        <v>375</v>
      </c>
      <c r="BM18" t="s">
        <v>13</v>
      </c>
      <c r="BN18">
        <v>0</v>
      </c>
      <c r="BO18">
        <v>2.88</v>
      </c>
      <c r="BP18" s="3">
        <v>772736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46141.734930555554</v>
      </c>
      <c r="D19">
        <v>181</v>
      </c>
      <c r="E19" t="s">
        <v>13</v>
      </c>
      <c r="F19">
        <v>0</v>
      </c>
      <c r="G19">
        <v>6.0590000000000002</v>
      </c>
      <c r="H19" s="3">
        <v>2868</v>
      </c>
      <c r="I19">
        <v>6.0000000000000001E-3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46141.734930555554</v>
      </c>
      <c r="R19">
        <v>181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46141.734930555554</v>
      </c>
      <c r="AF19">
        <v>181</v>
      </c>
      <c r="AG19" t="s">
        <v>13</v>
      </c>
      <c r="AH19">
        <v>0</v>
      </c>
      <c r="AI19">
        <v>12.276</v>
      </c>
      <c r="AJ19" s="3">
        <v>23077</v>
      </c>
      <c r="AK19">
        <v>4.0350000000000001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8.8295907752640002</v>
      </c>
      <c r="AU19" s="17">
        <f t="shared" si="1"/>
        <v>4349.2087903789097</v>
      </c>
      <c r="AW19" s="9">
        <f t="shared" si="16"/>
        <v>3.49570896</v>
      </c>
      <c r="AX19" s="10">
        <f t="shared" si="17"/>
        <v>5366.1728895830993</v>
      </c>
      <c r="AZ19" s="11">
        <f t="shared" si="18"/>
        <v>3.6942047273599989</v>
      </c>
      <c r="BA19" s="12">
        <f t="shared" si="19"/>
        <v>4733.0386338458002</v>
      </c>
      <c r="BC19" s="14">
        <f t="shared" si="20"/>
        <v>6.7872345260319999</v>
      </c>
      <c r="BD19" s="15">
        <f t="shared" si="21"/>
        <v>5094.5007731239702</v>
      </c>
      <c r="BF19" s="16">
        <f t="shared" si="8"/>
        <v>8.8295907752640002</v>
      </c>
      <c r="BG19" s="17">
        <f t="shared" si="9"/>
        <v>4349.2087903789097</v>
      </c>
      <c r="BI19">
        <v>55</v>
      </c>
      <c r="BJ19" t="s">
        <v>45</v>
      </c>
      <c r="BK19" s="2">
        <v>46141.734930555554</v>
      </c>
      <c r="BL19">
        <v>181</v>
      </c>
      <c r="BM19" t="s">
        <v>13</v>
      </c>
      <c r="BN19">
        <v>0</v>
      </c>
      <c r="BO19">
        <v>2.8780000000000001</v>
      </c>
      <c r="BP19" s="3">
        <v>806124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46141.756192129629</v>
      </c>
      <c r="D20">
        <v>382</v>
      </c>
      <c r="E20" t="s">
        <v>13</v>
      </c>
      <c r="F20">
        <v>0</v>
      </c>
      <c r="G20">
        <v>6.0510000000000002</v>
      </c>
      <c r="H20" s="3">
        <v>11102</v>
      </c>
      <c r="I20">
        <v>2.3E-2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46141.756192129629</v>
      </c>
      <c r="R20">
        <v>382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46141.756192129629</v>
      </c>
      <c r="AF20">
        <v>382</v>
      </c>
      <c r="AG20" t="s">
        <v>13</v>
      </c>
      <c r="AH20">
        <v>0</v>
      </c>
      <c r="AI20">
        <v>12.305</v>
      </c>
      <c r="AJ20" s="3">
        <v>3451</v>
      </c>
      <c r="AK20">
        <v>0.68200000000000005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27.313967042334404</v>
      </c>
      <c r="AU20" s="17">
        <f t="shared" si="1"/>
        <v>686.02693746179</v>
      </c>
      <c r="AW20" s="9">
        <f t="shared" si="16"/>
        <v>23.169013804891996</v>
      </c>
      <c r="AX20" s="10">
        <f t="shared" si="17"/>
        <v>814.89212220389993</v>
      </c>
      <c r="AZ20" s="11">
        <f t="shared" si="18"/>
        <v>27.828102128124804</v>
      </c>
      <c r="BA20" s="12">
        <f t="shared" si="19"/>
        <v>740.84281782019991</v>
      </c>
      <c r="BC20" s="14">
        <f t="shared" si="20"/>
        <v>32.922148091747999</v>
      </c>
      <c r="BD20" s="15">
        <f t="shared" si="21"/>
        <v>651.20830569293003</v>
      </c>
      <c r="BF20" s="16">
        <f t="shared" si="8"/>
        <v>27.313967042334404</v>
      </c>
      <c r="BG20" s="17">
        <f t="shared" si="9"/>
        <v>686.02693746179</v>
      </c>
      <c r="BI20">
        <v>56</v>
      </c>
      <c r="BJ20" t="s">
        <v>46</v>
      </c>
      <c r="BK20" s="2">
        <v>46141.756192129629</v>
      </c>
      <c r="BL20">
        <v>382</v>
      </c>
      <c r="BM20" t="s">
        <v>13</v>
      </c>
      <c r="BN20">
        <v>0</v>
      </c>
      <c r="BO20">
        <v>2.8839999999999999</v>
      </c>
      <c r="BP20" s="3">
        <v>726968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46141.777407407404</v>
      </c>
      <c r="D21">
        <v>393</v>
      </c>
      <c r="E21" t="s">
        <v>13</v>
      </c>
      <c r="F21">
        <v>0</v>
      </c>
      <c r="G21">
        <v>6.0609999999999999</v>
      </c>
      <c r="H21" s="3">
        <v>2768</v>
      </c>
      <c r="I21">
        <v>6.0000000000000001E-3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46141.777407407404</v>
      </c>
      <c r="R21">
        <v>393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46141.777407407404</v>
      </c>
      <c r="AF21">
        <v>393</v>
      </c>
      <c r="AG21" t="s">
        <v>13</v>
      </c>
      <c r="AH21">
        <v>0</v>
      </c>
      <c r="AI21">
        <v>12.246</v>
      </c>
      <c r="AJ21" s="3">
        <v>24933</v>
      </c>
      <c r="AK21">
        <v>4.3520000000000003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8.5711839856639997</v>
      </c>
      <c r="AU21" s="17">
        <f t="shared" si="1"/>
        <v>4697.05711416131</v>
      </c>
      <c r="AW21" s="9">
        <f t="shared" si="16"/>
        <v>3.6678649600000011</v>
      </c>
      <c r="AX21" s="10">
        <f t="shared" si="17"/>
        <v>5778.3953875670995</v>
      </c>
      <c r="AZ21" s="11">
        <f t="shared" si="18"/>
        <v>3.4167006233599997</v>
      </c>
      <c r="BA21" s="12">
        <f t="shared" si="19"/>
        <v>5108.1900615577997</v>
      </c>
      <c r="BC21" s="14">
        <f t="shared" si="20"/>
        <v>6.4342478712319995</v>
      </c>
      <c r="BD21" s="15">
        <f t="shared" si="21"/>
        <v>5512.7395142247697</v>
      </c>
      <c r="BF21" s="16">
        <f t="shared" si="8"/>
        <v>8.5711839856639997</v>
      </c>
      <c r="BG21" s="17">
        <f t="shared" si="9"/>
        <v>4697.05711416131</v>
      </c>
      <c r="BI21">
        <v>57</v>
      </c>
      <c r="BJ21" t="s">
        <v>47</v>
      </c>
      <c r="BK21" s="2">
        <v>46141.777407407404</v>
      </c>
      <c r="BL21">
        <v>393</v>
      </c>
      <c r="BM21" t="s">
        <v>13</v>
      </c>
      <c r="BN21">
        <v>0</v>
      </c>
      <c r="BO21">
        <v>2.8730000000000002</v>
      </c>
      <c r="BP21" s="3">
        <v>911222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2026-04-30T16:23:10Z</dcterms:modified>
</cp:coreProperties>
</file>