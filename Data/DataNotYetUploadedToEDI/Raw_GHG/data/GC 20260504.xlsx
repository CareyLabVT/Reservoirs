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57629784-FB0A-444A-8FC4-51F5090CCB0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<sst xmlns="http://schemas.openxmlformats.org/spreadsheetml/2006/main" count="591" uniqueCount="54">
  <si>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</si>
  <si>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</si>
  <si>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</si>
  <si>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</si>
  <si>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</si>
  <si>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</si>
  <si>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</si>
  <si>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</si>
  <si>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</si>
  <si>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</si>
  <si>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</si>
  <si>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</si>
  <si>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</si>
  <si>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</si>
  <si>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</si>
  <si>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</si>
  <si>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</si>
  <si>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</si>
  <si>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</si>
  <si>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</si>
  <si>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</si>
  <si>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</si>
  <si>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</si>
  <si>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</si>
  <si>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</si>
  <si>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</si>
  <si>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</si>
  <si>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</si>
  <si>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</si>
  <si>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</si>
  <si>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</si>
  <si>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</si>
  <si>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</si>
  <si>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</si>
  <si>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</si>
  <si>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FMI20260504_001.gcd</t>
  </si>
  <si>
    <t>FMI20260504_002.gcd</t>
  </si>
  <si>
    <t>FMI20260504_003.gcd</t>
  </si>
  <si>
    <t>FMI20260504_004.gcd</t>
  </si>
  <si>
    <t>FMI20260504_005.gcd</t>
  </si>
  <si>
    <t>FMI20260504_006.gcd</t>
  </si>
  <si>
    <t>FMI20260504_007.gcd</t>
  </si>
  <si>
    <t>FMI20260504_008.gcd</t>
  </si>
  <si>
    <t>FMI20260504_009.gcd</t>
  </si>
  <si>
    <t>FMI20260504_010.gcd</t>
  </si>
  <si>
    <t>FMI20260504_011.gcd</t>
  </si>
  <si>
    <t>FMI20260504_012.gcd</t>
  </si>
  <si>
    <t>FMI20260504_013.gcd</t>
  </si>
  <si>
    <t>FMI20260504_014.gcd</t>
  </si>
  <si>
    <t>FMI20260504_015.gcd</t>
  </si>
  <si>
    <t>FMI20260504_016.gcd</t>
  </si>
  <si>
    <t>FMI20260504_017.gcd</t>
  </si>
  <si>
    <t>FMI20260504_018.gcd</t>
  </si>
  <si>
    <t>FMI20260504_019.gcd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</si>
</sst>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F1" workbookViewId="0">
      <selection activeCell="AV12" sqref="AV12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46146.673437500001</v>
      </c>
      <c r="D9" t="s">
        <v>31</v>
      </c>
      <c r="E9" t="s">
        <v>13</v>
      </c>
      <c r="F9">
        <v>0</v>
      </c>
      <c r="G9">
        <v>6.0979999999999999</v>
      </c>
      <c r="H9" s="3">
        <v>1430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46146.673437500001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46146.673437500001</v>
      </c>
      <c r="AF9" t="s">
        <v>31</v>
      </c>
      <c r="AG9" t="s">
        <v>13</v>
      </c>
      <c r="AH9">
        <v>0</v>
      </c>
      <c r="AI9">
        <v>12.38</v>
      </c>
      <c r="AJ9" s="3">
        <v>1896</v>
      </c>
      <c r="AK9">
        <v>0.41599999999999998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7" si="0">IF($H9&lt;10000,(($H9^2*-0.000000003714)+($H9*0.002605)+(1.389)),(IF($H9&lt;200000,(($H9^2*-0.0000000003764)+($H9*0.00218)+(3.158)),(IF($H9&lt;8000000,(($H9^2*-0.000000000004719)+($H9*0.001816)+(146.1)),(($V9^2*0.000000002578)+($V9*0.2173)+(2294)))))))</f>
        <v>5.1065552414000006</v>
      </c>
      <c r="AU9" s="17">
        <f t="shared" ref="AU9:AU27" si="1">IF($AJ9&lt;45000,((0.00000003579*$AJ9^2)+(0.1857*$AJ9)+(44.75)),((0.0000000022829*$AJ9^2)+(0.1634*$AJ9)+(1620)))</f>
        <v>396.96585846464001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7.0102960000000003</v>
      </c>
      <c r="AX9" s="10">
        <f t="shared" ref="AX9:AX14" si="3">IF(AJ9&lt;45000,((-0.0000004561*AJ9^2)+(0.244*AJ9)+(-21.72)),((-0.0000000409*AJ9^2)+(0.2477*AJ9)+(-1777)))</f>
        <v>439.26440442239993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-0.18636441399999981</v>
      </c>
      <c r="BA9" s="12">
        <f t="shared" ref="BA9:BA14" si="5">IF(AJ9&lt;45000,((-0.0000000598*AJ9^2)+(0.205*AJ9)+(34.1)),((-0.00000002403*AJ9^2)+(0.2063*AJ9)+(-550.7)))</f>
        <v>422.56503000319998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1.7276273357000003</v>
      </c>
      <c r="BD9" s="15">
        <f t="shared" ref="BD9:BD14" si="7">IF(AJ9&lt;45000,((-0.00000004907*AJ9^2)+(0.2277*AJ9)+(-134)),((-0.00000001062*AJ9^2)+(0.2147*AJ9)+(590.6)))</f>
        <v>297.54280237888003</v>
      </c>
      <c r="BF9" s="16">
        <f t="shared" ref="BF9:BF27" si="8">IF($H9&lt;10000,(($H9^2*-0.000000003714)+($H9*0.002605)+(1.389)),(IF($H9&lt;200000,(($H9^2*-0.0000000003764)+($H9*0.00218)+(3.158)),(IF($H9&lt;8000000,(($H9^2*-0.000000000004719)+($H9*0.001816)+(146.1)),(($V9^2*0.000000002578)+($V9*0.2173)+(2294)))))))</f>
        <v>5.1065552414000006</v>
      </c>
      <c r="BG9" s="17">
        <f t="shared" ref="BG9:BG27" si="9">IF($AJ9&lt;45000,((0.00000003579*$AJ9^2)+(0.1857*$AJ9)+(44.75)),((0.0000000022829*$AJ9^2)+(0.1634*$AJ9)+(1620)))</f>
        <v>396.96585846464001</v>
      </c>
      <c r="BI9">
        <v>45</v>
      </c>
      <c r="BJ9" t="s">
        <v>35</v>
      </c>
      <c r="BK9" s="2">
        <v>46146.673437500001</v>
      </c>
      <c r="BL9" t="s">
        <v>31</v>
      </c>
      <c r="BM9" t="s">
        <v>13</v>
      </c>
      <c r="BN9">
        <v>0</v>
      </c>
      <c r="BO9">
        <v>2.7370000000000001</v>
      </c>
      <c r="BP9" s="3">
        <v>4893405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46146.694652777776</v>
      </c>
      <c r="D10" t="s">
        <v>32</v>
      </c>
      <c r="E10" t="s">
        <v>13</v>
      </c>
      <c r="F10">
        <v>0</v>
      </c>
      <c r="G10">
        <v>6.0640000000000001</v>
      </c>
      <c r="H10" s="3">
        <v>1154841</v>
      </c>
      <c r="I10">
        <v>2.3490000000000002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46146.694652777776</v>
      </c>
      <c r="R10" t="s">
        <v>32</v>
      </c>
      <c r="S10" t="s">
        <v>13</v>
      </c>
      <c r="T10">
        <v>0</v>
      </c>
      <c r="U10">
        <v>6.02</v>
      </c>
      <c r="V10" s="3">
        <v>9269</v>
      </c>
      <c r="W10">
        <v>2.2610000000000001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46146.694652777776</v>
      </c>
      <c r="AF10" t="s">
        <v>32</v>
      </c>
      <c r="AG10" t="s">
        <v>13</v>
      </c>
      <c r="AH10">
        <v>0</v>
      </c>
      <c r="AI10">
        <v>12.36</v>
      </c>
      <c r="AJ10" s="3">
        <v>9658</v>
      </c>
      <c r="AK10">
        <v>1.742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2236.9977251472087</v>
      </c>
      <c r="AU10" s="17">
        <f t="shared" si="1"/>
        <v>1841.57898254156</v>
      </c>
      <c r="AW10" s="9">
        <f t="shared" si="2"/>
        <v>2369.6855061237734</v>
      </c>
      <c r="AX10" s="10">
        <f t="shared" si="3"/>
        <v>2292.2883767196004</v>
      </c>
      <c r="AZ10" s="11">
        <f t="shared" si="4"/>
        <v>2623.5555850412579</v>
      </c>
      <c r="BA10" s="12">
        <f t="shared" si="5"/>
        <v>2008.4120375527998</v>
      </c>
      <c r="BC10" s="14">
        <f t="shared" si="6"/>
        <v>2540.043093207802</v>
      </c>
      <c r="BD10" s="15">
        <f t="shared" si="7"/>
        <v>2060.5494993765201</v>
      </c>
      <c r="BF10" s="16">
        <f t="shared" si="8"/>
        <v>2236.9977251472087</v>
      </c>
      <c r="BG10" s="17">
        <f t="shared" si="9"/>
        <v>1841.57898254156</v>
      </c>
      <c r="BI10">
        <v>46</v>
      </c>
      <c r="BJ10" t="s">
        <v>36</v>
      </c>
      <c r="BK10" s="2">
        <v>46146.694652777776</v>
      </c>
      <c r="BL10" t="s">
        <v>32</v>
      </c>
      <c r="BM10" t="s">
        <v>13</v>
      </c>
      <c r="BN10">
        <v>0</v>
      </c>
      <c r="BO10">
        <v>2.7330000000000001</v>
      </c>
      <c r="BP10" s="3">
        <v>5008690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46146.715868055559</v>
      </c>
      <c r="D11" t="s">
        <v>26</v>
      </c>
      <c r="E11" t="s">
        <v>13</v>
      </c>
      <c r="F11">
        <v>0</v>
      </c>
      <c r="G11">
        <v>6.0860000000000003</v>
      </c>
      <c r="H11" s="3">
        <v>2567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46146.715868055559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46146.715868055559</v>
      </c>
      <c r="AF11" t="s">
        <v>26</v>
      </c>
      <c r="AG11" t="s">
        <v>13</v>
      </c>
      <c r="AH11">
        <v>0</v>
      </c>
      <c r="AI11">
        <v>12.39</v>
      </c>
      <c r="AJ11" s="3">
        <v>1679</v>
      </c>
      <c r="AK11">
        <v>0.379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8.0515616378540003</v>
      </c>
      <c r="AU11" s="17">
        <f t="shared" si="1"/>
        <v>356.64119347739</v>
      </c>
      <c r="AW11" s="9">
        <f t="shared" si="2"/>
        <v>4.0465690600000013</v>
      </c>
      <c r="AX11" s="10">
        <f t="shared" si="3"/>
        <v>386.67023539989998</v>
      </c>
      <c r="AZ11" s="11">
        <f t="shared" si="4"/>
        <v>2.8623744014599994</v>
      </c>
      <c r="BA11" s="12">
        <f t="shared" si="5"/>
        <v>378.12642134820004</v>
      </c>
      <c r="BC11" s="14">
        <f t="shared" si="6"/>
        <v>5.7252585300769994</v>
      </c>
      <c r="BD11" s="15">
        <f t="shared" si="7"/>
        <v>248.16996965813001</v>
      </c>
      <c r="BF11" s="16">
        <f t="shared" si="8"/>
        <v>8.0515616378540003</v>
      </c>
      <c r="BG11" s="17">
        <f t="shared" si="9"/>
        <v>356.64119347739</v>
      </c>
      <c r="BI11">
        <v>47</v>
      </c>
      <c r="BJ11" t="s">
        <v>37</v>
      </c>
      <c r="BK11" s="2">
        <v>46146.715868055559</v>
      </c>
      <c r="BL11" t="s">
        <v>26</v>
      </c>
      <c r="BM11" t="s">
        <v>13</v>
      </c>
      <c r="BN11">
        <v>0</v>
      </c>
      <c r="BO11">
        <v>2.734</v>
      </c>
      <c r="BP11" s="3">
        <v>5013496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46146.737083333333</v>
      </c>
      <c r="D12">
        <v>252</v>
      </c>
      <c r="E12" t="s">
        <v>13</v>
      </c>
      <c r="F12">
        <v>0</v>
      </c>
      <c r="G12">
        <v>6.0789999999999997</v>
      </c>
      <c r="H12" s="3">
        <v>3931</v>
      </c>
      <c r="I12">
        <v>8.0000000000000002E-3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46146.737083333333</v>
      </c>
      <c r="R12">
        <v>252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46146.737083333333</v>
      </c>
      <c r="AF12">
        <v>252</v>
      </c>
      <c r="AG12" t="s">
        <v>13</v>
      </c>
      <c r="AH12">
        <v>0</v>
      </c>
      <c r="AI12">
        <v>12.282</v>
      </c>
      <c r="AJ12" s="3">
        <v>41823</v>
      </c>
      <c r="AK12">
        <v>7.2370000000000001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11.571863445646001</v>
      </c>
      <c r="AU12" s="17">
        <f t="shared" si="1"/>
        <v>7873.8836555449097</v>
      </c>
      <c r="AW12" s="9">
        <f t="shared" si="2"/>
        <v>2.3332759400000018</v>
      </c>
      <c r="AX12" s="10">
        <f t="shared" si="3"/>
        <v>9385.2986056431</v>
      </c>
      <c r="AZ12" s="11">
        <f t="shared" si="4"/>
        <v>6.7147137635399989</v>
      </c>
      <c r="BA12" s="12">
        <f t="shared" si="5"/>
        <v>8503.2150329258002</v>
      </c>
      <c r="BC12" s="14">
        <f t="shared" si="6"/>
        <v>10.549982299172999</v>
      </c>
      <c r="BD12" s="15">
        <f t="shared" si="7"/>
        <v>9303.26565544597</v>
      </c>
      <c r="BF12" s="16">
        <f t="shared" si="8"/>
        <v>11.571863445646001</v>
      </c>
      <c r="BG12" s="17">
        <f t="shared" si="9"/>
        <v>7873.8836555449097</v>
      </c>
      <c r="BI12">
        <v>48</v>
      </c>
      <c r="BJ12" t="s">
        <v>38</v>
      </c>
      <c r="BK12" s="2">
        <v>46146.737083333333</v>
      </c>
      <c r="BL12">
        <v>252</v>
      </c>
      <c r="BM12" t="s">
        <v>13</v>
      </c>
      <c r="BN12">
        <v>0</v>
      </c>
      <c r="BO12">
        <v>2.9</v>
      </c>
      <c r="BP12" s="3">
        <v>607316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46146.758310185185</v>
      </c>
      <c r="D13">
        <v>78</v>
      </c>
      <c r="E13" t="s">
        <v>13</v>
      </c>
      <c r="F13">
        <v>0</v>
      </c>
      <c r="G13">
        <v>6.0759999999999996</v>
      </c>
      <c r="H13" s="3">
        <v>3246</v>
      </c>
      <c r="I13">
        <v>7.0000000000000001E-3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46146.758310185185</v>
      </c>
      <c r="R13">
        <v>78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46146.758310185185</v>
      </c>
      <c r="AF13">
        <v>78</v>
      </c>
      <c r="AG13" t="s">
        <v>13</v>
      </c>
      <c r="AH13">
        <v>0</v>
      </c>
      <c r="AI13">
        <v>12.268000000000001</v>
      </c>
      <c r="AJ13" s="3">
        <v>62816</v>
      </c>
      <c r="AK13">
        <v>10.821999999999999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9.8056973795759994</v>
      </c>
      <c r="AU13" s="17">
        <f t="shared" si="1"/>
        <v>11893.142380636262</v>
      </c>
      <c r="AW13" s="9">
        <f t="shared" si="2"/>
        <v>2.9425286400000008</v>
      </c>
      <c r="AX13" s="10">
        <f t="shared" si="3"/>
        <v>13621.137940889599</v>
      </c>
      <c r="AZ13" s="11">
        <f t="shared" si="4"/>
        <v>4.7534945242400006</v>
      </c>
      <c r="BA13" s="12">
        <f t="shared" si="5"/>
        <v>12313.42202796032</v>
      </c>
      <c r="BC13" s="14">
        <f t="shared" si="6"/>
        <v>8.1230586303879999</v>
      </c>
      <c r="BD13" s="15">
        <f t="shared" si="7"/>
        <v>14035.290274529279</v>
      </c>
      <c r="BF13" s="16">
        <f t="shared" si="8"/>
        <v>9.8056973795759994</v>
      </c>
      <c r="BG13" s="17">
        <f t="shared" si="9"/>
        <v>11893.142380636262</v>
      </c>
      <c r="BI13">
        <v>49</v>
      </c>
      <c r="BJ13" t="s">
        <v>39</v>
      </c>
      <c r="BK13" s="2">
        <v>46146.758310185185</v>
      </c>
      <c r="BL13">
        <v>78</v>
      </c>
      <c r="BM13" t="s">
        <v>13</v>
      </c>
      <c r="BN13">
        <v>0</v>
      </c>
      <c r="BO13">
        <v>2.8959999999999999</v>
      </c>
      <c r="BP13" s="3">
        <v>663839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46146.77952546296</v>
      </c>
      <c r="D14">
        <v>238</v>
      </c>
      <c r="E14" t="s">
        <v>13</v>
      </c>
      <c r="F14">
        <v>0</v>
      </c>
      <c r="G14">
        <v>6.07</v>
      </c>
      <c r="H14" s="3">
        <v>19367</v>
      </c>
      <c r="I14">
        <v>3.9E-2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46146.77952546296</v>
      </c>
      <c r="R14">
        <v>238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46146.77952546296</v>
      </c>
      <c r="AF14">
        <v>238</v>
      </c>
      <c r="AG14" t="s">
        <v>13</v>
      </c>
      <c r="AH14">
        <v>0</v>
      </c>
      <c r="AI14">
        <v>12.333</v>
      </c>
      <c r="AJ14" s="3">
        <v>1394</v>
      </c>
      <c r="AK14">
        <v>0.33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45.236879628660404</v>
      </c>
      <c r="AU14" s="17">
        <f t="shared" si="1"/>
        <v>303.68534841643998</v>
      </c>
      <c r="AW14" s="9">
        <f t="shared" si="2"/>
        <v>47.922278753447003</v>
      </c>
      <c r="AX14" s="10">
        <f t="shared" si="3"/>
        <v>317.52969006039996</v>
      </c>
      <c r="AZ14" s="11">
        <f t="shared" si="4"/>
        <v>51.715609697016802</v>
      </c>
      <c r="BA14" s="12">
        <f t="shared" si="5"/>
        <v>319.75379448720003</v>
      </c>
      <c r="BC14" s="14">
        <f t="shared" si="6"/>
        <v>55.022647778793001</v>
      </c>
      <c r="BD14" s="15">
        <f t="shared" si="7"/>
        <v>183.31844540948003</v>
      </c>
      <c r="BF14" s="16">
        <f t="shared" si="8"/>
        <v>45.236879628660404</v>
      </c>
      <c r="BG14" s="17">
        <f t="shared" si="9"/>
        <v>303.68534841643998</v>
      </c>
      <c r="BI14">
        <v>50</v>
      </c>
      <c r="BJ14" t="s">
        <v>40</v>
      </c>
      <c r="BK14" s="2">
        <v>46146.77952546296</v>
      </c>
      <c r="BL14">
        <v>238</v>
      </c>
      <c r="BM14" t="s">
        <v>13</v>
      </c>
      <c r="BN14">
        <v>0</v>
      </c>
      <c r="BO14">
        <v>2.8980000000000001</v>
      </c>
      <c r="BP14" s="3">
        <v>643103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46146.800752314812</v>
      </c>
      <c r="D15">
        <v>337</v>
      </c>
      <c r="E15" t="s">
        <v>13</v>
      </c>
      <c r="F15">
        <v>0</v>
      </c>
      <c r="G15">
        <v>6.0910000000000002</v>
      </c>
      <c r="H15" s="3">
        <v>2613</v>
      </c>
      <c r="I15">
        <v>5.0000000000000001E-3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46146.800752314812</v>
      </c>
      <c r="R15">
        <v>337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46146.800752314812</v>
      </c>
      <c r="AF15">
        <v>337</v>
      </c>
      <c r="AG15" t="s">
        <v>13</v>
      </c>
      <c r="AH15">
        <v>0</v>
      </c>
      <c r="AI15">
        <v>12.35</v>
      </c>
      <c r="AJ15" s="3">
        <v>5529</v>
      </c>
      <c r="AK15">
        <v>1.0369999999999999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8.1705066659339991</v>
      </c>
      <c r="AU15" s="17">
        <f t="shared" si="1"/>
        <v>1072.57939460939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3.9560502599999996</v>
      </c>
      <c r="AX15" s="10">
        <f t="shared" ref="AX15:AX16" si="11">IF(AJ15&lt;45000,((-0.0000004561*AJ15^2)+(0.244*AJ15)+(-21.72)),((-0.0000000409*AJ15^2)+(0.2477*AJ15)+(-1777)))</f>
        <v>1313.4130955199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2.9888277206599998</v>
      </c>
      <c r="BA15" s="12">
        <f t="shared" ref="BA15:BA16" si="13">IF(AJ15&lt;45000,((-0.0000000598*AJ15^2)+(0.205*AJ15)+(34.1)),((-0.00000002403*AJ15^2)+(0.2063*AJ15)+(-550.7)))</f>
        <v>1165.7169235081999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5.8874542421170002</v>
      </c>
      <c r="BD15" s="15">
        <f t="shared" ref="BD15:BD16" si="15">IF(AJ15&lt;45000,((-0.00000004907*AJ15^2)+(0.2277*AJ15)+(-134)),((-0.00000001062*AJ15^2)+(0.2147*AJ15)+(590.6)))</f>
        <v>1123.45323790213</v>
      </c>
      <c r="BF15" s="16">
        <f t="shared" si="8"/>
        <v>8.1705066659339991</v>
      </c>
      <c r="BG15" s="17">
        <f t="shared" si="9"/>
        <v>1072.57939460939</v>
      </c>
      <c r="BI15">
        <v>51</v>
      </c>
      <c r="BJ15" t="s">
        <v>41</v>
      </c>
      <c r="BK15" s="2">
        <v>46146.800752314812</v>
      </c>
      <c r="BL15">
        <v>337</v>
      </c>
      <c r="BM15" t="s">
        <v>13</v>
      </c>
      <c r="BN15">
        <v>0</v>
      </c>
      <c r="BO15">
        <v>2.9039999999999999</v>
      </c>
      <c r="BP15" s="3">
        <v>667735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46146.821944444448</v>
      </c>
      <c r="D16">
        <v>277</v>
      </c>
      <c r="E16" t="s">
        <v>13</v>
      </c>
      <c r="F16">
        <v>0</v>
      </c>
      <c r="G16">
        <v>6.0780000000000003</v>
      </c>
      <c r="H16" s="3">
        <v>3848</v>
      </c>
      <c r="I16">
        <v>8.0000000000000002E-3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46146.821944444448</v>
      </c>
      <c r="R16">
        <v>277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46146.821944444448</v>
      </c>
      <c r="AF16">
        <v>277</v>
      </c>
      <c r="AG16" t="s">
        <v>13</v>
      </c>
      <c r="AH16">
        <v>0</v>
      </c>
      <c r="AI16">
        <v>12.284000000000001</v>
      </c>
      <c r="AJ16" s="3">
        <v>57570</v>
      </c>
      <c r="AK16">
        <v>9.9260000000000002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11.358046415744001</v>
      </c>
      <c r="AU16" s="17">
        <f t="shared" si="1"/>
        <v>11034.50422665621</v>
      </c>
      <c r="AW16" s="9">
        <f t="shared" si="10"/>
        <v>2.3801161599999983</v>
      </c>
      <c r="AX16" s="10">
        <f t="shared" si="11"/>
        <v>12347.533929589999</v>
      </c>
      <c r="AZ16" s="11">
        <f t="shared" si="12"/>
        <v>6.4742219225599982</v>
      </c>
      <c r="BA16" s="12">
        <f t="shared" si="13"/>
        <v>11246.348253253</v>
      </c>
      <c r="BC16" s="14">
        <f t="shared" si="14"/>
        <v>10.255492734272</v>
      </c>
      <c r="BD16" s="15">
        <f t="shared" si="15"/>
        <v>12915.681081962</v>
      </c>
      <c r="BF16" s="16">
        <f t="shared" si="8"/>
        <v>11.358046415744001</v>
      </c>
      <c r="BG16" s="17">
        <f t="shared" si="9"/>
        <v>11034.50422665621</v>
      </c>
      <c r="BI16">
        <v>52</v>
      </c>
      <c r="BJ16" t="s">
        <v>42</v>
      </c>
      <c r="BK16" s="2">
        <v>46146.821944444448</v>
      </c>
      <c r="BL16">
        <v>277</v>
      </c>
      <c r="BM16" t="s">
        <v>13</v>
      </c>
      <c r="BN16">
        <v>0</v>
      </c>
      <c r="BO16">
        <v>2.8940000000000001</v>
      </c>
      <c r="BP16" s="3">
        <v>698711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46146.843194444446</v>
      </c>
      <c r="D17">
        <v>71</v>
      </c>
      <c r="E17" t="s">
        <v>13</v>
      </c>
      <c r="F17">
        <v>0</v>
      </c>
      <c r="G17">
        <v>6.0679999999999996</v>
      </c>
      <c r="H17" s="3">
        <v>12977</v>
      </c>
      <c r="I17">
        <v>2.5999999999999999E-2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46146.843194444446</v>
      </c>
      <c r="R17">
        <v>71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46146.843194444446</v>
      </c>
      <c r="AF17">
        <v>71</v>
      </c>
      <c r="AG17" t="s">
        <v>13</v>
      </c>
      <c r="AH17">
        <v>0</v>
      </c>
      <c r="AI17">
        <v>12.340999999999999</v>
      </c>
      <c r="AJ17" s="3">
        <v>9100</v>
      </c>
      <c r="AK17">
        <v>1.647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31.384473288084401</v>
      </c>
      <c r="AU17" s="17">
        <f t="shared" si="1"/>
        <v>1737.5837699000001</v>
      </c>
      <c r="AW17" s="9">
        <f t="shared" ref="AW17:AW27" si="16">IF(H17&lt;10000,((H17^2*0.00000054)+(H17*-0.004765)+(12.72)),(IF(H17&lt;200000,((H17^2*-0.000000001577)+(H17*0.003043)+(-10.42)),(IF(H17&lt;8000000,((H17^2*-0.0000000000186)+(H17*0.00194)+(154.1)),((V17^2*-0.00000002)+(V17*0.2565)+(-1032)))))))</f>
        <v>28.803440211767004</v>
      </c>
      <c r="AX17" s="10">
        <f t="shared" ref="AX17:AX27" si="17">IF(AJ17&lt;45000,((-0.0000004561*AJ17^2)+(0.244*AJ17)+(-21.72)),((-0.0000000409*AJ17^2)+(0.2477*AJ17)+(-1777)))</f>
        <v>2160.9103590000004</v>
      </c>
      <c r="AZ17" s="11">
        <f t="shared" ref="AZ17:AZ27" si="18">IF(H17&lt;10000,((H17^2*0.00000005714)+(H17*0.002453)+(-3.811)),(IF(H17&lt;200000,((H17^2*-0.0000000002888)+(H17*0.002899)+(-4.321)),(IF(H17&lt;8000000,((H17^2*-0.0000000000062)+(H17*0.002143)+(157)),((V17^2*-0.000000031)+(V17*0.2771)+(-709.5)))))))</f>
        <v>33.250688349624802</v>
      </c>
      <c r="BA17" s="12">
        <f t="shared" ref="BA17:BA27" si="19">IF(AJ17&lt;45000,((-0.0000000598*AJ17^2)+(0.205*AJ17)+(34.1)),((-0.00000002403*AJ17^2)+(0.2063*AJ17)+(-550.7)))</f>
        <v>1894.647962</v>
      </c>
      <c r="BC17" s="14">
        <f t="shared" ref="BC17:BC27" si="20">IF(H17&lt;10000,((H17^2*0.000000008493)+(H17*0.003482)+(-3.269)),(IF(H17&lt;200000,((H17^2*-0.000000000263)+(H17*0.002682)+(3.179)),(IF(H17&lt;8000000,((H17^2*-0.000000000005099)+(H17*0.002054)+(174.8)),((V17^2*-0.00000001014)+(V17*0.2415)+(1123)))))))</f>
        <v>37.939024134873002</v>
      </c>
      <c r="BD17" s="15">
        <f t="shared" ref="BD17:BD27" si="21">IF(AJ17&lt;45000,((-0.00000004907*AJ17^2)+(0.2277*AJ17)+(-134)),((-0.00000001062*AJ17^2)+(0.2147*AJ17)+(590.6)))</f>
        <v>1934.0065133000003</v>
      </c>
      <c r="BF17" s="16">
        <f t="shared" si="8"/>
        <v>31.384473288084401</v>
      </c>
      <c r="BG17" s="17">
        <f t="shared" si="9"/>
        <v>1737.5837699000001</v>
      </c>
      <c r="BI17">
        <v>53</v>
      </c>
      <c r="BJ17" t="s">
        <v>43</v>
      </c>
      <c r="BK17" s="2">
        <v>46146.843194444446</v>
      </c>
      <c r="BL17">
        <v>71</v>
      </c>
      <c r="BM17" t="s">
        <v>13</v>
      </c>
      <c r="BN17">
        <v>0</v>
      </c>
      <c r="BO17">
        <v>2.8969999999999998</v>
      </c>
      <c r="BP17" s="3">
        <v>652030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46146.86440972222</v>
      </c>
      <c r="D18">
        <v>130</v>
      </c>
      <c r="E18" t="s">
        <v>13</v>
      </c>
      <c r="F18">
        <v>0</v>
      </c>
      <c r="G18">
        <v>6.0730000000000004</v>
      </c>
      <c r="H18" s="3">
        <v>3214</v>
      </c>
      <c r="I18">
        <v>7.0000000000000001E-3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46146.86440972222</v>
      </c>
      <c r="R18">
        <v>130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46146.86440972222</v>
      </c>
      <c r="AF18">
        <v>130</v>
      </c>
      <c r="AG18" t="s">
        <v>13</v>
      </c>
      <c r="AH18">
        <v>0</v>
      </c>
      <c r="AI18">
        <v>12.271000000000001</v>
      </c>
      <c r="AJ18" s="3">
        <v>60973</v>
      </c>
      <c r="AK18">
        <v>10.507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9.7231051376559989</v>
      </c>
      <c r="AU18" s="17">
        <f t="shared" si="1"/>
        <v>11591.475352691634</v>
      </c>
      <c r="AW18" s="9">
        <f t="shared" si="16"/>
        <v>2.9833798400000013</v>
      </c>
      <c r="AX18" s="10">
        <f t="shared" si="17"/>
        <v>13173.9578947839</v>
      </c>
      <c r="AZ18" s="11">
        <f t="shared" si="18"/>
        <v>4.6631865434400002</v>
      </c>
      <c r="BA18" s="12">
        <f t="shared" si="19"/>
        <v>11938.693407302129</v>
      </c>
      <c r="BC18" s="14">
        <f t="shared" si="20"/>
        <v>8.0098789574280005</v>
      </c>
      <c r="BD18" s="15">
        <f t="shared" si="21"/>
        <v>13642.02105453802</v>
      </c>
      <c r="BF18" s="16">
        <f t="shared" si="8"/>
        <v>9.7231051376559989</v>
      </c>
      <c r="BG18" s="17">
        <f t="shared" si="9"/>
        <v>11591.475352691634</v>
      </c>
      <c r="BI18">
        <v>54</v>
      </c>
      <c r="BJ18" t="s">
        <v>44</v>
      </c>
      <c r="BK18" s="2">
        <v>46146.86440972222</v>
      </c>
      <c r="BL18">
        <v>130</v>
      </c>
      <c r="BM18" t="s">
        <v>13</v>
      </c>
      <c r="BN18">
        <v>0</v>
      </c>
      <c r="BO18">
        <v>2.891</v>
      </c>
      <c r="BP18" s="3">
        <v>741732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46146.885636574072</v>
      </c>
      <c r="D19">
        <v>319</v>
      </c>
      <c r="E19" t="s">
        <v>13</v>
      </c>
      <c r="F19">
        <v>0</v>
      </c>
      <c r="G19">
        <v>6.08</v>
      </c>
      <c r="H19" s="3">
        <v>3297</v>
      </c>
      <c r="I19">
        <v>7.0000000000000001E-3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46146.885636574072</v>
      </c>
      <c r="R19">
        <v>319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46146.885636574072</v>
      </c>
      <c r="AF19">
        <v>319</v>
      </c>
      <c r="AG19" t="s">
        <v>13</v>
      </c>
      <c r="AH19">
        <v>0</v>
      </c>
      <c r="AI19">
        <v>12.279</v>
      </c>
      <c r="AJ19" s="3">
        <v>57649</v>
      </c>
      <c r="AK19">
        <v>9.9390000000000001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9.9373130437739992</v>
      </c>
      <c r="AU19" s="17">
        <f t="shared" si="1"/>
        <v>11047.433606299162</v>
      </c>
      <c r="AW19" s="9">
        <f t="shared" si="16"/>
        <v>2.8797078600000017</v>
      </c>
      <c r="AX19" s="10">
        <f t="shared" si="17"/>
        <v>12366.729945479101</v>
      </c>
      <c r="AZ19" s="11">
        <f t="shared" si="18"/>
        <v>4.8976647422599999</v>
      </c>
      <c r="BA19" s="12">
        <f t="shared" si="19"/>
        <v>11262.427224959969</v>
      </c>
      <c r="BC19" s="14">
        <f t="shared" si="20"/>
        <v>8.3034746850369991</v>
      </c>
      <c r="BD19" s="15">
        <f t="shared" si="21"/>
        <v>12932.545715525381</v>
      </c>
      <c r="BF19" s="16">
        <f t="shared" si="8"/>
        <v>9.9373130437739992</v>
      </c>
      <c r="BG19" s="17">
        <f t="shared" si="9"/>
        <v>11047.433606299162</v>
      </c>
      <c r="BI19">
        <v>55</v>
      </c>
      <c r="BJ19" t="s">
        <v>45</v>
      </c>
      <c r="BK19" s="2">
        <v>46146.885636574072</v>
      </c>
      <c r="BL19">
        <v>319</v>
      </c>
      <c r="BM19" t="s">
        <v>13</v>
      </c>
      <c r="BN19">
        <v>0</v>
      </c>
      <c r="BO19">
        <v>2.8940000000000001</v>
      </c>
      <c r="BP19" s="3">
        <v>699495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46146.906851851854</v>
      </c>
      <c r="D20">
        <v>186</v>
      </c>
      <c r="E20" t="s">
        <v>13</v>
      </c>
      <c r="F20">
        <v>0</v>
      </c>
      <c r="G20">
        <v>6.069</v>
      </c>
      <c r="H20" s="3">
        <v>15399</v>
      </c>
      <c r="I20">
        <v>3.1E-2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46146.906851851854</v>
      </c>
      <c r="R20">
        <v>186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46146.906851851854</v>
      </c>
      <c r="AF20">
        <v>186</v>
      </c>
      <c r="AG20" t="s">
        <v>13</v>
      </c>
      <c r="AH20">
        <v>0</v>
      </c>
      <c r="AI20">
        <v>12.324999999999999</v>
      </c>
      <c r="AJ20" s="3">
        <v>9670</v>
      </c>
      <c r="AK20">
        <v>1.744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36.638564568743604</v>
      </c>
      <c r="AU20" s="17">
        <f t="shared" si="1"/>
        <v>1843.8156835310001</v>
      </c>
      <c r="AW20" s="9">
        <f t="shared" si="16"/>
        <v>36.065204250023001</v>
      </c>
      <c r="AX20" s="10">
        <f t="shared" si="17"/>
        <v>2295.11059071</v>
      </c>
      <c r="AZ20" s="11">
        <f t="shared" si="18"/>
        <v>40.252218086751206</v>
      </c>
      <c r="BA20" s="12">
        <f t="shared" si="19"/>
        <v>2010.8581677799998</v>
      </c>
      <c r="BC20" s="14">
        <f t="shared" si="20"/>
        <v>44.416753020137001</v>
      </c>
      <c r="BD20" s="15">
        <f t="shared" si="21"/>
        <v>2063.2705182770001</v>
      </c>
      <c r="BF20" s="16">
        <f t="shared" si="8"/>
        <v>36.638564568743604</v>
      </c>
      <c r="BG20" s="17">
        <f t="shared" si="9"/>
        <v>1843.8156835310001</v>
      </c>
      <c r="BI20">
        <v>56</v>
      </c>
      <c r="BJ20" t="s">
        <v>46</v>
      </c>
      <c r="BK20" s="2">
        <v>46146.906851851854</v>
      </c>
      <c r="BL20">
        <v>186</v>
      </c>
      <c r="BM20" t="s">
        <v>13</v>
      </c>
      <c r="BN20">
        <v>0</v>
      </c>
      <c r="BO20">
        <v>2.891</v>
      </c>
      <c r="BP20" s="3">
        <v>762838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46146.928043981483</v>
      </c>
      <c r="D21">
        <v>311</v>
      </c>
      <c r="E21" t="s">
        <v>13</v>
      </c>
      <c r="F21">
        <v>0</v>
      </c>
      <c r="G21">
        <v>6.0830000000000002</v>
      </c>
      <c r="H21" s="3">
        <v>3167</v>
      </c>
      <c r="I21">
        <v>7.0000000000000001E-3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46146.928043981483</v>
      </c>
      <c r="R21">
        <v>311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46146.928043981483</v>
      </c>
      <c r="AF21">
        <v>311</v>
      </c>
      <c r="AG21" t="s">
        <v>13</v>
      </c>
      <c r="AH21">
        <v>0</v>
      </c>
      <c r="AI21">
        <v>12.337</v>
      </c>
      <c r="AJ21" s="3">
        <v>5942</v>
      </c>
      <c r="AK21">
        <v>1.1080000000000001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9.6017839922539991</v>
      </c>
      <c r="AU21" s="17">
        <f t="shared" si="1"/>
        <v>1149.4430505575599</v>
      </c>
      <c r="AW21" s="9">
        <f t="shared" si="16"/>
        <v>3.045385060000001</v>
      </c>
      <c r="AX21" s="10">
        <f t="shared" si="17"/>
        <v>1412.0243112795999</v>
      </c>
      <c r="AZ21" s="11">
        <f t="shared" si="18"/>
        <v>4.5307588574599986</v>
      </c>
      <c r="BA21" s="12">
        <f t="shared" si="19"/>
        <v>1250.0986196327999</v>
      </c>
      <c r="BC21" s="14">
        <f t="shared" si="20"/>
        <v>7.8436778472769983</v>
      </c>
      <c r="BD21" s="15">
        <f t="shared" si="21"/>
        <v>1217.2608676485202</v>
      </c>
      <c r="BF21" s="16">
        <f t="shared" si="8"/>
        <v>9.6017839922539991</v>
      </c>
      <c r="BG21" s="17">
        <f t="shared" si="9"/>
        <v>1149.4430505575599</v>
      </c>
      <c r="BI21">
        <v>57</v>
      </c>
      <c r="BJ21" t="s">
        <v>47</v>
      </c>
      <c r="BK21" s="2">
        <v>46146.928043981483</v>
      </c>
      <c r="BL21">
        <v>311</v>
      </c>
      <c r="BM21" t="s">
        <v>13</v>
      </c>
      <c r="BN21">
        <v>0</v>
      </c>
      <c r="BO21">
        <v>2.8919999999999999</v>
      </c>
      <c r="BP21" s="3">
        <v>734772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46146.949270833335</v>
      </c>
      <c r="D22">
        <v>179</v>
      </c>
      <c r="E22" t="s">
        <v>13</v>
      </c>
      <c r="F22">
        <v>0</v>
      </c>
      <c r="G22">
        <v>6.069</v>
      </c>
      <c r="H22" s="3">
        <v>4706</v>
      </c>
      <c r="I22">
        <v>0.01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46146.949270833335</v>
      </c>
      <c r="R22">
        <v>179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46146.949270833335</v>
      </c>
      <c r="AF22">
        <v>179</v>
      </c>
      <c r="AG22" t="s">
        <v>13</v>
      </c>
      <c r="AH22">
        <v>0</v>
      </c>
      <c r="AI22">
        <v>12.298999999999999</v>
      </c>
      <c r="AJ22" s="3">
        <v>43097</v>
      </c>
      <c r="AK22">
        <v>7.4539999999999997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13.565878136696</v>
      </c>
      <c r="AU22" s="17">
        <f t="shared" si="1"/>
        <v>8114.3375069281101</v>
      </c>
      <c r="AW22" s="9">
        <f t="shared" si="16"/>
        <v>2.2549854400000022</v>
      </c>
      <c r="AX22" s="10">
        <f t="shared" si="17"/>
        <v>9646.810022355101</v>
      </c>
      <c r="AZ22" s="11">
        <f t="shared" si="18"/>
        <v>8.9982653530400007</v>
      </c>
      <c r="BA22" s="12">
        <f t="shared" si="19"/>
        <v>8757.9153857418005</v>
      </c>
      <c r="BC22" s="14">
        <f t="shared" si="20"/>
        <v>13.305381680948001</v>
      </c>
      <c r="BD22" s="15">
        <f t="shared" si="21"/>
        <v>9588.0466663603711</v>
      </c>
      <c r="BF22" s="16">
        <f t="shared" si="8"/>
        <v>13.565878136696</v>
      </c>
      <c r="BG22" s="17">
        <f t="shared" si="9"/>
        <v>8114.3375069281101</v>
      </c>
      <c r="BI22">
        <v>58</v>
      </c>
      <c r="BJ22" t="s">
        <v>48</v>
      </c>
      <c r="BK22" s="2">
        <v>46146.949270833335</v>
      </c>
      <c r="BL22">
        <v>179</v>
      </c>
      <c r="BM22" t="s">
        <v>13</v>
      </c>
      <c r="BN22">
        <v>0</v>
      </c>
      <c r="BO22">
        <v>2.8889999999999998</v>
      </c>
      <c r="BP22" s="3">
        <v>761619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46146.970497685186</v>
      </c>
      <c r="D23">
        <v>360</v>
      </c>
      <c r="E23" t="s">
        <v>13</v>
      </c>
      <c r="F23">
        <v>0</v>
      </c>
      <c r="G23">
        <v>6.0659999999999998</v>
      </c>
      <c r="H23" s="3">
        <v>22124</v>
      </c>
      <c r="I23">
        <v>4.4999999999999998E-2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46146.970497685186</v>
      </c>
      <c r="R23">
        <v>360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46146.970497685186</v>
      </c>
      <c r="AF23">
        <v>360</v>
      </c>
      <c r="AG23" t="s">
        <v>13</v>
      </c>
      <c r="AH23">
        <v>0</v>
      </c>
      <c r="AI23">
        <v>12.347</v>
      </c>
      <c r="AJ23" s="3">
        <v>1962</v>
      </c>
      <c r="AK23">
        <v>0.42699999999999999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51.2040829740736</v>
      </c>
      <c r="AU23" s="17">
        <f t="shared" si="1"/>
        <v>409.23117160076004</v>
      </c>
      <c r="AW23" s="9">
        <f t="shared" si="16"/>
        <v>56.131435640048011</v>
      </c>
      <c r="AX23" s="10">
        <f t="shared" si="17"/>
        <v>455.2522685916</v>
      </c>
      <c r="AZ23" s="11">
        <f t="shared" si="18"/>
        <v>59.67511666661121</v>
      </c>
      <c r="BA23" s="12">
        <f t="shared" si="19"/>
        <v>436.07980324879998</v>
      </c>
      <c r="BC23" s="14">
        <f t="shared" si="20"/>
        <v>62.386837028112005</v>
      </c>
      <c r="BD23" s="15">
        <f t="shared" si="21"/>
        <v>312.55850778292</v>
      </c>
      <c r="BF23" s="16">
        <f t="shared" si="8"/>
        <v>51.2040829740736</v>
      </c>
      <c r="BG23" s="17">
        <f t="shared" si="9"/>
        <v>409.23117160076004</v>
      </c>
      <c r="BI23">
        <v>59</v>
      </c>
      <c r="BJ23" t="s">
        <v>49</v>
      </c>
      <c r="BK23" s="2">
        <v>46146.970497685186</v>
      </c>
      <c r="BL23">
        <v>360</v>
      </c>
      <c r="BM23" t="s">
        <v>13</v>
      </c>
      <c r="BN23">
        <v>0</v>
      </c>
      <c r="BO23">
        <v>2.89</v>
      </c>
      <c r="BP23" s="3">
        <v>756036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46146.991712962961</v>
      </c>
      <c r="D24">
        <v>368</v>
      </c>
      <c r="E24" t="s">
        <v>13</v>
      </c>
      <c r="F24">
        <v>0</v>
      </c>
      <c r="G24">
        <v>6.0739999999999998</v>
      </c>
      <c r="H24" s="3">
        <v>3485</v>
      </c>
      <c r="I24">
        <v>7.0000000000000001E-3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46146.991712962961</v>
      </c>
      <c r="R24">
        <v>368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46146.991712962961</v>
      </c>
      <c r="AF24">
        <v>368</v>
      </c>
      <c r="AG24" t="s">
        <v>13</v>
      </c>
      <c r="AH24">
        <v>0</v>
      </c>
      <c r="AI24">
        <v>12.272</v>
      </c>
      <c r="AJ24" s="3">
        <v>59299</v>
      </c>
      <c r="AK24">
        <v>10.221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10.42231763435</v>
      </c>
      <c r="AU24" s="17">
        <f t="shared" si="1"/>
        <v>11317.484124271343</v>
      </c>
      <c r="AW24" s="9">
        <f t="shared" si="16"/>
        <v>2.6723965000000032</v>
      </c>
      <c r="AX24" s="10">
        <f t="shared" si="17"/>
        <v>12767.542709699101</v>
      </c>
      <c r="AZ24" s="11">
        <f t="shared" si="18"/>
        <v>5.4316831565000001</v>
      </c>
      <c r="BA24" s="12">
        <f t="shared" si="19"/>
        <v>11598.18529523397</v>
      </c>
      <c r="BC24" s="14">
        <f t="shared" si="20"/>
        <v>8.9689193959249991</v>
      </c>
      <c r="BD24" s="15">
        <f t="shared" si="21"/>
        <v>13284.75143572138</v>
      </c>
      <c r="BF24" s="16">
        <f t="shared" si="8"/>
        <v>10.42231763435</v>
      </c>
      <c r="BG24" s="17">
        <f t="shared" si="9"/>
        <v>11317.484124271343</v>
      </c>
      <c r="BI24">
        <v>60</v>
      </c>
      <c r="BJ24" t="s">
        <v>50</v>
      </c>
      <c r="BK24" s="2">
        <v>46146.991712962961</v>
      </c>
      <c r="BL24">
        <v>368</v>
      </c>
      <c r="BM24" t="s">
        <v>13</v>
      </c>
      <c r="BN24">
        <v>0</v>
      </c>
      <c r="BO24">
        <v>2.8889999999999998</v>
      </c>
      <c r="BP24" s="3">
        <v>761047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46147.01290509259</v>
      </c>
      <c r="D25">
        <v>363</v>
      </c>
      <c r="E25" t="s">
        <v>13</v>
      </c>
      <c r="F25">
        <v>0</v>
      </c>
      <c r="G25">
        <v>6.0659999999999998</v>
      </c>
      <c r="H25" s="3">
        <v>21799</v>
      </c>
      <c r="I25">
        <v>4.3999999999999997E-2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46147.01290509259</v>
      </c>
      <c r="R25">
        <v>363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46147.01290509259</v>
      </c>
      <c r="AF25">
        <v>363</v>
      </c>
      <c r="AG25" t="s">
        <v>13</v>
      </c>
      <c r="AH25">
        <v>0</v>
      </c>
      <c r="AI25">
        <v>12.340999999999999</v>
      </c>
      <c r="AJ25" s="3">
        <v>1642</v>
      </c>
      <c r="AK25">
        <v>0.373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50.500956074663605</v>
      </c>
      <c r="AU25" s="17">
        <f t="shared" si="1"/>
        <v>349.76589570955997</v>
      </c>
      <c r="AW25" s="9">
        <f t="shared" si="16"/>
        <v>55.164972275623001</v>
      </c>
      <c r="AX25" s="10">
        <f t="shared" si="17"/>
        <v>377.69827959959991</v>
      </c>
      <c r="AZ25" s="11">
        <f t="shared" si="18"/>
        <v>58.737064279391205</v>
      </c>
      <c r="BA25" s="12">
        <f t="shared" si="19"/>
        <v>370.54876939279995</v>
      </c>
      <c r="BC25" s="14">
        <f t="shared" si="20"/>
        <v>61.518941346536998</v>
      </c>
      <c r="BD25" s="15">
        <f t="shared" si="21"/>
        <v>239.75109923252</v>
      </c>
      <c r="BF25" s="16">
        <f t="shared" si="8"/>
        <v>50.500956074663605</v>
      </c>
      <c r="BG25" s="17">
        <f t="shared" si="9"/>
        <v>349.76589570955997</v>
      </c>
      <c r="BI25">
        <v>61</v>
      </c>
      <c r="BJ25" t="s">
        <v>51</v>
      </c>
      <c r="BK25" s="2">
        <v>46147.01290509259</v>
      </c>
      <c r="BL25">
        <v>363</v>
      </c>
      <c r="BM25" t="s">
        <v>13</v>
      </c>
      <c r="BN25">
        <v>0</v>
      </c>
      <c r="BO25">
        <v>2.887</v>
      </c>
      <c r="BP25" s="3">
        <v>813540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46147.034120370372</v>
      </c>
      <c r="D26">
        <v>315</v>
      </c>
      <c r="E26" t="s">
        <v>13</v>
      </c>
      <c r="F26">
        <v>0</v>
      </c>
      <c r="G26">
        <v>6.077</v>
      </c>
      <c r="H26" s="3">
        <v>3698</v>
      </c>
      <c r="I26">
        <v>8.0000000000000002E-3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46147.034120370372</v>
      </c>
      <c r="R26">
        <v>315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46147.034120370372</v>
      </c>
      <c r="AF26">
        <v>315</v>
      </c>
      <c r="AG26" t="s">
        <v>13</v>
      </c>
      <c r="AH26">
        <v>0</v>
      </c>
      <c r="AI26">
        <v>12.287000000000001</v>
      </c>
      <c r="AJ26" s="3">
        <v>55234</v>
      </c>
      <c r="AK26">
        <v>9.5269999999999992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10.971500292344</v>
      </c>
      <c r="AU26" s="17">
        <f t="shared" si="1"/>
        <v>10652.200259348472</v>
      </c>
      <c r="AW26" s="9">
        <f t="shared" si="16"/>
        <v>2.483640160000002</v>
      </c>
      <c r="AX26" s="10">
        <f t="shared" si="17"/>
        <v>11779.684294479601</v>
      </c>
      <c r="AZ26" s="11">
        <f t="shared" si="18"/>
        <v>6.0415951565599997</v>
      </c>
      <c r="BA26" s="12">
        <f t="shared" si="19"/>
        <v>10770.76360201332</v>
      </c>
      <c r="BC26" s="14">
        <f t="shared" si="20"/>
        <v>9.7235795075719995</v>
      </c>
      <c r="BD26" s="15">
        <f t="shared" si="21"/>
        <v>12416.94035969128</v>
      </c>
      <c r="BF26" s="16">
        <f t="shared" si="8"/>
        <v>10.971500292344</v>
      </c>
      <c r="BG26" s="17">
        <f t="shared" si="9"/>
        <v>10652.200259348472</v>
      </c>
      <c r="BI26">
        <v>62</v>
      </c>
      <c r="BJ26" t="s">
        <v>52</v>
      </c>
      <c r="BK26" s="2">
        <v>46147.034120370372</v>
      </c>
      <c r="BL26">
        <v>315</v>
      </c>
      <c r="BM26" t="s">
        <v>13</v>
      </c>
      <c r="BN26">
        <v>0</v>
      </c>
      <c r="BO26">
        <v>2.895</v>
      </c>
      <c r="BP26" s="3">
        <v>778637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46147.055335648147</v>
      </c>
      <c r="D27">
        <v>390</v>
      </c>
      <c r="E27" t="s">
        <v>13</v>
      </c>
      <c r="F27">
        <v>0</v>
      </c>
      <c r="G27">
        <v>6.0650000000000004</v>
      </c>
      <c r="H27" s="3">
        <v>22695</v>
      </c>
      <c r="I27">
        <v>4.5999999999999999E-2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46147.055335648147</v>
      </c>
      <c r="R27">
        <v>390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46147.055335648147</v>
      </c>
      <c r="AF27">
        <v>390</v>
      </c>
      <c r="AG27" t="s">
        <v>13</v>
      </c>
      <c r="AH27">
        <v>0</v>
      </c>
      <c r="AI27">
        <v>12.337</v>
      </c>
      <c r="AJ27" s="3">
        <v>1218</v>
      </c>
      <c r="AK27">
        <v>0.3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52.439230277390003</v>
      </c>
      <c r="AU27" s="17">
        <f t="shared" si="1"/>
        <v>270.98569532396004</v>
      </c>
      <c r="AW27" s="9">
        <f t="shared" si="16"/>
        <v>57.828630609575001</v>
      </c>
      <c r="AX27" s="10">
        <f t="shared" si="17"/>
        <v>274.79536470360006</v>
      </c>
      <c r="AZ27" s="11">
        <f t="shared" si="18"/>
        <v>61.323054798379999</v>
      </c>
      <c r="BA27" s="12">
        <f t="shared" si="19"/>
        <v>283.70128526479999</v>
      </c>
      <c r="BC27" s="14">
        <f t="shared" si="20"/>
        <v>63.911528424425001</v>
      </c>
      <c r="BD27" s="15">
        <f t="shared" si="21"/>
        <v>143.26580347732005</v>
      </c>
      <c r="BF27" s="16">
        <f t="shared" si="8"/>
        <v>52.439230277390003</v>
      </c>
      <c r="BG27" s="17">
        <f t="shared" si="9"/>
        <v>270.98569532396004</v>
      </c>
      <c r="BI27">
        <v>63</v>
      </c>
      <c r="BJ27" t="s">
        <v>53</v>
      </c>
      <c r="BK27" s="2">
        <v>46147.055335648147</v>
      </c>
      <c r="BL27">
        <v>390</v>
      </c>
      <c r="BM27" t="s">
        <v>13</v>
      </c>
      <c r="BN27">
        <v>0</v>
      </c>
      <c r="BO27">
        <v>2.883</v>
      </c>
      <c r="BP27" s="3">
        <v>873158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2026-05-05T14:31:59Z</dcterms:modified>
</cp:coreProperties>
</file>