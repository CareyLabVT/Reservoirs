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G:\Shared drives\StreamTeam Analytical Lab\Projects\Carey Misc\2026 season misc analyses\GC 2026\"/>
    </mc:Choice>
  </mc:AlternateContent>
  <xr:revisionPtr revIDLastSave="0" documentId="8_{28940EB8-8E47-4CF8-B3B9-BA54CFEA37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erum CH4 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T17" i="1" l="1"/>
  <c r="AU17" i="1"/>
  <c r="AW17" i="1"/>
  <c r="AX17" i="1"/>
  <c r="AZ17" i="1"/>
  <c r="BA17" i="1"/>
  <c r="BC17" i="1"/>
  <c r="BD17" i="1"/>
  <c r="BF17" i="1"/>
  <c r="BG17" i="1"/>
  <c r="AT18" i="1"/>
  <c r="AU18" i="1"/>
  <c r="AW18" i="1"/>
  <c r="AX18" i="1"/>
  <c r="AZ18" i="1"/>
  <c r="BA18" i="1"/>
  <c r="BC18" i="1"/>
  <c r="BD18" i="1"/>
  <c r="BF18" i="1"/>
  <c r="BG18" i="1"/>
  <c r="AT19" i="1"/>
  <c r="AU19" i="1"/>
  <c r="AW19" i="1"/>
  <c r="AX19" i="1"/>
  <c r="AZ19" i="1"/>
  <c r="BA19" i="1"/>
  <c r="BC19" i="1"/>
  <c r="BD19" i="1"/>
  <c r="BF19" i="1"/>
  <c r="BG19" i="1"/>
  <c r="AT20" i="1"/>
  <c r="AU20" i="1"/>
  <c r="AW20" i="1"/>
  <c r="AX20" i="1"/>
  <c r="AZ20" i="1"/>
  <c r="BA20" i="1"/>
  <c r="BC20" i="1"/>
  <c r="BD20" i="1"/>
  <c r="BF20" i="1"/>
  <c r="BG20" i="1"/>
  <c r="AT21" i="1"/>
  <c r="AU21" i="1"/>
  <c r="AW21" i="1"/>
  <c r="AX21" i="1"/>
  <c r="AZ21" i="1"/>
  <c r="BA21" i="1"/>
  <c r="BC21" i="1"/>
  <c r="BD21" i="1"/>
  <c r="BF21" i="1"/>
  <c r="BG21" i="1"/>
  <c r="AT22" i="1"/>
  <c r="AU22" i="1"/>
  <c r="AW22" i="1"/>
  <c r="AX22" i="1"/>
  <c r="AZ22" i="1"/>
  <c r="BA22" i="1"/>
  <c r="BC22" i="1"/>
  <c r="BD22" i="1"/>
  <c r="BF22" i="1"/>
  <c r="BG22" i="1"/>
  <c r="AT23" i="1"/>
  <c r="AU23" i="1"/>
  <c r="AW23" i="1"/>
  <c r="AX23" i="1"/>
  <c r="AZ23" i="1"/>
  <c r="BA23" i="1"/>
  <c r="BC23" i="1"/>
  <c r="BD23" i="1"/>
  <c r="BF23" i="1"/>
  <c r="BG23" i="1"/>
  <c r="AT24" i="1"/>
  <c r="AU24" i="1"/>
  <c r="AW24" i="1"/>
  <c r="AX24" i="1"/>
  <c r="AZ24" i="1"/>
  <c r="BA24" i="1"/>
  <c r="BC24" i="1"/>
  <c r="BD24" i="1"/>
  <c r="BF24" i="1"/>
  <c r="BG24" i="1"/>
  <c r="AT25" i="1"/>
  <c r="AU25" i="1"/>
  <c r="AW25" i="1"/>
  <c r="AX25" i="1"/>
  <c r="AZ25" i="1"/>
  <c r="BA25" i="1"/>
  <c r="BC25" i="1"/>
  <c r="BD25" i="1"/>
  <c r="BF25" i="1"/>
  <c r="BG25" i="1"/>
  <c r="AT26" i="1"/>
  <c r="AU26" i="1"/>
  <c r="AW26" i="1"/>
  <c r="AX26" i="1"/>
  <c r="AZ26" i="1"/>
  <c r="BA26" i="1"/>
  <c r="BC26" i="1"/>
  <c r="BD26" i="1"/>
  <c r="BF26" i="1"/>
  <c r="BG26" i="1"/>
  <c r="AT27" i="1"/>
  <c r="AU27" i="1"/>
  <c r="AW27" i="1"/>
  <c r="AX27" i="1"/>
  <c r="AZ27" i="1"/>
  <c r="BA27" i="1"/>
  <c r="BC27" i="1"/>
  <c r="BD27" i="1"/>
  <c r="BF27" i="1"/>
  <c r="BG27" i="1"/>
  <c r="AT28" i="1"/>
  <c r="AU28" i="1"/>
  <c r="AW28" i="1"/>
  <c r="AX28" i="1"/>
  <c r="AZ28" i="1"/>
  <c r="BA28" i="1"/>
  <c r="BC28" i="1"/>
  <c r="BD28" i="1"/>
  <c r="BF28" i="1"/>
  <c r="BG28" i="1"/>
  <c r="AT29" i="1"/>
  <c r="AU29" i="1"/>
  <c r="AW29" i="1"/>
  <c r="AX29" i="1"/>
  <c r="AZ29" i="1"/>
  <c r="BA29" i="1"/>
  <c r="BC29" i="1"/>
  <c r="BD29" i="1"/>
  <c r="BF29" i="1"/>
  <c r="BG29" i="1"/>
  <c r="AT30" i="1"/>
  <c r="AU30" i="1"/>
  <c r="AW30" i="1"/>
  <c r="AX30" i="1"/>
  <c r="AZ30" i="1"/>
  <c r="BA30" i="1"/>
  <c r="BC30" i="1"/>
  <c r="BD30" i="1"/>
  <c r="BF30" i="1"/>
  <c r="BG30" i="1"/>
  <c r="AT31" i="1"/>
  <c r="AU31" i="1"/>
  <c r="AW31" i="1"/>
  <c r="AX31" i="1"/>
  <c r="AZ31" i="1"/>
  <c r="BA31" i="1"/>
  <c r="BC31" i="1"/>
  <c r="BD31" i="1"/>
  <c r="BF31" i="1"/>
  <c r="BG31" i="1"/>
  <c r="AT32" i="1"/>
  <c r="AU32" i="1"/>
  <c r="AW32" i="1"/>
  <c r="AX32" i="1"/>
  <c r="AZ32" i="1"/>
  <c r="BA32" i="1"/>
  <c r="BC32" i="1"/>
  <c r="BD32" i="1"/>
  <c r="BF32" i="1"/>
  <c r="BG32" i="1"/>
  <c r="AT33" i="1"/>
  <c r="AU33" i="1"/>
  <c r="AW33" i="1"/>
  <c r="AX33" i="1"/>
  <c r="AZ33" i="1"/>
  <c r="BA33" i="1"/>
  <c r="BC33" i="1"/>
  <c r="BD33" i="1"/>
  <c r="BF33" i="1"/>
  <c r="BG33" i="1"/>
  <c r="AT34" i="1"/>
  <c r="AU34" i="1"/>
  <c r="AW34" i="1"/>
  <c r="AX34" i="1"/>
  <c r="AZ34" i="1"/>
  <c r="BA34" i="1"/>
  <c r="BC34" i="1"/>
  <c r="BD34" i="1"/>
  <c r="BF34" i="1"/>
  <c r="BG34" i="1"/>
  <c r="AT35" i="1"/>
  <c r="AU35" i="1"/>
  <c r="AW35" i="1"/>
  <c r="AX35" i="1"/>
  <c r="AZ35" i="1"/>
  <c r="BA35" i="1"/>
  <c r="BC35" i="1"/>
  <c r="BD35" i="1"/>
  <c r="BF35" i="1"/>
  <c r="BG35" i="1"/>
  <c r="BG16" i="1"/>
  <c r="BF16" i="1"/>
  <c r="BG15" i="1"/>
  <c r="BF15" i="1"/>
  <c r="BG14" i="1"/>
  <c r="BF14" i="1"/>
  <c r="BG13" i="1"/>
  <c r="BF13" i="1"/>
  <c r="BG12" i="1"/>
  <c r="BF12" i="1"/>
  <c r="BG11" i="1"/>
  <c r="BF11" i="1"/>
  <c r="BG10" i="1"/>
  <c r="BF10" i="1"/>
  <c r="BG9" i="1"/>
  <c r="BF9" i="1"/>
  <c r="AT9" i="1"/>
  <c r="AU9" i="1"/>
  <c r="AT10" i="1"/>
  <c r="AU10" i="1"/>
  <c r="AT11" i="1"/>
  <c r="AU11" i="1"/>
  <c r="AT12" i="1"/>
  <c r="AU12" i="1"/>
  <c r="AT13" i="1"/>
  <c r="AU13" i="1"/>
  <c r="AT14" i="1"/>
  <c r="AU14" i="1"/>
  <c r="AT15" i="1"/>
  <c r="AU15" i="1"/>
  <c r="AT16" i="1"/>
  <c r="AU16" i="1"/>
  <c r="AW9" i="1"/>
  <c r="AX9" i="1"/>
  <c r="AZ9" i="1"/>
  <c r="BA9" i="1"/>
  <c r="AW10" i="1"/>
  <c r="AX10" i="1"/>
  <c r="AZ10" i="1"/>
  <c r="BA10" i="1"/>
  <c r="AW11" i="1"/>
  <c r="AX11" i="1"/>
  <c r="AZ11" i="1"/>
  <c r="BA11" i="1"/>
  <c r="AW12" i="1"/>
  <c r="AX12" i="1"/>
  <c r="AZ12" i="1"/>
  <c r="BA12" i="1"/>
  <c r="AW13" i="1"/>
  <c r="AX13" i="1"/>
  <c r="AZ13" i="1"/>
  <c r="BA13" i="1"/>
  <c r="AW14" i="1"/>
  <c r="AX14" i="1"/>
  <c r="AZ14" i="1"/>
  <c r="BA14" i="1"/>
  <c r="AW15" i="1"/>
  <c r="AX15" i="1"/>
  <c r="AZ15" i="1"/>
  <c r="BA15" i="1"/>
  <c r="AW16" i="1"/>
  <c r="AX16" i="1"/>
  <c r="AZ16" i="1"/>
  <c r="BA16" i="1"/>
  <c r="BC15" i="1"/>
  <c r="BD15" i="1"/>
  <c r="BC16" i="1"/>
  <c r="BD16" i="1"/>
  <c r="BC9" i="1" l="1"/>
  <c r="BD9" i="1"/>
  <c r="BC10" i="1"/>
  <c r="BD10" i="1"/>
  <c r="BC11" i="1"/>
  <c r="BD11" i="1"/>
  <c r="BC12" i="1"/>
  <c r="BD12" i="1"/>
  <c r="BC13" i="1"/>
  <c r="BD13" i="1"/>
  <c r="BC14" i="1"/>
  <c r="BD14" i="1"/>
</calcChain>
</file>

<file path=xl/sharedStrings.xml><?xml version="1.0" encoding="utf-8"?>
<sst xmlns="http://schemas.openxmlformats.org/spreadsheetml/2006/main" count="810" uniqueCount="63">
  <si>
    <t>Data#</t>
  </si>
  <si>
    <t>Data Filename</t>
  </si>
  <si>
    <t>Date Acquired</t>
  </si>
  <si>
    <t>Sample Name</t>
  </si>
  <si>
    <t>Sample Type</t>
  </si>
  <si>
    <t>Level#</t>
  </si>
  <si>
    <t>Ret. Time</t>
  </si>
  <si>
    <t>Area</t>
  </si>
  <si>
    <t>Conc. (ppt)</t>
  </si>
  <si>
    <t>Std. Conc.</t>
  </si>
  <si>
    <t>Cal. Point</t>
  </si>
  <si>
    <t>Accuracy[%]</t>
  </si>
  <si>
    <t>Deviation</t>
  </si>
  <si>
    <t>Unknown</t>
  </si>
  <si>
    <t>-----</t>
  </si>
  <si>
    <t>CH4 by FID</t>
  </si>
  <si>
    <t>CH4 by TCD</t>
  </si>
  <si>
    <t>CO2 by TCD</t>
  </si>
  <si>
    <t>Note</t>
  </si>
  <si>
    <t>Order</t>
  </si>
  <si>
    <t>Season specific CAL Measured headspace CO2 in ppm from GC in ppm</t>
  </si>
  <si>
    <t>AIR</t>
  </si>
  <si>
    <t>2023 ranged CAL Measured headspace CH4  in ppm from GC in ppm</t>
  </si>
  <si>
    <t>2023 CAL Measured headspace CO2 in ppm from GC in ppm</t>
  </si>
  <si>
    <t>Season specific ranged CAL Measured headspace CH4  in ppm from GC in ppm</t>
  </si>
  <si>
    <t>2024 ranged CAL Measured headspace CH4  in ppm from GC in ppm</t>
  </si>
  <si>
    <t>QC reference tank</t>
  </si>
  <si>
    <t>Analyst Data Quality Code (1=no problems, 2=note, 3=fatal flaws)</t>
  </si>
  <si>
    <t>2025 ranged CAL Measured headspace CH4  in ppm from GC in ppm</t>
  </si>
  <si>
    <t>2025 CAL Measured headspace CO2 in ppm from GC in ppm</t>
  </si>
  <si>
    <t>2024 CAL Measured headspace CO2 in ppm from GC in ppm</t>
  </si>
  <si>
    <t>QC outside air</t>
  </si>
  <si>
    <t>QC spiked air</t>
  </si>
  <si>
    <t>2026 ranged CAL Measured headspace CH4  in ppm from GC in ppm</t>
  </si>
  <si>
    <t>2026 CAL Measured headspace CO2 in ppm from GC in ppm</t>
  </si>
  <si>
    <t>FMI20260512_001.gcd</t>
  </si>
  <si>
    <t>FMI20260512_002.gcd</t>
  </si>
  <si>
    <t>FMI20260512_003.gcd</t>
  </si>
  <si>
    <t>FMI20260512_004.gcd</t>
  </si>
  <si>
    <t>FMI20260512_005.gcd</t>
  </si>
  <si>
    <t>FMI20260512_006.gcd</t>
  </si>
  <si>
    <t>FMI20260512_007.gcd</t>
  </si>
  <si>
    <t>FMI20260512_008.gcd</t>
  </si>
  <si>
    <t>FMI20260512_009.gcd</t>
  </si>
  <si>
    <t>FMI20260512_010.gcd</t>
  </si>
  <si>
    <t>FMI20260512_011.gcd</t>
  </si>
  <si>
    <t>FMI20260512_012.gcd</t>
  </si>
  <si>
    <t>FMI20260512_013.gcd</t>
  </si>
  <si>
    <t>FMI20260512_014.gcd</t>
  </si>
  <si>
    <t>FMI20260512_015.gcd</t>
  </si>
  <si>
    <t>FMI20260512_016.gcd</t>
  </si>
  <si>
    <t>FMI20260512_017.gcd</t>
  </si>
  <si>
    <t>FMI20260512_018.gcd</t>
  </si>
  <si>
    <t>FMI20260512_019.gcd</t>
  </si>
  <si>
    <t>FMI20260512_020.gcd</t>
  </si>
  <si>
    <t>FMI20260512_021.gcd</t>
  </si>
  <si>
    <t>FMI20260512_022.gcd</t>
  </si>
  <si>
    <t>FMI20260512_023.gcd</t>
  </si>
  <si>
    <t>FMI20260512_024.gcd</t>
  </si>
  <si>
    <t>FMI20260512_025.gcd</t>
  </si>
  <si>
    <t>FMI20260512_026.gcd</t>
  </si>
  <si>
    <t>FMI20260512_027.gcd</t>
  </si>
  <si>
    <t>re-crimped loose cap when adding headspace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</si>
</sst>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trike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9999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8">
    <xf numFmtId="0" fontId="0" fillId="0" borderId="0" xfId="0"/>
    <xf numFmtId="14" fontId="0" fillId="0" borderId="0" xfId="0" applyNumberFormat="1"/>
    <xf numFmtId="22" fontId="0" fillId="0" borderId="0" xfId="0" applyNumberFormat="1"/>
    <xf numFmtId="3" fontId="0" fillId="0" borderId="0" xfId="0" applyNumberFormat="1"/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18" fillId="0" borderId="0" xfId="0" applyFont="1" applyFill="1" applyAlignment="1">
      <alignment wrapText="1"/>
    </xf>
    <xf numFmtId="0" fontId="0" fillId="0" borderId="0" xfId="0" applyFill="1"/>
    <xf numFmtId="0" fontId="0" fillId="0" borderId="0" xfId="0" applyAlignment="1"/>
    <xf numFmtId="2" fontId="0" fillId="33" borderId="0" xfId="0" applyNumberFormat="1" applyFill="1"/>
    <xf numFmtId="3" fontId="0" fillId="33" borderId="0" xfId="0" applyNumberFormat="1" applyFill="1"/>
    <xf numFmtId="2" fontId="0" fillId="34" borderId="0" xfId="0" applyNumberFormat="1" applyFill="1"/>
    <xf numFmtId="3" fontId="0" fillId="34" borderId="0" xfId="0" applyNumberFormat="1" applyFill="1"/>
    <xf numFmtId="4" fontId="0" fillId="0" borderId="0" xfId="0" applyNumberFormat="1"/>
    <xf numFmtId="2" fontId="0" fillId="35" borderId="0" xfId="0" applyNumberFormat="1" applyFill="1"/>
    <xf numFmtId="3" fontId="0" fillId="35" borderId="0" xfId="0" applyNumberFormat="1" applyFill="1"/>
    <xf numFmtId="2" fontId="0" fillId="36" borderId="0" xfId="0" applyNumberFormat="1" applyFill="1"/>
    <xf numFmtId="3" fontId="0" fillId="36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9999FF"/>
      <color rgb="FFCC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7:BU43"/>
  <sheetViews>
    <sheetView tabSelected="1" topLeftCell="AC8" workbookViewId="0">
      <selection activeCell="AR27" sqref="AR27"/>
    </sheetView>
  </sheetViews>
  <sheetFormatPr defaultRowHeight="15" x14ac:dyDescent="0.25"/>
  <cols>
    <col min="2" max="2" width="23.5703125" customWidth="1"/>
    <col min="3" max="3" width="17.85546875" customWidth="1"/>
    <col min="31" max="31" width="21.42578125" customWidth="1"/>
    <col min="43" max="43" width="9.7109375" customWidth="1"/>
    <col min="46" max="47" width="10.140625" customWidth="1"/>
    <col min="49" max="50" width="10.140625" customWidth="1"/>
    <col min="52" max="53" width="10.140625" customWidth="1"/>
    <col min="54" max="54" width="8.7109375" style="7"/>
    <col min="55" max="56" width="10.140625" customWidth="1"/>
    <col min="58" max="59" width="10.140625" customWidth="1"/>
  </cols>
  <sheetData>
    <row r="7" spans="1:73" x14ac:dyDescent="0.25">
      <c r="A7" t="s">
        <v>15</v>
      </c>
      <c r="O7" t="s">
        <v>16</v>
      </c>
      <c r="AC7" t="s">
        <v>17</v>
      </c>
      <c r="BI7" t="s">
        <v>21</v>
      </c>
    </row>
    <row r="8" spans="1:73" ht="135" x14ac:dyDescent="0.25">
      <c r="A8" s="1" t="s">
        <v>0</v>
      </c>
      <c r="B8" t="s">
        <v>1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7</v>
      </c>
      <c r="I8" t="s">
        <v>8</v>
      </c>
      <c r="J8" t="s">
        <v>9</v>
      </c>
      <c r="K8" t="s">
        <v>10</v>
      </c>
      <c r="L8" t="s">
        <v>11</v>
      </c>
      <c r="M8" t="s">
        <v>12</v>
      </c>
      <c r="O8" s="2" t="s">
        <v>0</v>
      </c>
      <c r="P8" t="s">
        <v>1</v>
      </c>
      <c r="Q8" t="s">
        <v>2</v>
      </c>
      <c r="R8" t="s">
        <v>3</v>
      </c>
      <c r="S8" t="s">
        <v>4</v>
      </c>
      <c r="T8" t="s">
        <v>5</v>
      </c>
      <c r="U8" t="s">
        <v>6</v>
      </c>
      <c r="V8" t="s">
        <v>7</v>
      </c>
      <c r="W8" t="s">
        <v>8</v>
      </c>
      <c r="X8" t="s">
        <v>9</v>
      </c>
      <c r="Y8" t="s">
        <v>10</v>
      </c>
      <c r="Z8" t="s">
        <v>11</v>
      </c>
      <c r="AA8" t="s">
        <v>12</v>
      </c>
      <c r="AC8" t="s">
        <v>0</v>
      </c>
      <c r="AD8" t="s">
        <v>1</v>
      </c>
      <c r="AE8" t="s">
        <v>2</v>
      </c>
      <c r="AF8" t="s">
        <v>3</v>
      </c>
      <c r="AG8" t="s">
        <v>4</v>
      </c>
      <c r="AH8" t="s">
        <v>5</v>
      </c>
      <c r="AI8" t="s">
        <v>6</v>
      </c>
      <c r="AJ8" t="s">
        <v>7</v>
      </c>
      <c r="AK8" t="s">
        <v>8</v>
      </c>
      <c r="AL8" t="s">
        <v>9</v>
      </c>
      <c r="AM8" t="s">
        <v>10</v>
      </c>
      <c r="AN8" t="s">
        <v>11</v>
      </c>
      <c r="AO8" t="s">
        <v>12</v>
      </c>
      <c r="AQ8" s="4" t="s">
        <v>27</v>
      </c>
      <c r="AR8" s="4" t="s">
        <v>18</v>
      </c>
      <c r="AS8" t="s">
        <v>19</v>
      </c>
      <c r="AT8" s="5" t="s">
        <v>24</v>
      </c>
      <c r="AU8" s="5" t="s">
        <v>20</v>
      </c>
      <c r="AV8" s="5"/>
      <c r="AW8" s="5" t="s">
        <v>22</v>
      </c>
      <c r="AX8" s="5" t="s">
        <v>23</v>
      </c>
      <c r="AZ8" s="5" t="s">
        <v>25</v>
      </c>
      <c r="BA8" s="5" t="s">
        <v>30</v>
      </c>
      <c r="BB8" s="6"/>
      <c r="BC8" s="5" t="s">
        <v>28</v>
      </c>
      <c r="BD8" s="5" t="s">
        <v>29</v>
      </c>
      <c r="BE8" s="5"/>
      <c r="BF8" s="5" t="s">
        <v>33</v>
      </c>
      <c r="BG8" s="5" t="s">
        <v>34</v>
      </c>
      <c r="BH8" s="5"/>
      <c r="BI8" s="6" t="s">
        <v>0</v>
      </c>
      <c r="BJ8" t="s">
        <v>1</v>
      </c>
      <c r="BK8" t="s">
        <v>2</v>
      </c>
      <c r="BL8" t="s">
        <v>3</v>
      </c>
      <c r="BM8" t="s">
        <v>4</v>
      </c>
      <c r="BN8" t="s">
        <v>5</v>
      </c>
      <c r="BO8" t="s">
        <v>6</v>
      </c>
      <c r="BP8" t="s">
        <v>7</v>
      </c>
      <c r="BQ8" t="s">
        <v>8</v>
      </c>
      <c r="BR8" t="s">
        <v>9</v>
      </c>
      <c r="BS8" t="s">
        <v>10</v>
      </c>
      <c r="BT8" t="s">
        <v>11</v>
      </c>
      <c r="BU8" t="s">
        <v>12</v>
      </c>
    </row>
    <row r="9" spans="1:73" x14ac:dyDescent="0.25">
      <c r="A9">
        <v>45</v>
      </c>
      <c r="B9" t="s">
        <v>35</v>
      </c>
      <c r="C9" s="2">
        <v>46154.613668981481</v>
      </c>
      <c r="D9" t="s">
        <v>31</v>
      </c>
      <c r="E9" t="s">
        <v>13</v>
      </c>
      <c r="F9">
        <v>0</v>
      </c>
      <c r="G9">
        <v>6.101</v>
      </c>
      <c r="H9" s="3">
        <v>1605</v>
      </c>
      <c r="I9">
        <v>3.0000000000000001E-3</v>
      </c>
      <c r="J9" t="s">
        <v>14</v>
      </c>
      <c r="K9" t="s">
        <v>14</v>
      </c>
      <c r="L9" t="s">
        <v>14</v>
      </c>
      <c r="M9" t="s">
        <v>14</v>
      </c>
      <c r="O9">
        <v>45</v>
      </c>
      <c r="P9" t="s">
        <v>35</v>
      </c>
      <c r="Q9" s="2">
        <v>46154.613668981481</v>
      </c>
      <c r="R9" t="s">
        <v>31</v>
      </c>
      <c r="S9" t="s">
        <v>13</v>
      </c>
      <c r="T9">
        <v>0</v>
      </c>
      <c r="U9" t="s">
        <v>14</v>
      </c>
      <c r="V9" t="s">
        <v>14</v>
      </c>
      <c r="W9" t="s">
        <v>14</v>
      </c>
      <c r="X9" t="s">
        <v>14</v>
      </c>
      <c r="Y9" t="s">
        <v>14</v>
      </c>
      <c r="Z9" t="s">
        <v>14</v>
      </c>
      <c r="AA9" t="s">
        <v>14</v>
      </c>
      <c r="AC9">
        <v>45</v>
      </c>
      <c r="AD9" t="s">
        <v>35</v>
      </c>
      <c r="AE9" s="2">
        <v>46154.613668981481</v>
      </c>
      <c r="AF9" t="s">
        <v>31</v>
      </c>
      <c r="AG9" t="s">
        <v>13</v>
      </c>
      <c r="AH9">
        <v>0</v>
      </c>
      <c r="AI9">
        <v>12.391</v>
      </c>
      <c r="AJ9" s="3">
        <v>2265</v>
      </c>
      <c r="AK9">
        <v>0.47899999999999998</v>
      </c>
      <c r="AL9" t="s">
        <v>14</v>
      </c>
      <c r="AM9" t="s">
        <v>14</v>
      </c>
      <c r="AN9" t="s">
        <v>14</v>
      </c>
      <c r="AO9" t="s">
        <v>14</v>
      </c>
      <c r="AQ9">
        <v>1</v>
      </c>
      <c r="AS9" s="8">
        <v>45</v>
      </c>
      <c r="AT9" s="16">
        <f t="shared" ref="AT9:AT35" si="0">IF($H9&lt;10000,(($H9^2*-0.000000003714)+($H9*0.002605)+(1.389)),(IF($H9&lt;200000,(($H9^2*-0.0000000003764)+($H9*0.00218)+(3.158)),(IF($H9&lt;8000000,(($H9^2*-0.000000000004719)+($H9*0.001816)+(146.1)),(($V9^2*0.000000002578)+($V9*0.2173)+(2294)))))))</f>
        <v>5.5604576431500004</v>
      </c>
      <c r="AU9" s="17">
        <f t="shared" ref="AU9:AU35" si="1">IF($AJ9&lt;45000,((0.00000003579*$AJ9^2)+(0.1857*$AJ9)+(44.75)),((0.0000000022829*$AJ9^2)+(0.1634*$AJ9)+(1620)))</f>
        <v>465.54411075274999</v>
      </c>
      <c r="AW9" s="9">
        <f t="shared" ref="AW9:AW14" si="2">IF(H9&lt;10000,((H9^2*0.00000054)+(H9*-0.004765)+(12.72)),(IF(H9&lt;200000,((H9^2*-0.000000001577)+(H9*0.003043)+(-10.42)),(IF(H9&lt;8000000,((H9^2*-0.0000000000186)+(H9*0.00194)+(154.1)),((V9^2*-0.00000002)+(V9*0.2565)+(-1032)))))))</f>
        <v>6.4632285000000005</v>
      </c>
      <c r="AX9" s="10">
        <f t="shared" ref="AX9:AX14" si="3">IF(AJ9&lt;45000,((-0.0000004561*AJ9^2)+(0.244*AJ9)+(-21.72)),((-0.0000000409*AJ9^2)+(0.2477*AJ9)+(-1777)))</f>
        <v>528.60010437749997</v>
      </c>
      <c r="AZ9" s="11">
        <f t="shared" ref="AZ9:AZ14" si="4">IF(H9&lt;10000,((H9^2*0.00000005714)+(H9*0.002453)+(-3.811)),(IF(H9&lt;200000,((H9^2*-0.0000000002888)+(H9*0.002899)+(-4.321)),(IF(H9&lt;8000000,((H9^2*-0.0000000000062)+(H9*0.002143)+(157)),((V9^2*-0.000000031)+(V9*0.2771)+(-709.5)))))))</f>
        <v>0.27325906849999981</v>
      </c>
      <c r="BA9" s="12">
        <f t="shared" ref="BA9:BA14" si="5">IF(AJ9&lt;45000,((-0.0000000598*AJ9^2)+(0.205*AJ9)+(34.1)),((-0.00000002403*AJ9^2)+(0.2063*AJ9)+(-550.7)))</f>
        <v>498.11821254500001</v>
      </c>
      <c r="BC9" s="14">
        <f t="shared" ref="BC9:BC14" si="6">IF(H9&lt;10000,((H9^2*0.000000008493)+(H9*0.003482)+(-3.269)),(IF(H9&lt;200000,((H9^2*-0.000000000263)+(H9*0.002682)+(3.179)),(IF(H9&lt;8000000,((H9^2*-0.000000000005099)+(H9*0.002054)+(174.8)),((V9^2*-0.00000001014)+(V9*0.2415)+(1123)))))))</f>
        <v>2.3414881803250003</v>
      </c>
      <c r="BD9" s="15">
        <f t="shared" ref="BD9:BD14" si="7">IF(AJ9&lt;45000,((-0.00000004907*AJ9^2)+(0.2277*AJ9)+(-134)),((-0.00000001062*AJ9^2)+(0.2147*AJ9)+(590.6)))</f>
        <v>381.48875985924997</v>
      </c>
      <c r="BF9" s="16">
        <f t="shared" ref="BF9:BF35" si="8">IF($H9&lt;10000,(($H9^2*-0.000000003714)+($H9*0.002605)+(1.389)),(IF($H9&lt;200000,(($H9^2*-0.0000000003764)+($H9*0.00218)+(3.158)),(IF($H9&lt;8000000,(($H9^2*-0.000000000004719)+($H9*0.001816)+(146.1)),(($V9^2*0.000000002578)+($V9*0.2173)+(2294)))))))</f>
        <v>5.5604576431500004</v>
      </c>
      <c r="BG9" s="17">
        <f t="shared" ref="BG9:BG35" si="9">IF($AJ9&lt;45000,((0.00000003579*$AJ9^2)+(0.1857*$AJ9)+(44.75)),((0.0000000022829*$AJ9^2)+(0.1634*$AJ9)+(1620)))</f>
        <v>465.54411075274999</v>
      </c>
      <c r="BI9">
        <v>45</v>
      </c>
      <c r="BJ9" t="s">
        <v>35</v>
      </c>
      <c r="BK9" s="2">
        <v>46154.613668981481</v>
      </c>
      <c r="BL9" t="s">
        <v>31</v>
      </c>
      <c r="BM9" t="s">
        <v>13</v>
      </c>
      <c r="BN9">
        <v>0</v>
      </c>
      <c r="BO9">
        <v>2.7250000000000001</v>
      </c>
      <c r="BP9" s="3">
        <v>5193609</v>
      </c>
      <c r="BQ9">
        <v>0</v>
      </c>
      <c r="BR9" t="s">
        <v>14</v>
      </c>
      <c r="BS9" t="s">
        <v>14</v>
      </c>
      <c r="BT9" t="s">
        <v>14</v>
      </c>
      <c r="BU9" t="s">
        <v>14</v>
      </c>
    </row>
    <row r="10" spans="1:73" x14ac:dyDescent="0.25">
      <c r="A10">
        <v>46</v>
      </c>
      <c r="B10" t="s">
        <v>36</v>
      </c>
      <c r="C10" s="2">
        <v>46154.634872685187</v>
      </c>
      <c r="D10" t="s">
        <v>32</v>
      </c>
      <c r="E10" t="s">
        <v>13</v>
      </c>
      <c r="F10">
        <v>0</v>
      </c>
      <c r="G10">
        <v>6.0579999999999998</v>
      </c>
      <c r="H10" s="3">
        <v>1175174</v>
      </c>
      <c r="I10">
        <v>2.391</v>
      </c>
      <c r="J10" t="s">
        <v>14</v>
      </c>
      <c r="K10" t="s">
        <v>14</v>
      </c>
      <c r="L10" t="s">
        <v>14</v>
      </c>
      <c r="M10" t="s">
        <v>14</v>
      </c>
      <c r="O10">
        <v>46</v>
      </c>
      <c r="P10" t="s">
        <v>36</v>
      </c>
      <c r="Q10" s="2">
        <v>46154.634872685187</v>
      </c>
      <c r="R10" t="s">
        <v>32</v>
      </c>
      <c r="S10" t="s">
        <v>13</v>
      </c>
      <c r="T10">
        <v>0</v>
      </c>
      <c r="U10">
        <v>6.0129999999999999</v>
      </c>
      <c r="V10" s="3">
        <v>9141</v>
      </c>
      <c r="W10">
        <v>2.2320000000000002</v>
      </c>
      <c r="X10" t="s">
        <v>14</v>
      </c>
      <c r="Y10" t="s">
        <v>14</v>
      </c>
      <c r="Z10" t="s">
        <v>14</v>
      </c>
      <c r="AA10" t="s">
        <v>14</v>
      </c>
      <c r="AC10">
        <v>46</v>
      </c>
      <c r="AD10" t="s">
        <v>36</v>
      </c>
      <c r="AE10" s="2">
        <v>46154.634872685187</v>
      </c>
      <c r="AF10" t="s">
        <v>32</v>
      </c>
      <c r="AG10" t="s">
        <v>13</v>
      </c>
      <c r="AH10">
        <v>0</v>
      </c>
      <c r="AI10">
        <v>12.363</v>
      </c>
      <c r="AJ10" s="3">
        <v>8687</v>
      </c>
      <c r="AK10">
        <v>1.577</v>
      </c>
      <c r="AL10" t="s">
        <v>14</v>
      </c>
      <c r="AM10" t="s">
        <v>14</v>
      </c>
      <c r="AN10" t="s">
        <v>14</v>
      </c>
      <c r="AO10" t="s">
        <v>14</v>
      </c>
      <c r="AQ10">
        <v>1</v>
      </c>
      <c r="AS10" s="8">
        <v>46</v>
      </c>
      <c r="AT10" s="16">
        <f t="shared" si="0"/>
        <v>2273.6988848830274</v>
      </c>
      <c r="AU10" s="17">
        <f t="shared" si="1"/>
        <v>1660.62675545051</v>
      </c>
      <c r="AW10" s="9">
        <f t="shared" si="2"/>
        <v>2408.2503288968664</v>
      </c>
      <c r="AX10" s="10">
        <f t="shared" si="3"/>
        <v>2063.4888837391004</v>
      </c>
      <c r="AZ10" s="11">
        <f t="shared" si="4"/>
        <v>2666.8354716322888</v>
      </c>
      <c r="BA10" s="12">
        <f t="shared" si="5"/>
        <v>1810.4222546537997</v>
      </c>
      <c r="BC10" s="14">
        <f t="shared" si="6"/>
        <v>2581.5655039895228</v>
      </c>
      <c r="BD10" s="15">
        <f t="shared" si="7"/>
        <v>1840.3268830411703</v>
      </c>
      <c r="BF10" s="16">
        <f t="shared" si="8"/>
        <v>2273.6988848830274</v>
      </c>
      <c r="BG10" s="17">
        <f t="shared" si="9"/>
        <v>1660.62675545051</v>
      </c>
      <c r="BI10">
        <v>46</v>
      </c>
      <c r="BJ10" t="s">
        <v>36</v>
      </c>
      <c r="BK10" s="2">
        <v>46154.634872685187</v>
      </c>
      <c r="BL10" t="s">
        <v>32</v>
      </c>
      <c r="BM10" t="s">
        <v>13</v>
      </c>
      <c r="BN10">
        <v>0</v>
      </c>
      <c r="BO10">
        <v>2.7250000000000001</v>
      </c>
      <c r="BP10" s="3">
        <v>5233495</v>
      </c>
      <c r="BQ10">
        <v>0</v>
      </c>
      <c r="BR10" t="s">
        <v>14</v>
      </c>
      <c r="BS10" t="s">
        <v>14</v>
      </c>
      <c r="BT10" t="s">
        <v>14</v>
      </c>
      <c r="BU10" t="s">
        <v>14</v>
      </c>
    </row>
    <row r="11" spans="1:73" x14ac:dyDescent="0.25">
      <c r="A11">
        <v>47</v>
      </c>
      <c r="B11" t="s">
        <v>37</v>
      </c>
      <c r="C11" s="2">
        <v>46154.656076388892</v>
      </c>
      <c r="D11" t="s">
        <v>26</v>
      </c>
      <c r="E11" t="s">
        <v>13</v>
      </c>
      <c r="F11">
        <v>0</v>
      </c>
      <c r="G11">
        <v>6.085</v>
      </c>
      <c r="H11" s="3">
        <v>2775</v>
      </c>
      <c r="I11">
        <v>6.0000000000000001E-3</v>
      </c>
      <c r="J11" t="s">
        <v>14</v>
      </c>
      <c r="K11" t="s">
        <v>14</v>
      </c>
      <c r="L11" t="s">
        <v>14</v>
      </c>
      <c r="M11" t="s">
        <v>14</v>
      </c>
      <c r="O11">
        <v>47</v>
      </c>
      <c r="P11" t="s">
        <v>37</v>
      </c>
      <c r="Q11" s="2">
        <v>46154.656076388892</v>
      </c>
      <c r="R11" t="s">
        <v>26</v>
      </c>
      <c r="S11" t="s">
        <v>13</v>
      </c>
      <c r="T11">
        <v>0</v>
      </c>
      <c r="U11" t="s">
        <v>14</v>
      </c>
      <c r="V11" t="s">
        <v>14</v>
      </c>
      <c r="W11" t="s">
        <v>14</v>
      </c>
      <c r="X11" t="s">
        <v>14</v>
      </c>
      <c r="Y11" t="s">
        <v>14</v>
      </c>
      <c r="Z11" t="s">
        <v>14</v>
      </c>
      <c r="AA11" t="s">
        <v>14</v>
      </c>
      <c r="AC11">
        <v>47</v>
      </c>
      <c r="AD11" t="s">
        <v>37</v>
      </c>
      <c r="AE11" s="2">
        <v>46154.656076388892</v>
      </c>
      <c r="AF11" t="s">
        <v>26</v>
      </c>
      <c r="AG11" t="s">
        <v>13</v>
      </c>
      <c r="AH11">
        <v>0</v>
      </c>
      <c r="AI11">
        <v>12.375999999999999</v>
      </c>
      <c r="AJ11" s="3">
        <v>1614</v>
      </c>
      <c r="AK11">
        <v>0.36799999999999999</v>
      </c>
      <c r="AL11" t="s">
        <v>14</v>
      </c>
      <c r="AM11" t="s">
        <v>14</v>
      </c>
      <c r="AN11" t="s">
        <v>14</v>
      </c>
      <c r="AO11" t="s">
        <v>14</v>
      </c>
      <c r="AQ11">
        <v>1</v>
      </c>
      <c r="AS11" s="8">
        <v>47</v>
      </c>
      <c r="AT11" s="16">
        <f t="shared" si="0"/>
        <v>8.5892748787500004</v>
      </c>
      <c r="AU11" s="17">
        <f t="shared" si="1"/>
        <v>344.56303280684</v>
      </c>
      <c r="AW11" s="9">
        <f t="shared" si="2"/>
        <v>3.6554625000000005</v>
      </c>
      <c r="AX11" s="10">
        <f t="shared" si="3"/>
        <v>370.90786132439996</v>
      </c>
      <c r="AZ11" s="11">
        <f t="shared" si="4"/>
        <v>3.4360887124999993</v>
      </c>
      <c r="BA11" s="12">
        <f t="shared" si="5"/>
        <v>364.81422123920004</v>
      </c>
      <c r="BC11" s="14">
        <f t="shared" si="6"/>
        <v>6.4589514081249995</v>
      </c>
      <c r="BD11" s="15">
        <f t="shared" si="7"/>
        <v>233.37997284628005</v>
      </c>
      <c r="BF11" s="16">
        <f t="shared" si="8"/>
        <v>8.5892748787500004</v>
      </c>
      <c r="BG11" s="17">
        <f t="shared" si="9"/>
        <v>344.56303280684</v>
      </c>
      <c r="BI11">
        <v>47</v>
      </c>
      <c r="BJ11" t="s">
        <v>37</v>
      </c>
      <c r="BK11" s="2">
        <v>46154.656076388892</v>
      </c>
      <c r="BL11" t="s">
        <v>26</v>
      </c>
      <c r="BM11" t="s">
        <v>13</v>
      </c>
      <c r="BN11">
        <v>0</v>
      </c>
      <c r="BO11">
        <v>2.7360000000000002</v>
      </c>
      <c r="BP11" s="3">
        <v>5208234</v>
      </c>
      <c r="BQ11">
        <v>0</v>
      </c>
      <c r="BR11" t="s">
        <v>14</v>
      </c>
      <c r="BS11" t="s">
        <v>14</v>
      </c>
      <c r="BT11" t="s">
        <v>14</v>
      </c>
      <c r="BU11" t="s">
        <v>14</v>
      </c>
    </row>
    <row r="12" spans="1:73" x14ac:dyDescent="0.25">
      <c r="A12">
        <v>48</v>
      </c>
      <c r="B12" t="s">
        <v>38</v>
      </c>
      <c r="C12" s="2">
        <v>46154.677303240744</v>
      </c>
      <c r="D12">
        <v>31</v>
      </c>
      <c r="E12" t="s">
        <v>13</v>
      </c>
      <c r="F12">
        <v>0</v>
      </c>
      <c r="G12">
        <v>6.07</v>
      </c>
      <c r="H12" s="3">
        <v>11449</v>
      </c>
      <c r="I12">
        <v>2.3E-2</v>
      </c>
      <c r="J12" t="s">
        <v>14</v>
      </c>
      <c r="K12" t="s">
        <v>14</v>
      </c>
      <c r="L12" t="s">
        <v>14</v>
      </c>
      <c r="M12" t="s">
        <v>14</v>
      </c>
      <c r="O12">
        <v>48</v>
      </c>
      <c r="P12" t="s">
        <v>38</v>
      </c>
      <c r="Q12" s="2">
        <v>46154.677303240744</v>
      </c>
      <c r="R12">
        <v>31</v>
      </c>
      <c r="S12" t="s">
        <v>13</v>
      </c>
      <c r="T12">
        <v>0</v>
      </c>
      <c r="U12" t="s">
        <v>14</v>
      </c>
      <c r="V12" s="3" t="s">
        <v>14</v>
      </c>
      <c r="W12" t="s">
        <v>14</v>
      </c>
      <c r="X12" t="s">
        <v>14</v>
      </c>
      <c r="Y12" t="s">
        <v>14</v>
      </c>
      <c r="Z12" t="s">
        <v>14</v>
      </c>
      <c r="AA12" t="s">
        <v>14</v>
      </c>
      <c r="AC12">
        <v>48</v>
      </c>
      <c r="AD12" t="s">
        <v>38</v>
      </c>
      <c r="AE12" s="2">
        <v>46154.677303240744</v>
      </c>
      <c r="AF12">
        <v>31</v>
      </c>
      <c r="AG12" t="s">
        <v>13</v>
      </c>
      <c r="AH12">
        <v>0</v>
      </c>
      <c r="AI12">
        <v>12.34</v>
      </c>
      <c r="AJ12" s="3">
        <v>9567</v>
      </c>
      <c r="AK12">
        <v>1.7270000000000001</v>
      </c>
      <c r="AL12" t="s">
        <v>14</v>
      </c>
      <c r="AM12" t="s">
        <v>14</v>
      </c>
      <c r="AN12" t="s">
        <v>14</v>
      </c>
      <c r="AO12" t="s">
        <v>14</v>
      </c>
      <c r="AQ12">
        <v>1</v>
      </c>
      <c r="AS12" s="8">
        <v>48</v>
      </c>
      <c r="AT12" s="16">
        <f t="shared" si="0"/>
        <v>28.067481638183601</v>
      </c>
      <c r="AU12" s="17">
        <f t="shared" si="1"/>
        <v>1824.6176688313101</v>
      </c>
      <c r="AW12" s="9">
        <f t="shared" si="2"/>
        <v>24.212594469222999</v>
      </c>
      <c r="AX12" s="10">
        <f t="shared" si="3"/>
        <v>2270.8823122671001</v>
      </c>
      <c r="AZ12" s="11">
        <f t="shared" si="4"/>
        <v>28.831795211231203</v>
      </c>
      <c r="BA12" s="12">
        <f t="shared" si="5"/>
        <v>1989.8616561577999</v>
      </c>
      <c r="BC12" s="14">
        <f t="shared" si="6"/>
        <v>33.850744064936997</v>
      </c>
      <c r="BD12" s="15">
        <f t="shared" si="7"/>
        <v>2039.9146461147702</v>
      </c>
      <c r="BF12" s="16">
        <f t="shared" si="8"/>
        <v>28.067481638183601</v>
      </c>
      <c r="BG12" s="17">
        <f t="shared" si="9"/>
        <v>1824.6176688313101</v>
      </c>
      <c r="BI12">
        <v>48</v>
      </c>
      <c r="BJ12" t="s">
        <v>38</v>
      </c>
      <c r="BK12" s="2">
        <v>46154.677303240744</v>
      </c>
      <c r="BL12">
        <v>31</v>
      </c>
      <c r="BM12" t="s">
        <v>13</v>
      </c>
      <c r="BN12">
        <v>0</v>
      </c>
      <c r="BO12">
        <v>2.907</v>
      </c>
      <c r="BP12" s="3">
        <v>512979</v>
      </c>
      <c r="BQ12">
        <v>0</v>
      </c>
      <c r="BR12" t="s">
        <v>14</v>
      </c>
      <c r="BS12" t="s">
        <v>14</v>
      </c>
      <c r="BT12" t="s">
        <v>14</v>
      </c>
      <c r="BU12" t="s">
        <v>14</v>
      </c>
    </row>
    <row r="13" spans="1:73" x14ac:dyDescent="0.25">
      <c r="A13">
        <v>49</v>
      </c>
      <c r="B13" t="s">
        <v>39</v>
      </c>
      <c r="C13" s="2">
        <v>46154.698506944442</v>
      </c>
      <c r="D13">
        <v>161</v>
      </c>
      <c r="E13" t="s">
        <v>13</v>
      </c>
      <c r="F13">
        <v>0</v>
      </c>
      <c r="G13">
        <v>6.0640000000000001</v>
      </c>
      <c r="H13" s="3">
        <v>3741</v>
      </c>
      <c r="I13">
        <v>8.0000000000000002E-3</v>
      </c>
      <c r="J13" t="s">
        <v>14</v>
      </c>
      <c r="K13" t="s">
        <v>14</v>
      </c>
      <c r="L13" t="s">
        <v>14</v>
      </c>
      <c r="M13" t="s">
        <v>14</v>
      </c>
      <c r="O13">
        <v>49</v>
      </c>
      <c r="P13" t="s">
        <v>39</v>
      </c>
      <c r="Q13" s="2">
        <v>46154.698506944442</v>
      </c>
      <c r="R13">
        <v>161</v>
      </c>
      <c r="S13" t="s">
        <v>13</v>
      </c>
      <c r="T13">
        <v>0</v>
      </c>
      <c r="U13" t="s">
        <v>14</v>
      </c>
      <c r="V13" s="3" t="s">
        <v>14</v>
      </c>
      <c r="W13" t="s">
        <v>14</v>
      </c>
      <c r="X13" t="s">
        <v>14</v>
      </c>
      <c r="Y13" t="s">
        <v>14</v>
      </c>
      <c r="Z13" t="s">
        <v>14</v>
      </c>
      <c r="AA13" t="s">
        <v>14</v>
      </c>
      <c r="AC13">
        <v>49</v>
      </c>
      <c r="AD13" t="s">
        <v>39</v>
      </c>
      <c r="AE13" s="2">
        <v>46154.698506944442</v>
      </c>
      <c r="AF13">
        <v>161</v>
      </c>
      <c r="AG13" t="s">
        <v>13</v>
      </c>
      <c r="AH13">
        <v>0</v>
      </c>
      <c r="AI13">
        <v>12.342000000000001</v>
      </c>
      <c r="AJ13" s="3">
        <v>7553</v>
      </c>
      <c r="AK13">
        <v>1.383</v>
      </c>
      <c r="AL13" t="s">
        <v>14</v>
      </c>
      <c r="AM13" t="s">
        <v>14</v>
      </c>
      <c r="AN13" t="s">
        <v>14</v>
      </c>
      <c r="AO13" t="s">
        <v>14</v>
      </c>
      <c r="AQ13">
        <v>1</v>
      </c>
      <c r="AS13" s="8">
        <v>49</v>
      </c>
      <c r="AT13" s="16">
        <f t="shared" si="0"/>
        <v>11.082327269165999</v>
      </c>
      <c r="AU13" s="17">
        <f t="shared" si="1"/>
        <v>1449.3838410841101</v>
      </c>
      <c r="AW13" s="9">
        <f t="shared" si="2"/>
        <v>2.4514787400000007</v>
      </c>
      <c r="AX13" s="10">
        <f t="shared" si="3"/>
        <v>1795.1924943151</v>
      </c>
      <c r="AZ13" s="11">
        <f t="shared" si="4"/>
        <v>6.1653519283399998</v>
      </c>
      <c r="BA13" s="12">
        <f t="shared" si="5"/>
        <v>1579.0535410217999</v>
      </c>
      <c r="BC13" s="14">
        <f t="shared" si="6"/>
        <v>9.876022222932999</v>
      </c>
      <c r="BD13" s="15">
        <f t="shared" si="7"/>
        <v>1583.0187640123702</v>
      </c>
      <c r="BF13" s="16">
        <f t="shared" si="8"/>
        <v>11.082327269165999</v>
      </c>
      <c r="BG13" s="17">
        <f t="shared" si="9"/>
        <v>1449.3838410841101</v>
      </c>
      <c r="BI13">
        <v>49</v>
      </c>
      <c r="BJ13" t="s">
        <v>39</v>
      </c>
      <c r="BK13" s="2">
        <v>46154.698506944442</v>
      </c>
      <c r="BL13">
        <v>161</v>
      </c>
      <c r="BM13" t="s">
        <v>13</v>
      </c>
      <c r="BN13">
        <v>0</v>
      </c>
      <c r="BO13">
        <v>2.8969999999999998</v>
      </c>
      <c r="BP13" s="3">
        <v>606157</v>
      </c>
      <c r="BQ13">
        <v>0</v>
      </c>
      <c r="BR13" t="s">
        <v>14</v>
      </c>
      <c r="BS13" t="s">
        <v>14</v>
      </c>
      <c r="BT13" t="s">
        <v>14</v>
      </c>
      <c r="BU13" t="s">
        <v>14</v>
      </c>
    </row>
    <row r="14" spans="1:73" x14ac:dyDescent="0.25">
      <c r="A14">
        <v>50</v>
      </c>
      <c r="B14" t="s">
        <v>40</v>
      </c>
      <c r="C14" s="2">
        <v>46154.719710648147</v>
      </c>
      <c r="D14">
        <v>336</v>
      </c>
      <c r="E14" t="s">
        <v>13</v>
      </c>
      <c r="F14">
        <v>0</v>
      </c>
      <c r="G14">
        <v>6.0739999999999998</v>
      </c>
      <c r="H14" s="3">
        <v>2000</v>
      </c>
      <c r="I14">
        <v>4.0000000000000001E-3</v>
      </c>
      <c r="J14" t="s">
        <v>14</v>
      </c>
      <c r="K14" t="s">
        <v>14</v>
      </c>
      <c r="L14" t="s">
        <v>14</v>
      </c>
      <c r="M14" t="s">
        <v>14</v>
      </c>
      <c r="O14">
        <v>50</v>
      </c>
      <c r="P14" t="s">
        <v>40</v>
      </c>
      <c r="Q14" s="2">
        <v>46154.719710648147</v>
      </c>
      <c r="R14">
        <v>336</v>
      </c>
      <c r="S14" t="s">
        <v>13</v>
      </c>
      <c r="T14">
        <v>0</v>
      </c>
      <c r="U14" t="s">
        <v>14</v>
      </c>
      <c r="V14" s="3" t="s">
        <v>14</v>
      </c>
      <c r="W14" t="s">
        <v>14</v>
      </c>
      <c r="X14" t="s">
        <v>14</v>
      </c>
      <c r="Y14" t="s">
        <v>14</v>
      </c>
      <c r="Z14" t="s">
        <v>14</v>
      </c>
      <c r="AA14" t="s">
        <v>14</v>
      </c>
      <c r="AC14">
        <v>50</v>
      </c>
      <c r="AD14" t="s">
        <v>40</v>
      </c>
      <c r="AE14" s="2">
        <v>46154.719710648147</v>
      </c>
      <c r="AF14">
        <v>336</v>
      </c>
      <c r="AG14" t="s">
        <v>13</v>
      </c>
      <c r="AH14">
        <v>0</v>
      </c>
      <c r="AI14">
        <v>12.268000000000001</v>
      </c>
      <c r="AJ14" s="3">
        <v>66051</v>
      </c>
      <c r="AK14">
        <v>11.374000000000001</v>
      </c>
      <c r="AL14" t="s">
        <v>14</v>
      </c>
      <c r="AM14" t="s">
        <v>14</v>
      </c>
      <c r="AN14" t="s">
        <v>14</v>
      </c>
      <c r="AO14" t="s">
        <v>14</v>
      </c>
      <c r="AQ14">
        <v>1</v>
      </c>
      <c r="AS14" s="8">
        <v>50</v>
      </c>
      <c r="AT14" s="16">
        <f t="shared" si="0"/>
        <v>6.5841440000000002</v>
      </c>
      <c r="AU14" s="17">
        <f t="shared" si="1"/>
        <v>12422.693086820622</v>
      </c>
      <c r="AW14" s="9">
        <f t="shared" si="2"/>
        <v>5.35</v>
      </c>
      <c r="AX14" s="10">
        <f t="shared" si="3"/>
        <v>14405.396854819101</v>
      </c>
      <c r="AZ14" s="11">
        <f t="shared" si="4"/>
        <v>1.3235599999999996</v>
      </c>
      <c r="BA14" s="12">
        <f t="shared" si="5"/>
        <v>12970.78478753797</v>
      </c>
      <c r="BC14" s="14">
        <f t="shared" si="6"/>
        <v>3.7289719999999997</v>
      </c>
      <c r="BD14" s="15">
        <f t="shared" si="7"/>
        <v>14725.41745853738</v>
      </c>
      <c r="BF14" s="16">
        <f t="shared" si="8"/>
        <v>6.5841440000000002</v>
      </c>
      <c r="BG14" s="17">
        <f t="shared" si="9"/>
        <v>12422.693086820622</v>
      </c>
      <c r="BI14">
        <v>50</v>
      </c>
      <c r="BJ14" t="s">
        <v>40</v>
      </c>
      <c r="BK14" s="2">
        <v>46154.719710648147</v>
      </c>
      <c r="BL14">
        <v>336</v>
      </c>
      <c r="BM14" t="s">
        <v>13</v>
      </c>
      <c r="BN14">
        <v>0</v>
      </c>
      <c r="BO14">
        <v>2.8940000000000001</v>
      </c>
      <c r="BP14" s="3">
        <v>662592</v>
      </c>
      <c r="BQ14">
        <v>0</v>
      </c>
      <c r="BR14" t="s">
        <v>14</v>
      </c>
      <c r="BS14" t="s">
        <v>14</v>
      </c>
      <c r="BT14" t="s">
        <v>14</v>
      </c>
      <c r="BU14" t="s">
        <v>14</v>
      </c>
    </row>
    <row r="15" spans="1:73" x14ac:dyDescent="0.25">
      <c r="A15">
        <v>51</v>
      </c>
      <c r="B15" t="s">
        <v>41</v>
      </c>
      <c r="C15" s="2">
        <v>46154.740925925929</v>
      </c>
      <c r="D15">
        <v>57</v>
      </c>
      <c r="E15" t="s">
        <v>13</v>
      </c>
      <c r="F15">
        <v>0</v>
      </c>
      <c r="G15">
        <v>6.0910000000000002</v>
      </c>
      <c r="H15" s="3">
        <v>2331</v>
      </c>
      <c r="I15">
        <v>5.0000000000000001E-3</v>
      </c>
      <c r="J15" t="s">
        <v>14</v>
      </c>
      <c r="K15" t="s">
        <v>14</v>
      </c>
      <c r="L15" t="s">
        <v>14</v>
      </c>
      <c r="M15" t="s">
        <v>14</v>
      </c>
      <c r="O15">
        <v>51</v>
      </c>
      <c r="P15" t="s">
        <v>41</v>
      </c>
      <c r="Q15" s="2">
        <v>46154.740925925929</v>
      </c>
      <c r="R15">
        <v>57</v>
      </c>
      <c r="S15" t="s">
        <v>13</v>
      </c>
      <c r="T15">
        <v>0</v>
      </c>
      <c r="U15" t="s">
        <v>14</v>
      </c>
      <c r="V15" s="3" t="s">
        <v>14</v>
      </c>
      <c r="W15" t="s">
        <v>14</v>
      </c>
      <c r="X15" t="s">
        <v>14</v>
      </c>
      <c r="Y15" t="s">
        <v>14</v>
      </c>
      <c r="Z15" t="s">
        <v>14</v>
      </c>
      <c r="AA15" t="s">
        <v>14</v>
      </c>
      <c r="AC15">
        <v>51</v>
      </c>
      <c r="AD15" t="s">
        <v>41</v>
      </c>
      <c r="AE15" s="2">
        <v>46154.740925925929</v>
      </c>
      <c r="AF15">
        <v>57</v>
      </c>
      <c r="AG15" t="s">
        <v>13</v>
      </c>
      <c r="AH15">
        <v>0</v>
      </c>
      <c r="AI15">
        <v>12.326000000000001</v>
      </c>
      <c r="AJ15" s="3">
        <v>24274</v>
      </c>
      <c r="AK15">
        <v>4.2389999999999999</v>
      </c>
      <c r="AL15" t="s">
        <v>14</v>
      </c>
      <c r="AM15" t="s">
        <v>14</v>
      </c>
      <c r="AN15" t="s">
        <v>14</v>
      </c>
      <c r="AO15" t="s">
        <v>14</v>
      </c>
      <c r="AQ15">
        <v>1</v>
      </c>
      <c r="AS15" s="8">
        <v>51</v>
      </c>
      <c r="AT15" s="16">
        <f t="shared" si="0"/>
        <v>7.4410747544460003</v>
      </c>
      <c r="AU15" s="17">
        <f t="shared" si="1"/>
        <v>4573.5202370500401</v>
      </c>
      <c r="AW15" s="9">
        <f t="shared" ref="AW15:AW16" si="10">IF(H15&lt;10000,((H15^2*0.00000054)+(H15*-0.004765)+(12.72)),(IF(H15&lt;200000,((H15^2*-0.000000001577)+(H15*0.003043)+(-10.42)),(IF(H15&lt;8000000,((H15^2*-0.0000000000186)+(H15*0.00194)+(154.1)),((V15^2*-0.00000002)+(V15*0.2565)+(-1032)))))))</f>
        <v>4.5469079400000005</v>
      </c>
      <c r="AX15" s="10">
        <f t="shared" ref="AX15:AX16" si="11">IF(AJ15&lt;45000,((-0.0000004561*AJ15^2)+(0.244*AJ15)+(-21.72)),((-0.0000000409*AJ15^2)+(0.2477*AJ15)+(-1777)))</f>
        <v>5632.3895306363993</v>
      </c>
      <c r="AZ15" s="11">
        <f t="shared" ref="AZ15:AZ16" si="12">IF(H15&lt;10000,((H15^2*0.00000005714)+(H15*0.002453)+(-3.811)),(IF(H15&lt;200000,((H15^2*-0.0000000002888)+(H15*0.002899)+(-4.321)),(IF(H15&lt;8000000,((H15^2*-0.0000000000062)+(H15*0.002143)+(157)),((V15^2*-0.000000031)+(V15*0.2771)+(-709.5)))))))</f>
        <v>2.21741667554</v>
      </c>
      <c r="BA15" s="12">
        <f t="shared" ref="BA15:BA16" si="13">IF(AJ15&lt;45000,((-0.0000000598*AJ15^2)+(0.205*AJ15)+(34.1)),((-0.00000002403*AJ15^2)+(0.2063*AJ15)+(-550.7)))</f>
        <v>4975.0342208552001</v>
      </c>
      <c r="BC15" s="14">
        <f t="shared" ref="BC15:BC16" si="14">IF(H15&lt;10000,((H15^2*0.000000008493)+(H15*0.003482)+(-3.269)),(IF(H15&lt;200000,((H15^2*-0.000000000263)+(H15*0.002682)+(3.179)),(IF(H15&lt;8000000,((H15^2*-0.000000000005099)+(H15*0.002054)+(174.8)),((V15^2*-0.00000001014)+(V15*0.2415)+(1123)))))))</f>
        <v>4.8936892335729993</v>
      </c>
      <c r="BD15" s="15">
        <f t="shared" ref="BD15:BD16" si="15">IF(AJ15&lt;45000,((-0.00000004907*AJ15^2)+(0.2277*AJ15)+(-134)),((-0.00000001062*AJ15^2)+(0.2147*AJ15)+(590.6)))</f>
        <v>5364.2764273806797</v>
      </c>
      <c r="BF15" s="16">
        <f t="shared" si="8"/>
        <v>7.4410747544460003</v>
      </c>
      <c r="BG15" s="17">
        <f t="shared" si="9"/>
        <v>4573.5202370500401</v>
      </c>
      <c r="BI15">
        <v>51</v>
      </c>
      <c r="BJ15" t="s">
        <v>41</v>
      </c>
      <c r="BK15" s="2">
        <v>46154.740925925929</v>
      </c>
      <c r="BL15">
        <v>57</v>
      </c>
      <c r="BM15" t="s">
        <v>13</v>
      </c>
      <c r="BN15">
        <v>0</v>
      </c>
      <c r="BO15">
        <v>2.9020000000000001</v>
      </c>
      <c r="BP15" s="3">
        <v>602290</v>
      </c>
      <c r="BQ15">
        <v>0</v>
      </c>
      <c r="BR15" t="s">
        <v>14</v>
      </c>
      <c r="BS15" t="s">
        <v>14</v>
      </c>
      <c r="BT15" t="s">
        <v>14</v>
      </c>
      <c r="BU15" t="s">
        <v>14</v>
      </c>
    </row>
    <row r="16" spans="1:73" x14ac:dyDescent="0.25">
      <c r="A16">
        <v>52</v>
      </c>
      <c r="B16" t="s">
        <v>42</v>
      </c>
      <c r="C16" s="2">
        <v>46154.762152777781</v>
      </c>
      <c r="D16">
        <v>365</v>
      </c>
      <c r="E16" t="s">
        <v>13</v>
      </c>
      <c r="F16">
        <v>0</v>
      </c>
      <c r="G16">
        <v>6.1020000000000003</v>
      </c>
      <c r="H16" s="3">
        <v>1264</v>
      </c>
      <c r="I16">
        <v>3.0000000000000001E-3</v>
      </c>
      <c r="J16" t="s">
        <v>14</v>
      </c>
      <c r="K16" t="s">
        <v>14</v>
      </c>
      <c r="L16" t="s">
        <v>14</v>
      </c>
      <c r="M16" t="s">
        <v>14</v>
      </c>
      <c r="O16">
        <v>52</v>
      </c>
      <c r="P16" t="s">
        <v>42</v>
      </c>
      <c r="Q16" s="2">
        <v>46154.762152777781</v>
      </c>
      <c r="R16">
        <v>365</v>
      </c>
      <c r="S16" t="s">
        <v>13</v>
      </c>
      <c r="T16">
        <v>0</v>
      </c>
      <c r="U16" t="s">
        <v>14</v>
      </c>
      <c r="V16" s="3" t="s">
        <v>14</v>
      </c>
      <c r="W16" t="s">
        <v>14</v>
      </c>
      <c r="X16" t="s">
        <v>14</v>
      </c>
      <c r="Y16" t="s">
        <v>14</v>
      </c>
      <c r="Z16" t="s">
        <v>14</v>
      </c>
      <c r="AA16" t="s">
        <v>14</v>
      </c>
      <c r="AC16">
        <v>52</v>
      </c>
      <c r="AD16" t="s">
        <v>42</v>
      </c>
      <c r="AE16" s="2">
        <v>46154.762152777781</v>
      </c>
      <c r="AF16">
        <v>365</v>
      </c>
      <c r="AG16" t="s">
        <v>13</v>
      </c>
      <c r="AH16">
        <v>0</v>
      </c>
      <c r="AI16">
        <v>12.317</v>
      </c>
      <c r="AJ16" s="3">
        <v>26095</v>
      </c>
      <c r="AK16">
        <v>4.55</v>
      </c>
      <c r="AL16" t="s">
        <v>14</v>
      </c>
      <c r="AM16" t="s">
        <v>14</v>
      </c>
      <c r="AN16" t="s">
        <v>14</v>
      </c>
      <c r="AO16" t="s">
        <v>14</v>
      </c>
      <c r="AQ16">
        <v>1</v>
      </c>
      <c r="AS16" s="8">
        <v>52</v>
      </c>
      <c r="AT16" s="16">
        <f t="shared" si="0"/>
        <v>4.6757861570559998</v>
      </c>
      <c r="AU16" s="17">
        <f t="shared" si="1"/>
        <v>4914.9626656047503</v>
      </c>
      <c r="AW16" s="9">
        <f t="shared" si="10"/>
        <v>7.5597958400000005</v>
      </c>
      <c r="AX16" s="10">
        <f t="shared" si="11"/>
        <v>6034.8791496975</v>
      </c>
      <c r="AZ16" s="11">
        <f t="shared" si="12"/>
        <v>-0.61911565055999995</v>
      </c>
      <c r="BA16" s="12">
        <f t="shared" si="13"/>
        <v>5342.8542483049996</v>
      </c>
      <c r="BC16" s="14">
        <f t="shared" si="14"/>
        <v>1.1458172321279996</v>
      </c>
      <c r="BD16" s="15">
        <f t="shared" si="15"/>
        <v>5774.4173313432502</v>
      </c>
      <c r="BF16" s="16">
        <f t="shared" si="8"/>
        <v>4.6757861570559998</v>
      </c>
      <c r="BG16" s="17">
        <f t="shared" si="9"/>
        <v>4914.9626656047503</v>
      </c>
      <c r="BI16">
        <v>52</v>
      </c>
      <c r="BJ16" t="s">
        <v>42</v>
      </c>
      <c r="BK16" s="2">
        <v>46154.762152777781</v>
      </c>
      <c r="BL16">
        <v>365</v>
      </c>
      <c r="BM16" t="s">
        <v>13</v>
      </c>
      <c r="BN16">
        <v>0</v>
      </c>
      <c r="BO16">
        <v>2.895</v>
      </c>
      <c r="BP16" s="3">
        <v>672893</v>
      </c>
      <c r="BQ16">
        <v>0</v>
      </c>
      <c r="BR16" t="s">
        <v>14</v>
      </c>
      <c r="BS16" t="s">
        <v>14</v>
      </c>
      <c r="BT16" t="s">
        <v>14</v>
      </c>
      <c r="BU16" t="s">
        <v>14</v>
      </c>
    </row>
    <row r="17" spans="1:73" x14ac:dyDescent="0.25">
      <c r="A17">
        <v>53</v>
      </c>
      <c r="B17" t="s">
        <v>43</v>
      </c>
      <c r="C17" s="2">
        <v>46154.783414351848</v>
      </c>
      <c r="D17">
        <v>194</v>
      </c>
      <c r="E17" t="s">
        <v>13</v>
      </c>
      <c r="F17">
        <v>0</v>
      </c>
      <c r="G17">
        <v>6.0839999999999996</v>
      </c>
      <c r="H17" s="3">
        <v>2471</v>
      </c>
      <c r="I17">
        <v>5.0000000000000001E-3</v>
      </c>
      <c r="J17" t="s">
        <v>14</v>
      </c>
      <c r="K17" t="s">
        <v>14</v>
      </c>
      <c r="L17" t="s">
        <v>14</v>
      </c>
      <c r="M17" t="s">
        <v>14</v>
      </c>
      <c r="O17">
        <v>53</v>
      </c>
      <c r="P17" t="s">
        <v>43</v>
      </c>
      <c r="Q17" s="2">
        <v>46154.783414351848</v>
      </c>
      <c r="R17">
        <v>194</v>
      </c>
      <c r="S17" t="s">
        <v>13</v>
      </c>
      <c r="T17">
        <v>0</v>
      </c>
      <c r="U17" t="s">
        <v>14</v>
      </c>
      <c r="V17" s="3" t="s">
        <v>14</v>
      </c>
      <c r="W17" t="s">
        <v>14</v>
      </c>
      <c r="X17" t="s">
        <v>14</v>
      </c>
      <c r="Y17" t="s">
        <v>14</v>
      </c>
      <c r="Z17" t="s">
        <v>14</v>
      </c>
      <c r="AA17" t="s">
        <v>14</v>
      </c>
      <c r="AC17">
        <v>53</v>
      </c>
      <c r="AD17" t="s">
        <v>43</v>
      </c>
      <c r="AE17" s="2">
        <v>46154.783414351848</v>
      </c>
      <c r="AF17">
        <v>194</v>
      </c>
      <c r="AG17" t="s">
        <v>13</v>
      </c>
      <c r="AH17">
        <v>0</v>
      </c>
      <c r="AI17">
        <v>12.316000000000001</v>
      </c>
      <c r="AJ17" s="3">
        <v>24861</v>
      </c>
      <c r="AK17">
        <v>4.34</v>
      </c>
      <c r="AL17" t="s">
        <v>14</v>
      </c>
      <c r="AM17" t="s">
        <v>14</v>
      </c>
      <c r="AN17" t="s">
        <v>14</v>
      </c>
      <c r="AO17" t="s">
        <v>14</v>
      </c>
      <c r="AQ17">
        <v>2</v>
      </c>
      <c r="AR17" t="s">
        <v>62</v>
      </c>
      <c r="AS17" s="8">
        <v>53</v>
      </c>
      <c r="AT17" s="16">
        <f t="shared" si="0"/>
        <v>7.8032779065260005</v>
      </c>
      <c r="AU17" s="17">
        <f t="shared" si="1"/>
        <v>4683.5584009985905</v>
      </c>
      <c r="AW17" s="9">
        <f t="shared" ref="AW17:AW35" si="16">IF(H17&lt;10000,((H17^2*0.00000054)+(H17*-0.004765)+(12.72)),(IF(H17&lt;200000,((H17^2*-0.000000001577)+(H17*0.003043)+(-10.42)),(IF(H17&lt;8000000,((H17^2*-0.0000000000186)+(H17*0.00194)+(154.1)),((V17^2*-0.00000002)+(V17*0.2565)+(-1032)))))))</f>
        <v>4.242839140000001</v>
      </c>
      <c r="AX17" s="10">
        <f t="shared" ref="AX17:AX35" si="17">IF(AJ17&lt;45000,((-0.0000004561*AJ17^2)+(0.244*AJ17)+(-21.72)),((-0.0000000409*AJ17^2)+(0.2477*AJ17)+(-1777)))</f>
        <v>5762.4625826918991</v>
      </c>
      <c r="AZ17" s="11">
        <f t="shared" ref="AZ17:AZ35" si="18">IF(H17&lt;10000,((H17^2*0.00000005714)+(H17*0.002453)+(-3.811)),(IF(H17&lt;200000,((H17^2*-0.0000000002888)+(H17*0.002899)+(-4.321)),(IF(H17&lt;8000000,((H17^2*-0.0000000000062)+(H17*0.002143)+(157)),((V17^2*-0.000000031)+(V17*0.2771)+(-709.5)))))))</f>
        <v>2.5992507547399999</v>
      </c>
      <c r="BA17" s="12">
        <f t="shared" ref="BA17:BA35" si="19">IF(AJ17&lt;45000,((-0.0000000598*AJ17^2)+(0.205*AJ17)+(34.1)),((-0.00000002403*AJ17^2)+(0.2063*AJ17)+(-550.7)))</f>
        <v>5093.6444546042003</v>
      </c>
      <c r="BC17" s="14">
        <f t="shared" ref="BC17:BC35" si="20">IF(H17&lt;10000,((H17^2*0.000000008493)+(H17*0.003482)+(-3.269)),(IF(H17&lt;200000,((H17^2*-0.000000000263)+(H17*0.002682)+(3.179)),(IF(H17&lt;8000000,((H17^2*-0.000000000005099)+(H17*0.002054)+(174.8)),((V17^2*-0.00000001014)+(V17*0.2415)+(1123)))))))</f>
        <v>5.386878907613001</v>
      </c>
      <c r="BD17" s="15">
        <f t="shared" ref="BD17:BD35" si="21">IF(AJ17&lt;45000,((-0.00000004907*AJ17^2)+(0.2277*AJ17)+(-134)),((-0.00000001062*AJ17^2)+(0.2147*AJ17)+(590.6)))</f>
        <v>5496.5210384185302</v>
      </c>
      <c r="BF17" s="16">
        <f t="shared" si="8"/>
        <v>7.8032779065260005</v>
      </c>
      <c r="BG17" s="17">
        <f t="shared" si="9"/>
        <v>4683.5584009985905</v>
      </c>
      <c r="BI17">
        <v>53</v>
      </c>
      <c r="BJ17" t="s">
        <v>43</v>
      </c>
      <c r="BK17" s="2">
        <v>46154.783414351848</v>
      </c>
      <c r="BL17">
        <v>194</v>
      </c>
      <c r="BM17" t="s">
        <v>13</v>
      </c>
      <c r="BN17">
        <v>0</v>
      </c>
      <c r="BO17">
        <v>2.8980000000000001</v>
      </c>
      <c r="BP17" s="3">
        <v>592525</v>
      </c>
      <c r="BQ17">
        <v>0</v>
      </c>
      <c r="BR17" t="s">
        <v>14</v>
      </c>
      <c r="BS17" t="s">
        <v>14</v>
      </c>
      <c r="BT17" t="s">
        <v>14</v>
      </c>
      <c r="BU17" t="s">
        <v>14</v>
      </c>
    </row>
    <row r="18" spans="1:73" x14ac:dyDescent="0.25">
      <c r="A18">
        <v>54</v>
      </c>
      <c r="B18" t="s">
        <v>44</v>
      </c>
      <c r="C18" s="2">
        <v>46154.804675925923</v>
      </c>
      <c r="D18">
        <v>90</v>
      </c>
      <c r="E18" t="s">
        <v>13</v>
      </c>
      <c r="F18">
        <v>0</v>
      </c>
      <c r="G18">
        <v>6.0640000000000001</v>
      </c>
      <c r="H18" s="3">
        <v>32351</v>
      </c>
      <c r="I18">
        <v>6.6000000000000003E-2</v>
      </c>
      <c r="J18" t="s">
        <v>14</v>
      </c>
      <c r="K18" t="s">
        <v>14</v>
      </c>
      <c r="L18" t="s">
        <v>14</v>
      </c>
      <c r="M18" t="s">
        <v>14</v>
      </c>
      <c r="O18">
        <v>54</v>
      </c>
      <c r="P18" t="s">
        <v>44</v>
      </c>
      <c r="Q18" s="2">
        <v>46154.804675925923</v>
      </c>
      <c r="R18">
        <v>90</v>
      </c>
      <c r="S18" t="s">
        <v>13</v>
      </c>
      <c r="T18">
        <v>0</v>
      </c>
      <c r="U18" t="s">
        <v>14</v>
      </c>
      <c r="V18" s="3" t="s">
        <v>14</v>
      </c>
      <c r="W18" t="s">
        <v>14</v>
      </c>
      <c r="X18" t="s">
        <v>14</v>
      </c>
      <c r="Y18" t="s">
        <v>14</v>
      </c>
      <c r="Z18" t="s">
        <v>14</v>
      </c>
      <c r="AA18" t="s">
        <v>14</v>
      </c>
      <c r="AC18">
        <v>54</v>
      </c>
      <c r="AD18" t="s">
        <v>44</v>
      </c>
      <c r="AE18" s="2">
        <v>46154.804675925923</v>
      </c>
      <c r="AF18">
        <v>90</v>
      </c>
      <c r="AG18" t="s">
        <v>13</v>
      </c>
      <c r="AH18">
        <v>0</v>
      </c>
      <c r="AI18">
        <v>12.340999999999999</v>
      </c>
      <c r="AJ18" s="3">
        <v>86</v>
      </c>
      <c r="AK18">
        <v>0.107</v>
      </c>
      <c r="AL18" t="s">
        <v>14</v>
      </c>
      <c r="AM18" t="s">
        <v>14</v>
      </c>
      <c r="AN18" t="s">
        <v>14</v>
      </c>
      <c r="AO18" t="s">
        <v>14</v>
      </c>
      <c r="AQ18">
        <v>2</v>
      </c>
      <c r="AR18" t="s">
        <v>62</v>
      </c>
      <c r="AS18" s="8">
        <v>54</v>
      </c>
      <c r="AT18" s="16">
        <f t="shared" si="0"/>
        <v>73.289244577543613</v>
      </c>
      <c r="AU18" s="17">
        <f t="shared" si="1"/>
        <v>60.720464702839998</v>
      </c>
      <c r="AW18" s="9">
        <f t="shared" si="16"/>
        <v>86.37362498402301</v>
      </c>
      <c r="AX18" s="10">
        <f t="shared" si="17"/>
        <v>-0.73937331560000175</v>
      </c>
      <c r="AZ18" s="11">
        <f t="shared" si="18"/>
        <v>89.162294616351204</v>
      </c>
      <c r="BA18" s="12">
        <f t="shared" si="19"/>
        <v>51.729557719200002</v>
      </c>
      <c r="BC18" s="14">
        <f t="shared" si="20"/>
        <v>89.669129566137002</v>
      </c>
      <c r="BD18" s="15">
        <f t="shared" si="21"/>
        <v>-114.41816292172</v>
      </c>
      <c r="BF18" s="16">
        <f t="shared" si="8"/>
        <v>73.289244577543613</v>
      </c>
      <c r="BG18" s="17">
        <f t="shared" si="9"/>
        <v>60.720464702839998</v>
      </c>
      <c r="BI18">
        <v>54</v>
      </c>
      <c r="BJ18" t="s">
        <v>44</v>
      </c>
      <c r="BK18" s="2">
        <v>46154.804675925923</v>
      </c>
      <c r="BL18">
        <v>90</v>
      </c>
      <c r="BM18" t="s">
        <v>13</v>
      </c>
      <c r="BN18">
        <v>0</v>
      </c>
      <c r="BO18">
        <v>2.8919999999999999</v>
      </c>
      <c r="BP18" s="3">
        <v>723926</v>
      </c>
      <c r="BQ18">
        <v>0</v>
      </c>
      <c r="BR18" t="s">
        <v>14</v>
      </c>
      <c r="BS18" t="s">
        <v>14</v>
      </c>
      <c r="BT18" t="s">
        <v>14</v>
      </c>
      <c r="BU18" t="s">
        <v>14</v>
      </c>
    </row>
    <row r="19" spans="1:73" x14ac:dyDescent="0.25">
      <c r="A19">
        <v>55</v>
      </c>
      <c r="B19" t="s">
        <v>45</v>
      </c>
      <c r="C19" s="2">
        <v>46154.825902777775</v>
      </c>
      <c r="D19">
        <v>269</v>
      </c>
      <c r="E19" t="s">
        <v>13</v>
      </c>
      <c r="F19">
        <v>0</v>
      </c>
      <c r="G19">
        <v>6.0819999999999999</v>
      </c>
      <c r="H19" s="3">
        <v>3920</v>
      </c>
      <c r="I19">
        <v>8.0000000000000002E-3</v>
      </c>
      <c r="J19" t="s">
        <v>14</v>
      </c>
      <c r="K19" t="s">
        <v>14</v>
      </c>
      <c r="L19" t="s">
        <v>14</v>
      </c>
      <c r="M19" t="s">
        <v>14</v>
      </c>
      <c r="O19">
        <v>55</v>
      </c>
      <c r="P19" t="s">
        <v>45</v>
      </c>
      <c r="Q19" s="2">
        <v>46154.825902777775</v>
      </c>
      <c r="R19">
        <v>269</v>
      </c>
      <c r="S19" t="s">
        <v>13</v>
      </c>
      <c r="T19">
        <v>0</v>
      </c>
      <c r="U19" t="s">
        <v>14</v>
      </c>
      <c r="V19" s="3" t="s">
        <v>14</v>
      </c>
      <c r="W19" t="s">
        <v>14</v>
      </c>
      <c r="X19" t="s">
        <v>14</v>
      </c>
      <c r="Y19" t="s">
        <v>14</v>
      </c>
      <c r="Z19" t="s">
        <v>14</v>
      </c>
      <c r="AA19" t="s">
        <v>14</v>
      </c>
      <c r="AC19">
        <v>55</v>
      </c>
      <c r="AD19" t="s">
        <v>45</v>
      </c>
      <c r="AE19" s="2">
        <v>46154.825902777775</v>
      </c>
      <c r="AF19">
        <v>269</v>
      </c>
      <c r="AG19" t="s">
        <v>13</v>
      </c>
      <c r="AH19">
        <v>0</v>
      </c>
      <c r="AI19">
        <v>12.340999999999999</v>
      </c>
      <c r="AJ19" s="3">
        <v>7397</v>
      </c>
      <c r="AK19">
        <v>1.3560000000000001</v>
      </c>
      <c r="AL19" t="s">
        <v>14</v>
      </c>
      <c r="AM19" t="s">
        <v>14</v>
      </c>
      <c r="AN19" t="s">
        <v>14</v>
      </c>
      <c r="AO19" t="s">
        <v>14</v>
      </c>
      <c r="AQ19">
        <v>1</v>
      </c>
      <c r="AS19" s="8">
        <v>55</v>
      </c>
      <c r="AT19" s="16">
        <f t="shared" si="0"/>
        <v>11.543529190399999</v>
      </c>
      <c r="AU19" s="17">
        <f t="shared" si="1"/>
        <v>1420.3311716461101</v>
      </c>
      <c r="AW19" s="9">
        <f t="shared" si="16"/>
        <v>2.3390560000000011</v>
      </c>
      <c r="AX19" s="10">
        <f t="shared" si="17"/>
        <v>1758.1922107350999</v>
      </c>
      <c r="AZ19" s="11">
        <f t="shared" si="18"/>
        <v>6.6827960960000006</v>
      </c>
      <c r="BA19" s="12">
        <f t="shared" si="19"/>
        <v>1547.2130065817998</v>
      </c>
      <c r="BC19" s="14">
        <f t="shared" si="20"/>
        <v>10.5109468352</v>
      </c>
      <c r="BD19" s="15">
        <f t="shared" si="21"/>
        <v>1547.6120050663701</v>
      </c>
      <c r="BF19" s="16">
        <f t="shared" si="8"/>
        <v>11.543529190399999</v>
      </c>
      <c r="BG19" s="17">
        <f t="shared" si="9"/>
        <v>1420.3311716461101</v>
      </c>
      <c r="BI19">
        <v>55</v>
      </c>
      <c r="BJ19" t="s">
        <v>45</v>
      </c>
      <c r="BK19" s="2">
        <v>46154.825902777775</v>
      </c>
      <c r="BL19">
        <v>269</v>
      </c>
      <c r="BM19" t="s">
        <v>13</v>
      </c>
      <c r="BN19">
        <v>0</v>
      </c>
      <c r="BO19">
        <v>2.895</v>
      </c>
      <c r="BP19" s="3">
        <v>687551</v>
      </c>
      <c r="BQ19">
        <v>0</v>
      </c>
      <c r="BR19" t="s">
        <v>14</v>
      </c>
      <c r="BS19" t="s">
        <v>14</v>
      </c>
      <c r="BT19" t="s">
        <v>14</v>
      </c>
      <c r="BU19" t="s">
        <v>14</v>
      </c>
    </row>
    <row r="20" spans="1:73" x14ac:dyDescent="0.25">
      <c r="A20">
        <v>56</v>
      </c>
      <c r="B20" t="s">
        <v>46</v>
      </c>
      <c r="C20" s="2">
        <v>46154.847141203703</v>
      </c>
      <c r="D20">
        <v>377</v>
      </c>
      <c r="E20" t="s">
        <v>13</v>
      </c>
      <c r="F20">
        <v>0</v>
      </c>
      <c r="G20">
        <v>6.0730000000000004</v>
      </c>
      <c r="H20" s="3">
        <v>30488</v>
      </c>
      <c r="I20">
        <v>6.2E-2</v>
      </c>
      <c r="J20" t="s">
        <v>14</v>
      </c>
      <c r="K20" t="s">
        <v>14</v>
      </c>
      <c r="L20" t="s">
        <v>14</v>
      </c>
      <c r="M20" t="s">
        <v>14</v>
      </c>
      <c r="O20">
        <v>56</v>
      </c>
      <c r="P20" t="s">
        <v>46</v>
      </c>
      <c r="Q20" s="2">
        <v>46154.847141203703</v>
      </c>
      <c r="R20">
        <v>377</v>
      </c>
      <c r="S20" t="s">
        <v>13</v>
      </c>
      <c r="T20">
        <v>0</v>
      </c>
      <c r="U20" t="s">
        <v>14</v>
      </c>
      <c r="V20" s="3" t="s">
        <v>14</v>
      </c>
      <c r="W20" t="s">
        <v>14</v>
      </c>
      <c r="X20" t="s">
        <v>14</v>
      </c>
      <c r="Y20" t="s">
        <v>14</v>
      </c>
      <c r="Z20" t="s">
        <v>14</v>
      </c>
      <c r="AA20" t="s">
        <v>14</v>
      </c>
      <c r="AC20">
        <v>56</v>
      </c>
      <c r="AD20" t="s">
        <v>46</v>
      </c>
      <c r="AE20" s="2">
        <v>46154.847141203703</v>
      </c>
      <c r="AF20">
        <v>377</v>
      </c>
      <c r="AG20" t="s">
        <v>13</v>
      </c>
      <c r="AH20">
        <v>0</v>
      </c>
      <c r="AI20">
        <v>12.315</v>
      </c>
      <c r="AJ20" s="3">
        <v>95</v>
      </c>
      <c r="AK20">
        <v>0.108</v>
      </c>
      <c r="AL20" t="s">
        <v>14</v>
      </c>
      <c r="AM20" t="s">
        <v>14</v>
      </c>
      <c r="AN20" t="s">
        <v>14</v>
      </c>
      <c r="AO20" t="s">
        <v>14</v>
      </c>
      <c r="AQ20">
        <v>1</v>
      </c>
      <c r="AS20" s="8">
        <v>56</v>
      </c>
      <c r="AT20" s="16">
        <f t="shared" si="0"/>
        <v>69.271969370598413</v>
      </c>
      <c r="AU20" s="17">
        <f t="shared" si="1"/>
        <v>62.391823004750002</v>
      </c>
      <c r="AW20" s="9">
        <f t="shared" si="16"/>
        <v>80.889133886912006</v>
      </c>
      <c r="AX20" s="10">
        <f t="shared" si="17"/>
        <v>1.4558836974999991</v>
      </c>
      <c r="AZ20" s="11">
        <f t="shared" si="18"/>
        <v>83.795267160012813</v>
      </c>
      <c r="BA20" s="12">
        <f t="shared" si="19"/>
        <v>53.574460305000002</v>
      </c>
      <c r="BC20" s="14">
        <f t="shared" si="20"/>
        <v>84.70335272812801</v>
      </c>
      <c r="BD20" s="15">
        <f t="shared" si="21"/>
        <v>-112.36894285675</v>
      </c>
      <c r="BF20" s="16">
        <f t="shared" si="8"/>
        <v>69.271969370598413</v>
      </c>
      <c r="BG20" s="17">
        <f t="shared" si="9"/>
        <v>62.391823004750002</v>
      </c>
      <c r="BI20">
        <v>56</v>
      </c>
      <c r="BJ20" t="s">
        <v>46</v>
      </c>
      <c r="BK20" s="2">
        <v>46154.847141203703</v>
      </c>
      <c r="BL20">
        <v>377</v>
      </c>
      <c r="BM20" t="s">
        <v>13</v>
      </c>
      <c r="BN20">
        <v>0</v>
      </c>
      <c r="BO20">
        <v>2.9020000000000001</v>
      </c>
      <c r="BP20" s="3">
        <v>688835</v>
      </c>
      <c r="BQ20">
        <v>0</v>
      </c>
      <c r="BR20" t="s">
        <v>14</v>
      </c>
      <c r="BS20" t="s">
        <v>14</v>
      </c>
      <c r="BT20" t="s">
        <v>14</v>
      </c>
      <c r="BU20" t="s">
        <v>14</v>
      </c>
    </row>
    <row r="21" spans="1:73" x14ac:dyDescent="0.25">
      <c r="A21">
        <v>57</v>
      </c>
      <c r="B21" t="s">
        <v>47</v>
      </c>
      <c r="C21" s="2">
        <v>46154.868368055555</v>
      </c>
      <c r="D21">
        <v>62</v>
      </c>
      <c r="E21" t="s">
        <v>13</v>
      </c>
      <c r="F21">
        <v>0</v>
      </c>
      <c r="G21">
        <v>6.0880000000000001</v>
      </c>
      <c r="H21" s="3">
        <v>1970</v>
      </c>
      <c r="I21">
        <v>4.0000000000000001E-3</v>
      </c>
      <c r="J21" t="s">
        <v>14</v>
      </c>
      <c r="K21" t="s">
        <v>14</v>
      </c>
      <c r="L21" t="s">
        <v>14</v>
      </c>
      <c r="M21" t="s">
        <v>14</v>
      </c>
      <c r="O21">
        <v>57</v>
      </c>
      <c r="P21" t="s">
        <v>47</v>
      </c>
      <c r="Q21" s="2">
        <v>46154.868368055555</v>
      </c>
      <c r="R21">
        <v>62</v>
      </c>
      <c r="S21" t="s">
        <v>13</v>
      </c>
      <c r="T21">
        <v>0</v>
      </c>
      <c r="U21" t="s">
        <v>14</v>
      </c>
      <c r="V21" t="s">
        <v>14</v>
      </c>
      <c r="W21" t="s">
        <v>14</v>
      </c>
      <c r="X21" t="s">
        <v>14</v>
      </c>
      <c r="Y21" t="s">
        <v>14</v>
      </c>
      <c r="Z21" t="s">
        <v>14</v>
      </c>
      <c r="AA21" t="s">
        <v>14</v>
      </c>
      <c r="AC21">
        <v>57</v>
      </c>
      <c r="AD21" t="s">
        <v>47</v>
      </c>
      <c r="AE21" s="2">
        <v>46154.868368055555</v>
      </c>
      <c r="AF21">
        <v>62</v>
      </c>
      <c r="AG21" t="s">
        <v>13</v>
      </c>
      <c r="AH21">
        <v>0</v>
      </c>
      <c r="AI21">
        <v>12.273999999999999</v>
      </c>
      <c r="AJ21" s="3">
        <v>66728</v>
      </c>
      <c r="AK21">
        <v>11.49</v>
      </c>
      <c r="AL21" t="s">
        <v>14</v>
      </c>
      <c r="AM21" t="s">
        <v>14</v>
      </c>
      <c r="AN21" t="s">
        <v>14</v>
      </c>
      <c r="AO21" t="s">
        <v>14</v>
      </c>
      <c r="AQ21">
        <v>1</v>
      </c>
      <c r="AS21" s="8">
        <v>57</v>
      </c>
      <c r="AT21" s="16">
        <f t="shared" si="0"/>
        <v>6.5064363374000003</v>
      </c>
      <c r="AU21" s="17">
        <f t="shared" si="1"/>
        <v>12533.520099858873</v>
      </c>
      <c r="AW21" s="9">
        <f t="shared" si="16"/>
        <v>5.4286360000000009</v>
      </c>
      <c r="AX21" s="10">
        <f t="shared" si="17"/>
        <v>14569.4131972544</v>
      </c>
      <c r="AZ21" s="11">
        <f t="shared" si="18"/>
        <v>1.2431646259999996</v>
      </c>
      <c r="BA21" s="12">
        <f t="shared" si="19"/>
        <v>13108.289797604481</v>
      </c>
      <c r="BC21" s="14">
        <f t="shared" si="20"/>
        <v>3.6235004837</v>
      </c>
      <c r="BD21" s="15">
        <f t="shared" si="21"/>
        <v>14869.81471204992</v>
      </c>
      <c r="BF21" s="16">
        <f t="shared" si="8"/>
        <v>6.5064363374000003</v>
      </c>
      <c r="BG21" s="17">
        <f t="shared" si="9"/>
        <v>12533.520099858873</v>
      </c>
      <c r="BI21">
        <v>57</v>
      </c>
      <c r="BJ21" t="s">
        <v>47</v>
      </c>
      <c r="BK21" s="2">
        <v>46154.868368055555</v>
      </c>
      <c r="BL21">
        <v>62</v>
      </c>
      <c r="BM21" t="s">
        <v>13</v>
      </c>
      <c r="BN21">
        <v>0</v>
      </c>
      <c r="BO21">
        <v>2.89</v>
      </c>
      <c r="BP21" s="3">
        <v>738813</v>
      </c>
      <c r="BQ21">
        <v>0</v>
      </c>
      <c r="BR21" t="s">
        <v>14</v>
      </c>
      <c r="BS21" t="s">
        <v>14</v>
      </c>
      <c r="BT21" t="s">
        <v>14</v>
      </c>
      <c r="BU21" t="s">
        <v>14</v>
      </c>
    </row>
    <row r="22" spans="1:73" x14ac:dyDescent="0.25">
      <c r="A22">
        <v>58</v>
      </c>
      <c r="B22" t="s">
        <v>48</v>
      </c>
      <c r="C22" s="2">
        <v>46154.88958333333</v>
      </c>
      <c r="D22">
        <v>407</v>
      </c>
      <c r="E22" t="s">
        <v>13</v>
      </c>
      <c r="F22">
        <v>0</v>
      </c>
      <c r="G22">
        <v>6.0650000000000004</v>
      </c>
      <c r="H22" s="3">
        <v>14246</v>
      </c>
      <c r="I22">
        <v>2.9000000000000001E-2</v>
      </c>
      <c r="J22" t="s">
        <v>14</v>
      </c>
      <c r="K22" t="s">
        <v>14</v>
      </c>
      <c r="L22" t="s">
        <v>14</v>
      </c>
      <c r="M22" t="s">
        <v>14</v>
      </c>
      <c r="O22">
        <v>58</v>
      </c>
      <c r="P22" t="s">
        <v>48</v>
      </c>
      <c r="Q22" s="2">
        <v>46154.88958333333</v>
      </c>
      <c r="R22">
        <v>407</v>
      </c>
      <c r="S22" t="s">
        <v>13</v>
      </c>
      <c r="T22">
        <v>0</v>
      </c>
      <c r="U22" t="s">
        <v>14</v>
      </c>
      <c r="V22" s="3" t="s">
        <v>14</v>
      </c>
      <c r="W22" t="s">
        <v>14</v>
      </c>
      <c r="X22" t="s">
        <v>14</v>
      </c>
      <c r="Y22" t="s">
        <v>14</v>
      </c>
      <c r="Z22" t="s">
        <v>14</v>
      </c>
      <c r="AA22" t="s">
        <v>14</v>
      </c>
      <c r="AC22">
        <v>58</v>
      </c>
      <c r="AD22" t="s">
        <v>48</v>
      </c>
      <c r="AE22" s="2">
        <v>46154.88958333333</v>
      </c>
      <c r="AF22">
        <v>407</v>
      </c>
      <c r="AG22" t="s">
        <v>13</v>
      </c>
      <c r="AH22">
        <v>0</v>
      </c>
      <c r="AI22">
        <v>12.343999999999999</v>
      </c>
      <c r="AJ22" s="3">
        <v>10310</v>
      </c>
      <c r="AK22">
        <v>1.8540000000000001</v>
      </c>
      <c r="AL22" t="s">
        <v>14</v>
      </c>
      <c r="AM22" t="s">
        <v>14</v>
      </c>
      <c r="AN22" t="s">
        <v>14</v>
      </c>
      <c r="AO22" t="s">
        <v>14</v>
      </c>
      <c r="AQ22">
        <v>2</v>
      </c>
      <c r="AR22" t="s">
        <v>62</v>
      </c>
      <c r="AS22" s="8">
        <v>58</v>
      </c>
      <c r="AT22" s="16">
        <f t="shared" si="0"/>
        <v>34.137890178577599</v>
      </c>
      <c r="AU22" s="17">
        <f t="shared" si="1"/>
        <v>1963.1213374189999</v>
      </c>
      <c r="AW22" s="9">
        <f t="shared" si="16"/>
        <v>32.610528190267999</v>
      </c>
      <c r="AX22" s="10">
        <f t="shared" si="17"/>
        <v>2445.43834879</v>
      </c>
      <c r="AZ22" s="11">
        <f t="shared" si="18"/>
        <v>36.919542468579202</v>
      </c>
      <c r="BA22" s="12">
        <f t="shared" si="19"/>
        <v>2141.2934932199996</v>
      </c>
      <c r="BC22" s="14">
        <f t="shared" si="20"/>
        <v>41.333396540292</v>
      </c>
      <c r="BD22" s="15">
        <f t="shared" si="21"/>
        <v>2208.3710503729999</v>
      </c>
      <c r="BF22" s="16">
        <f t="shared" si="8"/>
        <v>34.137890178577599</v>
      </c>
      <c r="BG22" s="17">
        <f t="shared" si="9"/>
        <v>1963.1213374189999</v>
      </c>
      <c r="BI22">
        <v>58</v>
      </c>
      <c r="BJ22" t="s">
        <v>48</v>
      </c>
      <c r="BK22" s="2">
        <v>46154.88958333333</v>
      </c>
      <c r="BL22">
        <v>407</v>
      </c>
      <c r="BM22" t="s">
        <v>13</v>
      </c>
      <c r="BN22">
        <v>0</v>
      </c>
      <c r="BO22">
        <v>2.8929999999999998</v>
      </c>
      <c r="BP22" s="3">
        <v>706434</v>
      </c>
      <c r="BQ22">
        <v>0</v>
      </c>
      <c r="BR22" t="s">
        <v>14</v>
      </c>
      <c r="BS22" t="s">
        <v>14</v>
      </c>
      <c r="BT22" t="s">
        <v>14</v>
      </c>
      <c r="BU22" t="s">
        <v>14</v>
      </c>
    </row>
    <row r="23" spans="1:73" x14ac:dyDescent="0.25">
      <c r="A23">
        <v>59</v>
      </c>
      <c r="B23" t="s">
        <v>49</v>
      </c>
      <c r="C23" s="2">
        <v>46154.910821759258</v>
      </c>
      <c r="D23">
        <v>328</v>
      </c>
      <c r="E23" t="s">
        <v>13</v>
      </c>
      <c r="F23">
        <v>0</v>
      </c>
      <c r="G23">
        <v>6.0910000000000002</v>
      </c>
      <c r="H23" s="3">
        <v>1952</v>
      </c>
      <c r="I23">
        <v>4.0000000000000001E-3</v>
      </c>
      <c r="J23" t="s">
        <v>14</v>
      </c>
      <c r="K23" t="s">
        <v>14</v>
      </c>
      <c r="L23" t="s">
        <v>14</v>
      </c>
      <c r="M23" t="s">
        <v>14</v>
      </c>
      <c r="O23">
        <v>59</v>
      </c>
      <c r="P23" t="s">
        <v>49</v>
      </c>
      <c r="Q23" s="2">
        <v>46154.910821759258</v>
      </c>
      <c r="R23">
        <v>328</v>
      </c>
      <c r="S23" t="s">
        <v>13</v>
      </c>
      <c r="T23">
        <v>0</v>
      </c>
      <c r="U23" t="s">
        <v>14</v>
      </c>
      <c r="V23" t="s">
        <v>14</v>
      </c>
      <c r="W23" t="s">
        <v>14</v>
      </c>
      <c r="X23" t="s">
        <v>14</v>
      </c>
      <c r="Y23" t="s">
        <v>14</v>
      </c>
      <c r="Z23" t="s">
        <v>14</v>
      </c>
      <c r="AA23" t="s">
        <v>14</v>
      </c>
      <c r="AC23">
        <v>59</v>
      </c>
      <c r="AD23" t="s">
        <v>49</v>
      </c>
      <c r="AE23" s="2">
        <v>46154.910821759258</v>
      </c>
      <c r="AF23">
        <v>328</v>
      </c>
      <c r="AG23" t="s">
        <v>13</v>
      </c>
      <c r="AH23">
        <v>0</v>
      </c>
      <c r="AI23">
        <v>12.271000000000001</v>
      </c>
      <c r="AJ23" s="3">
        <v>67523</v>
      </c>
      <c r="AK23">
        <v>11.625</v>
      </c>
      <c r="AL23" t="s">
        <v>14</v>
      </c>
      <c r="AM23" t="s">
        <v>14</v>
      </c>
      <c r="AN23" t="s">
        <v>14</v>
      </c>
      <c r="AO23" t="s">
        <v>14</v>
      </c>
      <c r="AQ23">
        <v>1</v>
      </c>
      <c r="AS23" s="8">
        <v>59</v>
      </c>
      <c r="AT23" s="16">
        <f t="shared" si="0"/>
        <v>6.4598085309440005</v>
      </c>
      <c r="AU23" s="17">
        <f t="shared" si="1"/>
        <v>12663.666752737152</v>
      </c>
      <c r="AW23" s="9">
        <f t="shared" si="16"/>
        <v>5.4762841600000005</v>
      </c>
      <c r="AX23" s="10">
        <f t="shared" si="17"/>
        <v>14761.969458863899</v>
      </c>
      <c r="AZ23" s="11">
        <f t="shared" si="18"/>
        <v>1.1949767705599994</v>
      </c>
      <c r="BA23" s="12">
        <f t="shared" si="19"/>
        <v>13269.733586638131</v>
      </c>
      <c r="BC23" s="14">
        <f t="shared" si="20"/>
        <v>3.5602249118719991</v>
      </c>
      <c r="BD23" s="15">
        <f t="shared" si="21"/>
        <v>15039.367744282019</v>
      </c>
      <c r="BF23" s="16">
        <f t="shared" si="8"/>
        <v>6.4598085309440005</v>
      </c>
      <c r="BG23" s="17">
        <f t="shared" si="9"/>
        <v>12663.666752737152</v>
      </c>
      <c r="BI23">
        <v>59</v>
      </c>
      <c r="BJ23" t="s">
        <v>49</v>
      </c>
      <c r="BK23" s="2">
        <v>46154.910821759258</v>
      </c>
      <c r="BL23">
        <v>328</v>
      </c>
      <c r="BM23" t="s">
        <v>13</v>
      </c>
      <c r="BN23">
        <v>0</v>
      </c>
      <c r="BO23">
        <v>2.8889999999999998</v>
      </c>
      <c r="BP23" s="3">
        <v>755722</v>
      </c>
      <c r="BQ23">
        <v>0</v>
      </c>
      <c r="BR23" t="s">
        <v>14</v>
      </c>
      <c r="BS23" t="s">
        <v>14</v>
      </c>
      <c r="BT23" t="s">
        <v>14</v>
      </c>
      <c r="BU23" t="s">
        <v>14</v>
      </c>
    </row>
    <row r="24" spans="1:73" x14ac:dyDescent="0.25">
      <c r="A24">
        <v>60</v>
      </c>
      <c r="B24" t="s">
        <v>50</v>
      </c>
      <c r="C24" s="2">
        <v>46154.93204861111</v>
      </c>
      <c r="D24">
        <v>237</v>
      </c>
      <c r="E24" t="s">
        <v>13</v>
      </c>
      <c r="F24">
        <v>0</v>
      </c>
      <c r="G24">
        <v>6.0629999999999997</v>
      </c>
      <c r="H24" s="3">
        <v>66305</v>
      </c>
      <c r="I24">
        <v>0.13500000000000001</v>
      </c>
      <c r="J24" t="s">
        <v>14</v>
      </c>
      <c r="K24" t="s">
        <v>14</v>
      </c>
      <c r="L24" t="s">
        <v>14</v>
      </c>
      <c r="M24" t="s">
        <v>14</v>
      </c>
      <c r="O24">
        <v>60</v>
      </c>
      <c r="P24" t="s">
        <v>50</v>
      </c>
      <c r="Q24" s="2">
        <v>46154.93204861111</v>
      </c>
      <c r="R24">
        <v>237</v>
      </c>
      <c r="S24" t="s">
        <v>13</v>
      </c>
      <c r="T24">
        <v>0</v>
      </c>
      <c r="U24" t="s">
        <v>14</v>
      </c>
      <c r="V24" s="3" t="s">
        <v>14</v>
      </c>
      <c r="W24" t="s">
        <v>14</v>
      </c>
      <c r="X24" t="s">
        <v>14</v>
      </c>
      <c r="Y24" t="s">
        <v>14</v>
      </c>
      <c r="Z24" t="s">
        <v>14</v>
      </c>
      <c r="AA24" t="s">
        <v>14</v>
      </c>
      <c r="AC24">
        <v>60</v>
      </c>
      <c r="AD24" t="s">
        <v>50</v>
      </c>
      <c r="AE24" s="2">
        <v>46154.93204861111</v>
      </c>
      <c r="AF24">
        <v>237</v>
      </c>
      <c r="AG24" t="s">
        <v>13</v>
      </c>
      <c r="AH24">
        <v>0</v>
      </c>
      <c r="AI24">
        <v>12.361000000000001</v>
      </c>
      <c r="AJ24" s="3">
        <v>1679</v>
      </c>
      <c r="AK24">
        <v>0.379</v>
      </c>
      <c r="AL24" t="s">
        <v>14</v>
      </c>
      <c r="AM24" t="s">
        <v>14</v>
      </c>
      <c r="AN24" t="s">
        <v>14</v>
      </c>
      <c r="AO24" t="s">
        <v>14</v>
      </c>
      <c r="AQ24">
        <v>1</v>
      </c>
      <c r="AS24" s="8">
        <v>60</v>
      </c>
      <c r="AT24" s="16">
        <f t="shared" si="0"/>
        <v>146.04811272139</v>
      </c>
      <c r="AU24" s="17">
        <f t="shared" si="1"/>
        <v>356.64119347739</v>
      </c>
      <c r="AW24" s="9">
        <f t="shared" si="16"/>
        <v>184.41306627957502</v>
      </c>
      <c r="AX24" s="10">
        <f t="shared" si="17"/>
        <v>386.67023539989998</v>
      </c>
      <c r="AZ24" s="11">
        <f t="shared" si="18"/>
        <v>186.62752824638002</v>
      </c>
      <c r="BA24" s="12">
        <f t="shared" si="19"/>
        <v>378.12642134820004</v>
      </c>
      <c r="BC24" s="14">
        <f t="shared" si="20"/>
        <v>179.85276915442498</v>
      </c>
      <c r="BD24" s="15">
        <f t="shared" si="21"/>
        <v>248.16996965813001</v>
      </c>
      <c r="BF24" s="16">
        <f t="shared" si="8"/>
        <v>146.04811272139</v>
      </c>
      <c r="BG24" s="17">
        <f t="shared" si="9"/>
        <v>356.64119347739</v>
      </c>
      <c r="BI24">
        <v>60</v>
      </c>
      <c r="BJ24" t="s">
        <v>50</v>
      </c>
      <c r="BK24" s="2">
        <v>46154.93204861111</v>
      </c>
      <c r="BL24">
        <v>237</v>
      </c>
      <c r="BM24" t="s">
        <v>13</v>
      </c>
      <c r="BN24">
        <v>0</v>
      </c>
      <c r="BO24">
        <v>2.8940000000000001</v>
      </c>
      <c r="BP24" s="3">
        <v>693067</v>
      </c>
      <c r="BQ24">
        <v>0</v>
      </c>
      <c r="BR24" t="s">
        <v>14</v>
      </c>
      <c r="BS24" t="s">
        <v>14</v>
      </c>
      <c r="BT24" t="s">
        <v>14</v>
      </c>
      <c r="BU24" t="s">
        <v>14</v>
      </c>
    </row>
    <row r="25" spans="1:73" x14ac:dyDescent="0.25">
      <c r="A25">
        <v>61</v>
      </c>
      <c r="B25" t="s">
        <v>51</v>
      </c>
      <c r="C25" s="2">
        <v>46154.953275462962</v>
      </c>
      <c r="D25">
        <v>120</v>
      </c>
      <c r="E25" t="s">
        <v>13</v>
      </c>
      <c r="F25">
        <v>0</v>
      </c>
      <c r="G25">
        <v>6.0650000000000004</v>
      </c>
      <c r="H25" s="3">
        <v>16087</v>
      </c>
      <c r="I25">
        <v>3.3000000000000002E-2</v>
      </c>
      <c r="J25" t="s">
        <v>14</v>
      </c>
      <c r="K25" t="s">
        <v>14</v>
      </c>
      <c r="L25" t="s">
        <v>14</v>
      </c>
      <c r="M25" t="s">
        <v>14</v>
      </c>
      <c r="O25">
        <v>61</v>
      </c>
      <c r="P25" t="s">
        <v>51</v>
      </c>
      <c r="Q25" s="2">
        <v>46154.953275462962</v>
      </c>
      <c r="R25">
        <v>120</v>
      </c>
      <c r="S25" t="s">
        <v>13</v>
      </c>
      <c r="T25">
        <v>0</v>
      </c>
      <c r="U25" t="s">
        <v>14</v>
      </c>
      <c r="V25" t="s">
        <v>14</v>
      </c>
      <c r="W25" t="s">
        <v>14</v>
      </c>
      <c r="X25" t="s">
        <v>14</v>
      </c>
      <c r="Y25" t="s">
        <v>14</v>
      </c>
      <c r="Z25" t="s">
        <v>14</v>
      </c>
      <c r="AA25" t="s">
        <v>14</v>
      </c>
      <c r="AC25">
        <v>61</v>
      </c>
      <c r="AD25" t="s">
        <v>51</v>
      </c>
      <c r="AE25" s="2">
        <v>46154.953275462962</v>
      </c>
      <c r="AF25">
        <v>120</v>
      </c>
      <c r="AG25" t="s">
        <v>13</v>
      </c>
      <c r="AH25">
        <v>0</v>
      </c>
      <c r="AI25">
        <v>12.332000000000001</v>
      </c>
      <c r="AJ25" s="3">
        <v>12600</v>
      </c>
      <c r="AK25">
        <v>2.2450000000000001</v>
      </c>
      <c r="AL25" t="s">
        <v>14</v>
      </c>
      <c r="AM25" t="s">
        <v>14</v>
      </c>
      <c r="AN25" t="s">
        <v>14</v>
      </c>
      <c r="AO25" t="s">
        <v>14</v>
      </c>
      <c r="AQ25">
        <v>1</v>
      </c>
      <c r="AS25" s="8">
        <v>61</v>
      </c>
      <c r="AT25" s="16">
        <f t="shared" si="0"/>
        <v>38.1302508534284</v>
      </c>
      <c r="AU25" s="17">
        <f t="shared" si="1"/>
        <v>2390.2520204000002</v>
      </c>
      <c r="AW25" s="9">
        <f t="shared" si="16"/>
        <v>38.124626695686999</v>
      </c>
      <c r="AX25" s="10">
        <f t="shared" si="17"/>
        <v>2980.2695640000002</v>
      </c>
      <c r="AZ25" s="11">
        <f t="shared" si="18"/>
        <v>42.240473994872808</v>
      </c>
      <c r="BA25" s="12">
        <f t="shared" si="19"/>
        <v>2607.6061519999998</v>
      </c>
      <c r="BC25" s="14">
        <f t="shared" si="20"/>
        <v>46.256271817353003</v>
      </c>
      <c r="BD25" s="15">
        <f t="shared" si="21"/>
        <v>2727.2296468</v>
      </c>
      <c r="BF25" s="16">
        <f t="shared" si="8"/>
        <v>38.1302508534284</v>
      </c>
      <c r="BG25" s="17">
        <f t="shared" si="9"/>
        <v>2390.2520204000002</v>
      </c>
      <c r="BI25">
        <v>61</v>
      </c>
      <c r="BJ25" t="s">
        <v>51</v>
      </c>
      <c r="BK25" s="2">
        <v>46154.953275462962</v>
      </c>
      <c r="BL25">
        <v>120</v>
      </c>
      <c r="BM25" t="s">
        <v>13</v>
      </c>
      <c r="BN25">
        <v>0</v>
      </c>
      <c r="BO25">
        <v>2.891</v>
      </c>
      <c r="BP25" s="3">
        <v>731966</v>
      </c>
      <c r="BQ25">
        <v>0</v>
      </c>
      <c r="BR25" t="s">
        <v>14</v>
      </c>
      <c r="BS25" t="s">
        <v>14</v>
      </c>
      <c r="BT25" t="s">
        <v>14</v>
      </c>
      <c r="BU25" t="s">
        <v>14</v>
      </c>
    </row>
    <row r="26" spans="1:73" x14ac:dyDescent="0.25">
      <c r="A26">
        <v>62</v>
      </c>
      <c r="B26" t="s">
        <v>52</v>
      </c>
      <c r="C26" s="2">
        <v>46154.974502314813</v>
      </c>
      <c r="D26">
        <v>290</v>
      </c>
      <c r="E26" t="s">
        <v>13</v>
      </c>
      <c r="F26">
        <v>0</v>
      </c>
      <c r="G26">
        <v>6.09</v>
      </c>
      <c r="H26" s="3">
        <v>2080</v>
      </c>
      <c r="I26">
        <v>4.0000000000000001E-3</v>
      </c>
      <c r="J26" t="s">
        <v>14</v>
      </c>
      <c r="K26" t="s">
        <v>14</v>
      </c>
      <c r="L26" t="s">
        <v>14</v>
      </c>
      <c r="M26" t="s">
        <v>14</v>
      </c>
      <c r="O26">
        <v>62</v>
      </c>
      <c r="P26" t="s">
        <v>52</v>
      </c>
      <c r="Q26" s="2">
        <v>46154.974502314813</v>
      </c>
      <c r="R26">
        <v>290</v>
      </c>
      <c r="S26" t="s">
        <v>13</v>
      </c>
      <c r="T26">
        <v>0</v>
      </c>
      <c r="U26" t="s">
        <v>14</v>
      </c>
      <c r="V26" s="3" t="s">
        <v>14</v>
      </c>
      <c r="W26" t="s">
        <v>14</v>
      </c>
      <c r="X26" t="s">
        <v>14</v>
      </c>
      <c r="Y26" t="s">
        <v>14</v>
      </c>
      <c r="Z26" t="s">
        <v>14</v>
      </c>
      <c r="AA26" t="s">
        <v>14</v>
      </c>
      <c r="AC26">
        <v>62</v>
      </c>
      <c r="AD26" t="s">
        <v>52</v>
      </c>
      <c r="AE26" s="2">
        <v>46154.974502314813</v>
      </c>
      <c r="AF26">
        <v>290</v>
      </c>
      <c r="AG26" t="s">
        <v>13</v>
      </c>
      <c r="AH26">
        <v>0</v>
      </c>
      <c r="AI26">
        <v>12.28</v>
      </c>
      <c r="AJ26" s="3">
        <v>65937</v>
      </c>
      <c r="AK26">
        <v>11.355</v>
      </c>
      <c r="AL26" t="s">
        <v>14</v>
      </c>
      <c r="AM26" t="s">
        <v>14</v>
      </c>
      <c r="AN26" t="s">
        <v>14</v>
      </c>
      <c r="AO26" t="s">
        <v>14</v>
      </c>
      <c r="AQ26">
        <v>1</v>
      </c>
      <c r="AS26" s="8">
        <v>62</v>
      </c>
      <c r="AT26" s="16">
        <f t="shared" si="0"/>
        <v>6.7913317504000004</v>
      </c>
      <c r="AU26" s="17">
        <f t="shared" si="1"/>
        <v>12404.031136864429</v>
      </c>
      <c r="AW26" s="9">
        <f t="shared" si="16"/>
        <v>5.1450560000000003</v>
      </c>
      <c r="AX26" s="10">
        <f t="shared" si="17"/>
        <v>14377.7744620679</v>
      </c>
      <c r="AZ26" s="11">
        <f t="shared" si="18"/>
        <v>1.5384504960000003</v>
      </c>
      <c r="BA26" s="12">
        <f t="shared" si="19"/>
        <v>12947.62815810493</v>
      </c>
      <c r="BC26" s="14">
        <f t="shared" si="20"/>
        <v>4.0103041152000003</v>
      </c>
      <c r="BD26" s="15">
        <f t="shared" si="21"/>
        <v>14701.101453769221</v>
      </c>
      <c r="BF26" s="16">
        <f t="shared" si="8"/>
        <v>6.7913317504000004</v>
      </c>
      <c r="BG26" s="17">
        <f t="shared" si="9"/>
        <v>12404.031136864429</v>
      </c>
      <c r="BI26">
        <v>62</v>
      </c>
      <c r="BJ26" t="s">
        <v>52</v>
      </c>
      <c r="BK26" s="2">
        <v>46154.974502314813</v>
      </c>
      <c r="BL26">
        <v>290</v>
      </c>
      <c r="BM26" t="s">
        <v>13</v>
      </c>
      <c r="BN26">
        <v>0</v>
      </c>
      <c r="BO26">
        <v>2.895</v>
      </c>
      <c r="BP26" s="3">
        <v>764794</v>
      </c>
      <c r="BQ26">
        <v>0</v>
      </c>
      <c r="BR26" t="s">
        <v>14</v>
      </c>
      <c r="BS26" t="s">
        <v>14</v>
      </c>
      <c r="BT26" t="s">
        <v>14</v>
      </c>
      <c r="BU26" t="s">
        <v>14</v>
      </c>
    </row>
    <row r="27" spans="1:73" x14ac:dyDescent="0.25">
      <c r="A27">
        <v>63</v>
      </c>
      <c r="B27" t="s">
        <v>53</v>
      </c>
      <c r="C27" s="2">
        <v>46154.995729166665</v>
      </c>
      <c r="D27">
        <v>359</v>
      </c>
      <c r="E27" t="s">
        <v>13</v>
      </c>
      <c r="F27">
        <v>0</v>
      </c>
      <c r="G27">
        <v>6.1130000000000004</v>
      </c>
      <c r="H27" s="3">
        <v>1101</v>
      </c>
      <c r="I27">
        <v>2E-3</v>
      </c>
      <c r="J27" t="s">
        <v>14</v>
      </c>
      <c r="K27" t="s">
        <v>14</v>
      </c>
      <c r="L27" t="s">
        <v>14</v>
      </c>
      <c r="M27" t="s">
        <v>14</v>
      </c>
      <c r="O27">
        <v>63</v>
      </c>
      <c r="P27" t="s">
        <v>53</v>
      </c>
      <c r="Q27" s="2">
        <v>46154.995729166665</v>
      </c>
      <c r="R27">
        <v>359</v>
      </c>
      <c r="S27" t="s">
        <v>13</v>
      </c>
      <c r="T27">
        <v>0</v>
      </c>
      <c r="U27" t="s">
        <v>14</v>
      </c>
      <c r="V27" t="s">
        <v>14</v>
      </c>
      <c r="W27" t="s">
        <v>14</v>
      </c>
      <c r="X27" t="s">
        <v>14</v>
      </c>
      <c r="Y27" t="s">
        <v>14</v>
      </c>
      <c r="Z27" t="s">
        <v>14</v>
      </c>
      <c r="AA27" t="s">
        <v>14</v>
      </c>
      <c r="AC27">
        <v>63</v>
      </c>
      <c r="AD27" t="s">
        <v>53</v>
      </c>
      <c r="AE27" s="2">
        <v>46154.995729166665</v>
      </c>
      <c r="AF27">
        <v>359</v>
      </c>
      <c r="AG27" t="s">
        <v>13</v>
      </c>
      <c r="AH27">
        <v>0</v>
      </c>
      <c r="AI27">
        <v>12.33</v>
      </c>
      <c r="AJ27" s="3">
        <v>25577</v>
      </c>
      <c r="AK27">
        <v>4.4619999999999997</v>
      </c>
      <c r="AL27" t="s">
        <v>14</v>
      </c>
      <c r="AM27" t="s">
        <v>14</v>
      </c>
      <c r="AN27" t="s">
        <v>14</v>
      </c>
      <c r="AO27" t="s">
        <v>14</v>
      </c>
      <c r="AQ27">
        <v>1</v>
      </c>
      <c r="AS27" s="8">
        <v>63</v>
      </c>
      <c r="AT27" s="16">
        <f t="shared" si="0"/>
        <v>4.2526028854859996</v>
      </c>
      <c r="AU27" s="17">
        <f t="shared" si="1"/>
        <v>4817.8121070289098</v>
      </c>
      <c r="AW27" s="9">
        <f t="shared" si="16"/>
        <v>8.1283235400000002</v>
      </c>
      <c r="AX27" s="10">
        <f t="shared" si="17"/>
        <v>5920.6951660830991</v>
      </c>
      <c r="AZ27" s="11">
        <f t="shared" si="18"/>
        <v>-1.0409818348600002</v>
      </c>
      <c r="BA27" s="12">
        <f t="shared" si="19"/>
        <v>5238.2648608458003</v>
      </c>
      <c r="BC27" s="14">
        <f t="shared" si="20"/>
        <v>0.5749772230929997</v>
      </c>
      <c r="BD27" s="15">
        <f t="shared" si="21"/>
        <v>5657.7821436739705</v>
      </c>
      <c r="BF27" s="16">
        <f t="shared" si="8"/>
        <v>4.2526028854859996</v>
      </c>
      <c r="BG27" s="17">
        <f t="shared" si="9"/>
        <v>4817.8121070289098</v>
      </c>
      <c r="BI27">
        <v>63</v>
      </c>
      <c r="BJ27" t="s">
        <v>53</v>
      </c>
      <c r="BK27" s="2">
        <v>46154.995729166665</v>
      </c>
      <c r="BL27">
        <v>359</v>
      </c>
      <c r="BM27" t="s">
        <v>13</v>
      </c>
      <c r="BN27">
        <v>0</v>
      </c>
      <c r="BO27">
        <v>2.9020000000000001</v>
      </c>
      <c r="BP27" s="3">
        <v>631896</v>
      </c>
      <c r="BQ27">
        <v>0</v>
      </c>
      <c r="BR27" t="s">
        <v>14</v>
      </c>
      <c r="BS27" t="s">
        <v>14</v>
      </c>
      <c r="BT27" t="s">
        <v>14</v>
      </c>
      <c r="BU27" t="s">
        <v>14</v>
      </c>
    </row>
    <row r="28" spans="1:73" x14ac:dyDescent="0.25">
      <c r="A28">
        <v>64</v>
      </c>
      <c r="B28" t="s">
        <v>54</v>
      </c>
      <c r="C28" s="2">
        <v>46155.017002314817</v>
      </c>
      <c r="D28">
        <v>317</v>
      </c>
      <c r="E28" t="s">
        <v>13</v>
      </c>
      <c r="F28">
        <v>0</v>
      </c>
      <c r="G28">
        <v>6.0650000000000004</v>
      </c>
      <c r="H28" s="3">
        <v>16545</v>
      </c>
      <c r="I28">
        <v>3.4000000000000002E-2</v>
      </c>
      <c r="J28" t="s">
        <v>14</v>
      </c>
      <c r="K28" t="s">
        <v>14</v>
      </c>
      <c r="L28" t="s">
        <v>14</v>
      </c>
      <c r="M28" t="s">
        <v>14</v>
      </c>
      <c r="O28">
        <v>64</v>
      </c>
      <c r="P28" t="s">
        <v>54</v>
      </c>
      <c r="Q28" s="2">
        <v>46155.017002314817</v>
      </c>
      <c r="R28">
        <v>317</v>
      </c>
      <c r="S28" t="s">
        <v>13</v>
      </c>
      <c r="T28">
        <v>0</v>
      </c>
      <c r="U28" t="s">
        <v>14</v>
      </c>
      <c r="V28" t="s">
        <v>14</v>
      </c>
      <c r="W28" t="s">
        <v>14</v>
      </c>
      <c r="X28" t="s">
        <v>14</v>
      </c>
      <c r="Y28" t="s">
        <v>14</v>
      </c>
      <c r="Z28" t="s">
        <v>14</v>
      </c>
      <c r="AA28" t="s">
        <v>14</v>
      </c>
      <c r="AC28">
        <v>64</v>
      </c>
      <c r="AD28" t="s">
        <v>54</v>
      </c>
      <c r="AE28" s="2">
        <v>46155.017002314817</v>
      </c>
      <c r="AF28">
        <v>317</v>
      </c>
      <c r="AG28" t="s">
        <v>13</v>
      </c>
      <c r="AH28">
        <v>0</v>
      </c>
      <c r="AI28">
        <v>12.335000000000001</v>
      </c>
      <c r="AJ28" s="3">
        <v>13084</v>
      </c>
      <c r="AK28">
        <v>2.3279999999999998</v>
      </c>
      <c r="AL28" t="s">
        <v>14</v>
      </c>
      <c r="AM28" t="s">
        <v>14</v>
      </c>
      <c r="AN28" t="s">
        <v>14</v>
      </c>
      <c r="AO28" t="s">
        <v>14</v>
      </c>
      <c r="AQ28">
        <v>1</v>
      </c>
      <c r="AS28" s="8">
        <v>64</v>
      </c>
      <c r="AT28" s="16">
        <f t="shared" si="0"/>
        <v>39.123065383789999</v>
      </c>
      <c r="AU28" s="17">
        <f t="shared" si="1"/>
        <v>2480.5757278942401</v>
      </c>
      <c r="AW28" s="9">
        <f t="shared" si="16"/>
        <v>39.494751711574999</v>
      </c>
      <c r="AX28" s="10">
        <f t="shared" si="17"/>
        <v>3092.6957593584002</v>
      </c>
      <c r="AZ28" s="11">
        <f t="shared" si="18"/>
        <v>43.563899747180002</v>
      </c>
      <c r="BA28" s="12">
        <f t="shared" si="19"/>
        <v>2706.0827748511997</v>
      </c>
      <c r="BC28" s="14">
        <f t="shared" si="20"/>
        <v>47.480697162424995</v>
      </c>
      <c r="BD28" s="15">
        <f t="shared" si="21"/>
        <v>2836.8264548820803</v>
      </c>
      <c r="BF28" s="16">
        <f t="shared" si="8"/>
        <v>39.123065383789999</v>
      </c>
      <c r="BG28" s="17">
        <f t="shared" si="9"/>
        <v>2480.5757278942401</v>
      </c>
      <c r="BI28">
        <v>64</v>
      </c>
      <c r="BJ28" t="s">
        <v>54</v>
      </c>
      <c r="BK28" s="2">
        <v>46155.017002314817</v>
      </c>
      <c r="BL28">
        <v>317</v>
      </c>
      <c r="BM28" t="s">
        <v>13</v>
      </c>
      <c r="BN28">
        <v>0</v>
      </c>
      <c r="BO28">
        <v>2.8889999999999998</v>
      </c>
      <c r="BP28" s="3">
        <v>759393</v>
      </c>
      <c r="BQ28">
        <v>0</v>
      </c>
      <c r="BR28" t="s">
        <v>14</v>
      </c>
      <c r="BS28" t="s">
        <v>14</v>
      </c>
      <c r="BT28" t="s">
        <v>14</v>
      </c>
      <c r="BU28" t="s">
        <v>14</v>
      </c>
    </row>
    <row r="29" spans="1:73" x14ac:dyDescent="0.25">
      <c r="A29">
        <v>65</v>
      </c>
      <c r="B29" t="s">
        <v>55</v>
      </c>
      <c r="C29" s="2">
        <v>46155.038240740738</v>
      </c>
      <c r="D29">
        <v>286</v>
      </c>
      <c r="E29" t="s">
        <v>13</v>
      </c>
      <c r="F29">
        <v>0</v>
      </c>
      <c r="G29">
        <v>6.0739999999999998</v>
      </c>
      <c r="H29" s="3">
        <v>4871</v>
      </c>
      <c r="I29">
        <v>0.01</v>
      </c>
      <c r="J29" t="s">
        <v>14</v>
      </c>
      <c r="K29" t="s">
        <v>14</v>
      </c>
      <c r="L29" t="s">
        <v>14</v>
      </c>
      <c r="M29" t="s">
        <v>14</v>
      </c>
      <c r="O29">
        <v>65</v>
      </c>
      <c r="P29" t="s">
        <v>55</v>
      </c>
      <c r="Q29" s="2">
        <v>46155.038240740738</v>
      </c>
      <c r="R29">
        <v>286</v>
      </c>
      <c r="S29" t="s">
        <v>13</v>
      </c>
      <c r="T29">
        <v>0</v>
      </c>
      <c r="U29" t="s">
        <v>14</v>
      </c>
      <c r="V29" s="3" t="s">
        <v>14</v>
      </c>
      <c r="W29" t="s">
        <v>14</v>
      </c>
      <c r="X29" t="s">
        <v>14</v>
      </c>
      <c r="Y29" t="s">
        <v>14</v>
      </c>
      <c r="Z29" t="s">
        <v>14</v>
      </c>
      <c r="AA29" t="s">
        <v>14</v>
      </c>
      <c r="AC29">
        <v>65</v>
      </c>
      <c r="AD29" t="s">
        <v>55</v>
      </c>
      <c r="AE29" s="2">
        <v>46155.038240740738</v>
      </c>
      <c r="AF29">
        <v>286</v>
      </c>
      <c r="AG29" t="s">
        <v>13</v>
      </c>
      <c r="AH29">
        <v>0</v>
      </c>
      <c r="AI29">
        <v>12.298999999999999</v>
      </c>
      <c r="AJ29" s="3">
        <v>42211</v>
      </c>
      <c r="AK29" s="13">
        <v>7.3029999999999999</v>
      </c>
      <c r="AL29" t="s">
        <v>14</v>
      </c>
      <c r="AM29" t="s">
        <v>14</v>
      </c>
      <c r="AN29" t="s">
        <v>14</v>
      </c>
      <c r="AO29" t="s">
        <v>14</v>
      </c>
      <c r="AQ29">
        <v>1</v>
      </c>
      <c r="AS29" s="8">
        <v>65</v>
      </c>
      <c r="AT29" s="16">
        <f t="shared" si="0"/>
        <v>13.989834255325999</v>
      </c>
      <c r="AU29" s="17">
        <f t="shared" si="1"/>
        <v>7947.1021953665895</v>
      </c>
      <c r="AW29" s="9">
        <f t="shared" si="16"/>
        <v>2.3220711400000003</v>
      </c>
      <c r="AX29" s="10">
        <f t="shared" si="17"/>
        <v>9465.0993775719016</v>
      </c>
      <c r="AZ29" s="11">
        <f t="shared" si="18"/>
        <v>9.4933032667399999</v>
      </c>
      <c r="BA29" s="12">
        <f t="shared" si="19"/>
        <v>8580.8052424441994</v>
      </c>
      <c r="BC29" s="14">
        <f t="shared" si="20"/>
        <v>13.893332362013</v>
      </c>
      <c r="BD29" s="15">
        <f t="shared" si="21"/>
        <v>9390.0133186745297</v>
      </c>
      <c r="BF29" s="16">
        <f t="shared" si="8"/>
        <v>13.989834255325999</v>
      </c>
      <c r="BG29" s="17">
        <f t="shared" si="9"/>
        <v>7947.1021953665895</v>
      </c>
      <c r="BI29">
        <v>65</v>
      </c>
      <c r="BJ29" t="s">
        <v>55</v>
      </c>
      <c r="BK29" s="2">
        <v>46155.038240740738</v>
      </c>
      <c r="BL29">
        <v>286</v>
      </c>
      <c r="BM29" t="s">
        <v>13</v>
      </c>
      <c r="BN29">
        <v>0</v>
      </c>
      <c r="BO29">
        <v>2.89</v>
      </c>
      <c r="BP29" s="3">
        <v>733382</v>
      </c>
      <c r="BQ29">
        <v>0</v>
      </c>
      <c r="BR29" t="s">
        <v>14</v>
      </c>
      <c r="BS29" t="s">
        <v>14</v>
      </c>
      <c r="BT29" t="s">
        <v>14</v>
      </c>
      <c r="BU29" t="s">
        <v>14</v>
      </c>
    </row>
    <row r="30" spans="1:73" x14ac:dyDescent="0.25">
      <c r="A30">
        <v>66</v>
      </c>
      <c r="B30" t="s">
        <v>56</v>
      </c>
      <c r="C30" s="2">
        <v>46155.05945601852</v>
      </c>
      <c r="D30">
        <v>119</v>
      </c>
      <c r="E30" t="s">
        <v>13</v>
      </c>
      <c r="F30">
        <v>0</v>
      </c>
      <c r="G30">
        <v>6.1020000000000003</v>
      </c>
      <c r="H30" s="3">
        <v>1782</v>
      </c>
      <c r="I30">
        <v>4.0000000000000001E-3</v>
      </c>
      <c r="J30" t="s">
        <v>14</v>
      </c>
      <c r="K30" t="s">
        <v>14</v>
      </c>
      <c r="L30" t="s">
        <v>14</v>
      </c>
      <c r="M30" t="s">
        <v>14</v>
      </c>
      <c r="O30">
        <v>66</v>
      </c>
      <c r="P30" t="s">
        <v>56</v>
      </c>
      <c r="Q30" s="2">
        <v>46155.05945601852</v>
      </c>
      <c r="R30">
        <v>119</v>
      </c>
      <c r="S30" t="s">
        <v>13</v>
      </c>
      <c r="T30">
        <v>0</v>
      </c>
      <c r="U30" t="s">
        <v>14</v>
      </c>
      <c r="V30" t="s">
        <v>14</v>
      </c>
      <c r="W30" t="s">
        <v>14</v>
      </c>
      <c r="X30" t="s">
        <v>14</v>
      </c>
      <c r="Y30" t="s">
        <v>14</v>
      </c>
      <c r="Z30" t="s">
        <v>14</v>
      </c>
      <c r="AA30" t="s">
        <v>14</v>
      </c>
      <c r="AC30">
        <v>66</v>
      </c>
      <c r="AD30" t="s">
        <v>56</v>
      </c>
      <c r="AE30" s="2">
        <v>46155.05945601852</v>
      </c>
      <c r="AF30">
        <v>119</v>
      </c>
      <c r="AG30" t="s">
        <v>13</v>
      </c>
      <c r="AH30">
        <v>0</v>
      </c>
      <c r="AI30">
        <v>12.282</v>
      </c>
      <c r="AJ30" s="3">
        <v>67899</v>
      </c>
      <c r="AK30">
        <v>11.69</v>
      </c>
      <c r="AL30" t="s">
        <v>14</v>
      </c>
      <c r="AM30" t="s">
        <v>14</v>
      </c>
      <c r="AN30" t="s">
        <v>14</v>
      </c>
      <c r="AO30" t="s">
        <v>14</v>
      </c>
      <c r="AQ30">
        <v>1</v>
      </c>
      <c r="AS30" s="8">
        <v>66</v>
      </c>
      <c r="AT30" s="16">
        <f t="shared" si="0"/>
        <v>6.0193161038640008</v>
      </c>
      <c r="AU30" s="17">
        <f t="shared" si="1"/>
        <v>12725.221394973461</v>
      </c>
      <c r="AW30" s="9">
        <f t="shared" si="16"/>
        <v>5.9435529600000008</v>
      </c>
      <c r="AX30" s="10">
        <f t="shared" si="17"/>
        <v>14853.022085179102</v>
      </c>
      <c r="AZ30" s="11">
        <f t="shared" si="18"/>
        <v>0.7416954413600001</v>
      </c>
      <c r="BA30" s="12">
        <f t="shared" si="19"/>
        <v>13346.07881094997</v>
      </c>
      <c r="BC30" s="14">
        <f t="shared" si="20"/>
        <v>2.962893725332</v>
      </c>
      <c r="BD30" s="15">
        <f t="shared" si="21"/>
        <v>15119.554187985381</v>
      </c>
      <c r="BF30" s="16">
        <f t="shared" si="8"/>
        <v>6.0193161038640008</v>
      </c>
      <c r="BG30" s="17">
        <f t="shared" si="9"/>
        <v>12725.221394973461</v>
      </c>
      <c r="BI30">
        <v>66</v>
      </c>
      <c r="BJ30" t="s">
        <v>56</v>
      </c>
      <c r="BK30" s="2">
        <v>46155.05945601852</v>
      </c>
      <c r="BL30">
        <v>119</v>
      </c>
      <c r="BM30" t="s">
        <v>13</v>
      </c>
      <c r="BN30">
        <v>0</v>
      </c>
      <c r="BO30">
        <v>2.8959999999999999</v>
      </c>
      <c r="BP30" s="3">
        <v>788484</v>
      </c>
      <c r="BQ30">
        <v>0</v>
      </c>
      <c r="BR30" t="s">
        <v>14</v>
      </c>
      <c r="BS30" t="s">
        <v>14</v>
      </c>
      <c r="BT30" t="s">
        <v>14</v>
      </c>
      <c r="BU30" t="s">
        <v>14</v>
      </c>
    </row>
    <row r="31" spans="1:73" x14ac:dyDescent="0.25">
      <c r="A31">
        <v>67</v>
      </c>
      <c r="B31" t="s">
        <v>57</v>
      </c>
      <c r="C31" s="2">
        <v>46155.080659722225</v>
      </c>
      <c r="D31">
        <v>241</v>
      </c>
      <c r="E31" t="s">
        <v>13</v>
      </c>
      <c r="F31">
        <v>0</v>
      </c>
      <c r="G31">
        <v>6.0640000000000001</v>
      </c>
      <c r="H31" s="3">
        <v>70924</v>
      </c>
      <c r="I31">
        <v>0.14399999999999999</v>
      </c>
      <c r="J31" t="s">
        <v>14</v>
      </c>
      <c r="K31" t="s">
        <v>14</v>
      </c>
      <c r="L31" t="s">
        <v>14</v>
      </c>
      <c r="M31" t="s">
        <v>14</v>
      </c>
      <c r="O31">
        <v>67</v>
      </c>
      <c r="P31" t="s">
        <v>57</v>
      </c>
      <c r="Q31" s="2">
        <v>46155.080659722225</v>
      </c>
      <c r="R31">
        <v>241</v>
      </c>
      <c r="S31" t="s">
        <v>13</v>
      </c>
      <c r="T31">
        <v>0</v>
      </c>
      <c r="U31" t="s">
        <v>14</v>
      </c>
      <c r="V31" t="s">
        <v>14</v>
      </c>
      <c r="W31" t="s">
        <v>14</v>
      </c>
      <c r="X31" t="s">
        <v>14</v>
      </c>
      <c r="Y31" t="s">
        <v>14</v>
      </c>
      <c r="Z31" t="s">
        <v>14</v>
      </c>
      <c r="AA31" t="s">
        <v>14</v>
      </c>
      <c r="AC31">
        <v>67</v>
      </c>
      <c r="AD31" t="s">
        <v>57</v>
      </c>
      <c r="AE31" s="2">
        <v>46155.080659722225</v>
      </c>
      <c r="AF31">
        <v>241</v>
      </c>
      <c r="AG31" t="s">
        <v>13</v>
      </c>
      <c r="AH31">
        <v>0</v>
      </c>
      <c r="AI31">
        <v>12.359</v>
      </c>
      <c r="AJ31" s="3">
        <v>1960</v>
      </c>
      <c r="AK31">
        <v>0.42699999999999999</v>
      </c>
      <c r="AL31" t="s">
        <v>14</v>
      </c>
      <c r="AM31" t="s">
        <v>14</v>
      </c>
      <c r="AN31" t="s">
        <v>14</v>
      </c>
      <c r="AO31" t="s">
        <v>14</v>
      </c>
      <c r="AQ31">
        <v>1</v>
      </c>
      <c r="AS31" s="8">
        <v>67</v>
      </c>
      <c r="AT31" s="16">
        <f t="shared" si="0"/>
        <v>155.87894753471357</v>
      </c>
      <c r="AU31" s="17">
        <f t="shared" si="1"/>
        <v>408.85949086399995</v>
      </c>
      <c r="AW31" s="9">
        <f t="shared" si="16"/>
        <v>197.469084875248</v>
      </c>
      <c r="AX31" s="10">
        <f t="shared" si="17"/>
        <v>454.76784624000004</v>
      </c>
      <c r="AZ31" s="11">
        <f t="shared" si="18"/>
        <v>199.8349502614912</v>
      </c>
      <c r="BA31" s="12">
        <f t="shared" si="19"/>
        <v>435.67027231999998</v>
      </c>
      <c r="BC31" s="14">
        <f t="shared" si="20"/>
        <v>192.074221776912</v>
      </c>
      <c r="BD31" s="15">
        <f t="shared" si="21"/>
        <v>312.10349268800002</v>
      </c>
      <c r="BF31" s="16">
        <f t="shared" si="8"/>
        <v>155.87894753471357</v>
      </c>
      <c r="BG31" s="17">
        <f t="shared" si="9"/>
        <v>408.85949086399995</v>
      </c>
      <c r="BI31">
        <v>67</v>
      </c>
      <c r="BJ31" t="s">
        <v>57</v>
      </c>
      <c r="BK31" s="2">
        <v>46155.080659722225</v>
      </c>
      <c r="BL31">
        <v>241</v>
      </c>
      <c r="BM31" t="s">
        <v>13</v>
      </c>
      <c r="BN31">
        <v>0</v>
      </c>
      <c r="BO31">
        <v>2.8860000000000001</v>
      </c>
      <c r="BP31" s="3">
        <v>828736</v>
      </c>
      <c r="BQ31">
        <v>0</v>
      </c>
      <c r="BR31" t="s">
        <v>14</v>
      </c>
      <c r="BS31" t="s">
        <v>14</v>
      </c>
      <c r="BT31" t="s">
        <v>14</v>
      </c>
      <c r="BU31" t="s">
        <v>14</v>
      </c>
    </row>
    <row r="32" spans="1:73" x14ac:dyDescent="0.25">
      <c r="A32">
        <v>68</v>
      </c>
      <c r="B32" t="s">
        <v>58</v>
      </c>
      <c r="C32" s="2">
        <v>46155.101898148147</v>
      </c>
      <c r="D32">
        <v>358</v>
      </c>
      <c r="E32" t="s">
        <v>13</v>
      </c>
      <c r="F32">
        <v>0</v>
      </c>
      <c r="G32">
        <v>6.0720000000000001</v>
      </c>
      <c r="H32" s="3">
        <v>32198</v>
      </c>
      <c r="I32">
        <v>6.5000000000000002E-2</v>
      </c>
      <c r="J32" t="s">
        <v>14</v>
      </c>
      <c r="K32" t="s">
        <v>14</v>
      </c>
      <c r="L32" t="s">
        <v>14</v>
      </c>
      <c r="M32" t="s">
        <v>14</v>
      </c>
      <c r="O32">
        <v>68</v>
      </c>
      <c r="P32" t="s">
        <v>58</v>
      </c>
      <c r="Q32" s="2">
        <v>46155.101898148147</v>
      </c>
      <c r="R32">
        <v>358</v>
      </c>
      <c r="S32" t="s">
        <v>13</v>
      </c>
      <c r="T32">
        <v>0</v>
      </c>
      <c r="U32" t="s">
        <v>14</v>
      </c>
      <c r="V32" s="3" t="s">
        <v>14</v>
      </c>
      <c r="W32" t="s">
        <v>14</v>
      </c>
      <c r="X32" t="s">
        <v>14</v>
      </c>
      <c r="Y32" t="s">
        <v>14</v>
      </c>
      <c r="Z32" t="s">
        <v>14</v>
      </c>
      <c r="AA32" t="s">
        <v>14</v>
      </c>
      <c r="AC32">
        <v>68</v>
      </c>
      <c r="AD32" t="s">
        <v>58</v>
      </c>
      <c r="AE32" s="2">
        <v>46155.101898148147</v>
      </c>
      <c r="AF32">
        <v>358</v>
      </c>
      <c r="AG32" t="s">
        <v>13</v>
      </c>
      <c r="AH32">
        <v>0</v>
      </c>
      <c r="AI32">
        <v>12.37</v>
      </c>
      <c r="AJ32" s="3">
        <v>20</v>
      </c>
      <c r="AK32">
        <v>9.6000000000000002E-2</v>
      </c>
      <c r="AL32" t="s">
        <v>14</v>
      </c>
      <c r="AM32" t="s">
        <v>14</v>
      </c>
      <c r="AN32" t="s">
        <v>14</v>
      </c>
      <c r="AO32" t="s">
        <v>14</v>
      </c>
      <c r="AQ32">
        <v>1</v>
      </c>
      <c r="AS32" s="8">
        <v>68</v>
      </c>
      <c r="AT32" s="16">
        <f t="shared" si="0"/>
        <v>72.959421902814412</v>
      </c>
      <c r="AU32" s="17">
        <f t="shared" si="1"/>
        <v>48.464014316000004</v>
      </c>
      <c r="AW32" s="9">
        <f t="shared" si="16"/>
        <v>85.923620431292008</v>
      </c>
      <c r="AX32" s="10">
        <f t="shared" si="17"/>
        <v>-16.84018244</v>
      </c>
      <c r="AZ32" s="11">
        <f t="shared" si="18"/>
        <v>88.721599804284807</v>
      </c>
      <c r="BA32" s="12">
        <f t="shared" si="19"/>
        <v>38.199976079999999</v>
      </c>
      <c r="BC32" s="14">
        <f t="shared" si="20"/>
        <v>89.261380953347995</v>
      </c>
      <c r="BD32" s="15">
        <f t="shared" si="21"/>
        <v>-129.44601962799999</v>
      </c>
      <c r="BF32" s="16">
        <f t="shared" si="8"/>
        <v>72.959421902814412</v>
      </c>
      <c r="BG32" s="17">
        <f t="shared" si="9"/>
        <v>48.464014316000004</v>
      </c>
      <c r="BI32">
        <v>68</v>
      </c>
      <c r="BJ32" t="s">
        <v>58</v>
      </c>
      <c r="BK32" s="2">
        <v>46155.101898148147</v>
      </c>
      <c r="BL32">
        <v>358</v>
      </c>
      <c r="BM32" t="s">
        <v>13</v>
      </c>
      <c r="BN32">
        <v>0</v>
      </c>
      <c r="BO32">
        <v>2.9</v>
      </c>
      <c r="BP32" s="3">
        <v>731635</v>
      </c>
      <c r="BQ32">
        <v>0</v>
      </c>
      <c r="BR32" t="s">
        <v>14</v>
      </c>
      <c r="BS32" t="s">
        <v>14</v>
      </c>
      <c r="BT32" t="s">
        <v>14</v>
      </c>
      <c r="BU32" t="s">
        <v>14</v>
      </c>
    </row>
    <row r="33" spans="1:73" x14ac:dyDescent="0.25">
      <c r="A33">
        <v>69</v>
      </c>
      <c r="B33" t="s">
        <v>59</v>
      </c>
      <c r="C33" s="2">
        <v>46155.123136574075</v>
      </c>
      <c r="D33">
        <v>216</v>
      </c>
      <c r="E33" t="s">
        <v>13</v>
      </c>
      <c r="F33">
        <v>0</v>
      </c>
      <c r="G33">
        <v>6.0839999999999996</v>
      </c>
      <c r="H33" s="3">
        <v>1739</v>
      </c>
      <c r="I33">
        <v>4.0000000000000001E-3</v>
      </c>
      <c r="J33" t="s">
        <v>14</v>
      </c>
      <c r="K33" t="s">
        <v>14</v>
      </c>
      <c r="L33" t="s">
        <v>14</v>
      </c>
      <c r="M33" t="s">
        <v>14</v>
      </c>
      <c r="O33">
        <v>69</v>
      </c>
      <c r="P33" t="s">
        <v>59</v>
      </c>
      <c r="Q33" s="2">
        <v>46155.123136574075</v>
      </c>
      <c r="R33">
        <v>216</v>
      </c>
      <c r="S33" t="s">
        <v>13</v>
      </c>
      <c r="T33">
        <v>0</v>
      </c>
      <c r="U33" t="s">
        <v>14</v>
      </c>
      <c r="V33" s="3" t="s">
        <v>14</v>
      </c>
      <c r="W33" t="s">
        <v>14</v>
      </c>
      <c r="X33" t="s">
        <v>14</v>
      </c>
      <c r="Y33" t="s">
        <v>14</v>
      </c>
      <c r="Z33" t="s">
        <v>14</v>
      </c>
      <c r="AA33" t="s">
        <v>14</v>
      </c>
      <c r="AC33">
        <v>69</v>
      </c>
      <c r="AD33" t="s">
        <v>59</v>
      </c>
      <c r="AE33" s="2">
        <v>46155.123136574075</v>
      </c>
      <c r="AF33">
        <v>216</v>
      </c>
      <c r="AG33" t="s">
        <v>13</v>
      </c>
      <c r="AH33">
        <v>0</v>
      </c>
      <c r="AI33">
        <v>12.266</v>
      </c>
      <c r="AJ33" s="3">
        <v>69385</v>
      </c>
      <c r="AK33">
        <v>11.943</v>
      </c>
      <c r="AL33" t="s">
        <v>14</v>
      </c>
      <c r="AM33" t="s">
        <v>14</v>
      </c>
      <c r="AN33" t="s">
        <v>14</v>
      </c>
      <c r="AO33" t="s">
        <v>14</v>
      </c>
      <c r="AQ33">
        <v>1</v>
      </c>
      <c r="AS33" s="8">
        <v>69</v>
      </c>
      <c r="AT33" s="16">
        <f t="shared" si="0"/>
        <v>5.9078634146060001</v>
      </c>
      <c r="AU33" s="17">
        <f t="shared" si="1"/>
        <v>12968.499515759853</v>
      </c>
      <c r="AW33" s="9">
        <f t="shared" si="16"/>
        <v>6.0666903399999992</v>
      </c>
      <c r="AX33" s="10">
        <f t="shared" si="17"/>
        <v>15212.760520597498</v>
      </c>
      <c r="AZ33" s="11">
        <f t="shared" si="18"/>
        <v>0.62756527393999928</v>
      </c>
      <c r="BA33" s="12">
        <f t="shared" si="19"/>
        <v>13647.738394253249</v>
      </c>
      <c r="BC33" s="14">
        <f t="shared" si="20"/>
        <v>2.811881859653</v>
      </c>
      <c r="BD33" s="15">
        <f t="shared" si="21"/>
        <v>15436.431865250501</v>
      </c>
      <c r="BF33" s="16">
        <f t="shared" si="8"/>
        <v>5.9078634146060001</v>
      </c>
      <c r="BG33" s="17">
        <f t="shared" si="9"/>
        <v>12968.499515759853</v>
      </c>
      <c r="BI33">
        <v>69</v>
      </c>
      <c r="BJ33" t="s">
        <v>59</v>
      </c>
      <c r="BK33" s="2">
        <v>46155.123136574075</v>
      </c>
      <c r="BL33">
        <v>216</v>
      </c>
      <c r="BM33" t="s">
        <v>13</v>
      </c>
      <c r="BN33">
        <v>0</v>
      </c>
      <c r="BO33">
        <v>2.8839999999999999</v>
      </c>
      <c r="BP33" s="3">
        <v>835148</v>
      </c>
      <c r="BQ33">
        <v>0</v>
      </c>
      <c r="BR33" t="s">
        <v>14</v>
      </c>
      <c r="BS33" t="s">
        <v>14</v>
      </c>
      <c r="BT33" t="s">
        <v>14</v>
      </c>
      <c r="BU33" t="s">
        <v>14</v>
      </c>
    </row>
    <row r="34" spans="1:73" x14ac:dyDescent="0.25">
      <c r="A34">
        <v>70</v>
      </c>
      <c r="B34" t="s">
        <v>60</v>
      </c>
      <c r="C34" s="2">
        <v>46155.144363425927</v>
      </c>
      <c r="D34">
        <v>330</v>
      </c>
      <c r="E34" t="s">
        <v>13</v>
      </c>
      <c r="F34">
        <v>0</v>
      </c>
      <c r="G34">
        <v>6.0709999999999997</v>
      </c>
      <c r="H34" s="3">
        <v>33765</v>
      </c>
      <c r="I34">
        <v>6.9000000000000006E-2</v>
      </c>
      <c r="J34" t="s">
        <v>14</v>
      </c>
      <c r="K34" t="s">
        <v>14</v>
      </c>
      <c r="L34" t="s">
        <v>14</v>
      </c>
      <c r="M34" t="s">
        <v>14</v>
      </c>
      <c r="O34">
        <v>70</v>
      </c>
      <c r="P34" t="s">
        <v>60</v>
      </c>
      <c r="Q34" s="2">
        <v>46155.144363425927</v>
      </c>
      <c r="R34">
        <v>330</v>
      </c>
      <c r="S34" t="s">
        <v>13</v>
      </c>
      <c r="T34">
        <v>0</v>
      </c>
      <c r="U34" t="s">
        <v>14</v>
      </c>
      <c r="V34" t="s">
        <v>14</v>
      </c>
      <c r="W34" t="s">
        <v>14</v>
      </c>
      <c r="X34" t="s">
        <v>14</v>
      </c>
      <c r="Y34" t="s">
        <v>14</v>
      </c>
      <c r="Z34" t="s">
        <v>14</v>
      </c>
      <c r="AA34" t="s">
        <v>14</v>
      </c>
      <c r="AC34">
        <v>70</v>
      </c>
      <c r="AD34" t="s">
        <v>60</v>
      </c>
      <c r="AE34" s="2">
        <v>46155.144363425927</v>
      </c>
      <c r="AF34">
        <v>330</v>
      </c>
      <c r="AG34" t="s">
        <v>13</v>
      </c>
      <c r="AH34">
        <v>0</v>
      </c>
      <c r="AI34">
        <v>12.412000000000001</v>
      </c>
      <c r="AJ34" s="3">
        <v>84</v>
      </c>
      <c r="AK34">
        <v>0.107</v>
      </c>
      <c r="AL34" t="s">
        <v>14</v>
      </c>
      <c r="AM34" t="s">
        <v>14</v>
      </c>
      <c r="AN34" t="s">
        <v>14</v>
      </c>
      <c r="AO34" t="s">
        <v>14</v>
      </c>
      <c r="AQ34">
        <v>1</v>
      </c>
      <c r="AS34" s="8">
        <v>70</v>
      </c>
      <c r="AT34" s="16">
        <f t="shared" si="0"/>
        <v>76.336575685310009</v>
      </c>
      <c r="AU34" s="17">
        <f t="shared" si="1"/>
        <v>60.349052534240002</v>
      </c>
      <c r="AW34" s="9">
        <f t="shared" si="16"/>
        <v>90.528996370175008</v>
      </c>
      <c r="AX34" s="10">
        <f t="shared" si="17"/>
        <v>-1.2272182415999993</v>
      </c>
      <c r="AZ34" s="11">
        <f t="shared" si="18"/>
        <v>93.234481275020002</v>
      </c>
      <c r="BA34" s="12">
        <f t="shared" si="19"/>
        <v>51.319578051199997</v>
      </c>
      <c r="BC34" s="14">
        <f t="shared" si="20"/>
        <v>93.436890215824988</v>
      </c>
      <c r="BD34" s="15">
        <f t="shared" si="21"/>
        <v>-114.87354623792</v>
      </c>
      <c r="BF34" s="16">
        <f t="shared" si="8"/>
        <v>76.336575685310009</v>
      </c>
      <c r="BG34" s="17">
        <f t="shared" si="9"/>
        <v>60.349052534240002</v>
      </c>
      <c r="BI34">
        <v>70</v>
      </c>
      <c r="BJ34" t="s">
        <v>60</v>
      </c>
      <c r="BK34" s="2">
        <v>46155.144363425927</v>
      </c>
      <c r="BL34">
        <v>330</v>
      </c>
      <c r="BM34" t="s">
        <v>13</v>
      </c>
      <c r="BN34">
        <v>0</v>
      </c>
      <c r="BO34">
        <v>2.8969999999999998</v>
      </c>
      <c r="BP34" s="3">
        <v>755996</v>
      </c>
      <c r="BQ34">
        <v>0</v>
      </c>
      <c r="BR34" t="s">
        <v>14</v>
      </c>
      <c r="BS34" t="s">
        <v>14</v>
      </c>
      <c r="BT34" t="s">
        <v>14</v>
      </c>
      <c r="BU34" t="s">
        <v>14</v>
      </c>
    </row>
    <row r="35" spans="1:73" x14ac:dyDescent="0.25">
      <c r="A35">
        <v>71</v>
      </c>
      <c r="B35" t="s">
        <v>61</v>
      </c>
      <c r="C35" s="2">
        <v>46155.165578703702</v>
      </c>
      <c r="D35">
        <v>292</v>
      </c>
      <c r="E35" t="s">
        <v>13</v>
      </c>
      <c r="F35">
        <v>0</v>
      </c>
      <c r="G35">
        <v>6.0730000000000004</v>
      </c>
      <c r="H35" s="3">
        <v>4822</v>
      </c>
      <c r="I35">
        <v>0.01</v>
      </c>
      <c r="J35" t="s">
        <v>14</v>
      </c>
      <c r="K35" t="s">
        <v>14</v>
      </c>
      <c r="L35" t="s">
        <v>14</v>
      </c>
      <c r="M35" t="s">
        <v>14</v>
      </c>
      <c r="O35">
        <v>71</v>
      </c>
      <c r="P35" t="s">
        <v>61</v>
      </c>
      <c r="Q35" s="2">
        <v>46155.165578703702</v>
      </c>
      <c r="R35">
        <v>292</v>
      </c>
      <c r="S35" t="s">
        <v>13</v>
      </c>
      <c r="T35">
        <v>0</v>
      </c>
      <c r="U35" t="s">
        <v>14</v>
      </c>
      <c r="V35" t="s">
        <v>14</v>
      </c>
      <c r="W35" t="s">
        <v>14</v>
      </c>
      <c r="X35" t="s">
        <v>14</v>
      </c>
      <c r="Y35" t="s">
        <v>14</v>
      </c>
      <c r="Z35" t="s">
        <v>14</v>
      </c>
      <c r="AA35" t="s">
        <v>14</v>
      </c>
      <c r="AC35">
        <v>71</v>
      </c>
      <c r="AD35" t="s">
        <v>61</v>
      </c>
      <c r="AE35" s="2">
        <v>46155.165578703702</v>
      </c>
      <c r="AF35">
        <v>292</v>
      </c>
      <c r="AG35" t="s">
        <v>13</v>
      </c>
      <c r="AH35">
        <v>0</v>
      </c>
      <c r="AI35">
        <v>12.308999999999999</v>
      </c>
      <c r="AJ35" s="3">
        <v>40574</v>
      </c>
      <c r="AK35">
        <v>7.024</v>
      </c>
      <c r="AL35" t="s">
        <v>14</v>
      </c>
      <c r="AM35" t="s">
        <v>14</v>
      </c>
      <c r="AN35" t="s">
        <v>14</v>
      </c>
      <c r="AO35" t="s">
        <v>14</v>
      </c>
      <c r="AQ35">
        <v>1</v>
      </c>
      <c r="AS35" s="8">
        <v>71</v>
      </c>
      <c r="AT35" s="16">
        <f t="shared" si="0"/>
        <v>13.863953245624</v>
      </c>
      <c r="AU35" s="17">
        <f t="shared" si="1"/>
        <v>7638.2610687460401</v>
      </c>
      <c r="AW35" s="9">
        <f t="shared" si="16"/>
        <v>2.2990793600000021</v>
      </c>
      <c r="AX35" s="10">
        <f t="shared" si="17"/>
        <v>9127.4816139964005</v>
      </c>
      <c r="AZ35" s="11">
        <f t="shared" si="18"/>
        <v>9.3459672237599989</v>
      </c>
      <c r="BA35" s="12">
        <f t="shared" si="19"/>
        <v>8253.3242813352008</v>
      </c>
      <c r="BC35" s="14">
        <f t="shared" si="20"/>
        <v>13.718680552211998</v>
      </c>
      <c r="BD35" s="15">
        <f t="shared" si="21"/>
        <v>9023.9183382126812</v>
      </c>
      <c r="BF35" s="16">
        <f t="shared" si="8"/>
        <v>13.863953245624</v>
      </c>
      <c r="BG35" s="17">
        <f t="shared" si="9"/>
        <v>7638.2610687460401</v>
      </c>
      <c r="BI35">
        <v>71</v>
      </c>
      <c r="BJ35" t="s">
        <v>61</v>
      </c>
      <c r="BK35" s="2">
        <v>46155.165578703702</v>
      </c>
      <c r="BL35">
        <v>292</v>
      </c>
      <c r="BM35" t="s">
        <v>13</v>
      </c>
      <c r="BN35">
        <v>0</v>
      </c>
      <c r="BO35">
        <v>2.8959999999999999</v>
      </c>
      <c r="BP35" s="3">
        <v>739693</v>
      </c>
      <c r="BQ35">
        <v>0</v>
      </c>
      <c r="BR35" t="s">
        <v>14</v>
      </c>
      <c r="BS35" t="s">
        <v>14</v>
      </c>
      <c r="BT35" t="s">
        <v>14</v>
      </c>
      <c r="BU35" t="s">
        <v>14</v>
      </c>
    </row>
    <row r="36" spans="1:73" x14ac:dyDescent="0.25">
      <c r="C36" s="2"/>
      <c r="H36" s="3"/>
      <c r="Q36" s="2"/>
      <c r="V36" s="3"/>
      <c r="AE36" s="2"/>
      <c r="AJ36" s="3"/>
      <c r="AS36" s="8"/>
      <c r="AT36" s="14"/>
      <c r="AU36" s="15"/>
      <c r="AW36" s="9"/>
      <c r="AX36" s="10"/>
      <c r="AZ36" s="11"/>
      <c r="BA36" s="12"/>
      <c r="BC36" s="14"/>
      <c r="BD36" s="15"/>
      <c r="BF36" s="14"/>
      <c r="BG36" s="15"/>
      <c r="BK36" s="2"/>
      <c r="BP36" s="3"/>
    </row>
    <row r="37" spans="1:73" x14ac:dyDescent="0.25">
      <c r="C37" s="2"/>
      <c r="H37" s="3"/>
      <c r="Q37" s="2"/>
      <c r="V37" s="3"/>
      <c r="AE37" s="2"/>
      <c r="AJ37" s="3"/>
      <c r="AS37" s="8"/>
      <c r="AT37" s="14"/>
      <c r="AU37" s="15"/>
      <c r="AW37" s="9"/>
      <c r="AX37" s="10"/>
      <c r="AZ37" s="11"/>
      <c r="BA37" s="12"/>
      <c r="BC37" s="14"/>
      <c r="BD37" s="15"/>
      <c r="BF37" s="14"/>
      <c r="BG37" s="15"/>
      <c r="BK37" s="2"/>
      <c r="BP37" s="3"/>
    </row>
    <row r="38" spans="1:73" x14ac:dyDescent="0.25">
      <c r="C38" s="2"/>
      <c r="H38" s="3"/>
      <c r="Q38" s="2"/>
      <c r="AE38" s="2"/>
      <c r="AJ38" s="3"/>
      <c r="AS38" s="8"/>
      <c r="AT38" s="14"/>
      <c r="AU38" s="15"/>
      <c r="AW38" s="9"/>
      <c r="AX38" s="10"/>
      <c r="AZ38" s="11"/>
      <c r="BA38" s="12"/>
      <c r="BC38" s="14"/>
      <c r="BD38" s="15"/>
      <c r="BF38" s="14"/>
      <c r="BG38" s="15"/>
      <c r="BK38" s="2"/>
      <c r="BP38" s="3"/>
    </row>
    <row r="39" spans="1:73" x14ac:dyDescent="0.25">
      <c r="C39" s="2"/>
      <c r="H39" s="3"/>
      <c r="Q39" s="2"/>
      <c r="V39" s="3"/>
      <c r="AE39" s="2"/>
      <c r="AJ39" s="3"/>
      <c r="AS39" s="8"/>
      <c r="AT39" s="14"/>
      <c r="AU39" s="15"/>
      <c r="AW39" s="9"/>
      <c r="AX39" s="10"/>
      <c r="AZ39" s="11"/>
      <c r="BA39" s="12"/>
      <c r="BC39" s="14"/>
      <c r="BD39" s="15"/>
      <c r="BF39" s="14"/>
      <c r="BG39" s="15"/>
      <c r="BK39" s="2"/>
      <c r="BP39" s="3"/>
    </row>
    <row r="40" spans="1:73" x14ac:dyDescent="0.25">
      <c r="C40" s="2"/>
      <c r="H40" s="3"/>
      <c r="Q40" s="2"/>
      <c r="AE40" s="2"/>
      <c r="AJ40" s="3"/>
      <c r="AS40" s="8"/>
      <c r="AT40" s="14"/>
      <c r="AU40" s="15"/>
      <c r="AW40" s="9"/>
      <c r="AX40" s="10"/>
      <c r="AZ40" s="11"/>
      <c r="BA40" s="12"/>
      <c r="BC40" s="14"/>
      <c r="BD40" s="15"/>
      <c r="BF40" s="14"/>
      <c r="BG40" s="15"/>
      <c r="BK40" s="2"/>
      <c r="BP40" s="3"/>
    </row>
    <row r="41" spans="1:73" x14ac:dyDescent="0.25">
      <c r="C41" s="2"/>
      <c r="H41" s="3"/>
      <c r="Q41" s="2"/>
      <c r="AE41" s="2"/>
      <c r="AJ41" s="3"/>
      <c r="AS41" s="8"/>
      <c r="AT41" s="14"/>
      <c r="AU41" s="15"/>
      <c r="AW41" s="9"/>
      <c r="AX41" s="10"/>
      <c r="AZ41" s="11"/>
      <c r="BA41" s="12"/>
      <c r="BC41" s="14"/>
      <c r="BD41" s="15"/>
      <c r="BF41" s="14"/>
      <c r="BG41" s="15"/>
      <c r="BK41" s="2"/>
      <c r="BP41" s="3"/>
    </row>
    <row r="42" spans="1:73" x14ac:dyDescent="0.25">
      <c r="C42" s="2"/>
      <c r="H42" s="3"/>
      <c r="Q42" s="2"/>
      <c r="AE42" s="2"/>
      <c r="AS42" s="8"/>
      <c r="AT42" s="14"/>
      <c r="AU42" s="15"/>
      <c r="AW42" s="9"/>
      <c r="AX42" s="10"/>
      <c r="AZ42" s="11"/>
      <c r="BA42" s="12"/>
      <c r="BC42" s="14"/>
      <c r="BD42" s="15"/>
      <c r="BF42" s="14"/>
      <c r="BG42" s="15"/>
      <c r="BK42" s="2"/>
      <c r="BP42" s="3"/>
    </row>
    <row r="43" spans="1:73" x14ac:dyDescent="0.25">
      <c r="C43" s="2"/>
      <c r="H43" s="3"/>
      <c r="Q43" s="2"/>
      <c r="AE43" s="2"/>
      <c r="AS43" s="8"/>
      <c r="AT43" s="14"/>
      <c r="AU43" s="15"/>
      <c r="AW43" s="9"/>
      <c r="AX43" s="10"/>
      <c r="AZ43" s="11"/>
      <c r="BA43" s="12"/>
      <c r="BC43" s="14"/>
      <c r="BD43" s="15"/>
      <c r="BF43" s="14"/>
      <c r="BG43" s="15"/>
      <c r="BK43" s="2"/>
      <c r="BP43" s="3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serum CH4 CO2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Analytical Lab</dc:creator>
  <cp:lastModifiedBy>Iannucci, Frances</cp:lastModifiedBy>
  <dcterms:created xsi:type="dcterms:W3CDTF">2020-10-28T13:32:09Z</dcterms:created>
  <dcterms:modified xsi:type="dcterms:W3CDTF">2026-05-13T18:39:58Z</dcterms:modified>
</cp:coreProperties>
</file>