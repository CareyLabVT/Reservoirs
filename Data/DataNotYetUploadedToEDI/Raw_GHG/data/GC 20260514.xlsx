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6 season misc analyses\GC 2026\"/>
    </mc:Choice>
  </mc:AlternateContent>
  <xr:revisionPtr revIDLastSave="0" documentId="8_{D36D7A6A-FE28-45D5-9FC2-44C0E0C8761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7" i="1" l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BG16" i="1"/>
  <c r="BF16" i="1"/>
  <c r="BG15" i="1"/>
  <c r="BF15" i="1"/>
  <c r="BG14" i="1"/>
  <c r="BF14" i="1"/>
  <c r="BG13" i="1"/>
  <c r="BF13" i="1"/>
  <c r="BG12" i="1"/>
  <c r="BF12" i="1"/>
  <c r="BG11" i="1"/>
  <c r="BF11" i="1"/>
  <c r="BG10" i="1"/>
  <c r="BF10" i="1"/>
  <c r="BG9" i="1"/>
  <c r="BF9" i="1"/>
  <c r="AT9" i="1"/>
  <c r="AU9" i="1"/>
  <c r="AT10" i="1"/>
  <c r="AU10" i="1"/>
  <c r="AT11" i="1"/>
  <c r="AU11" i="1"/>
  <c r="AT12" i="1"/>
  <c r="AU12" i="1"/>
  <c r="AT13" i="1"/>
  <c r="AU13" i="1"/>
  <c r="AT14" i="1"/>
  <c r="AU14" i="1"/>
  <c r="AT15" i="1"/>
  <c r="AU15" i="1"/>
  <c r="AT16" i="1"/>
  <c r="AU16" i="1"/>
  <c r="AW9" i="1"/>
  <c r="AX9" i="1"/>
  <c r="AZ9" i="1"/>
  <c r="BA9" i="1"/>
  <c r="AW10" i="1"/>
  <c r="AX10" i="1"/>
  <c r="AZ10" i="1"/>
  <c r="BA10" i="1"/>
  <c r="AW11" i="1"/>
  <c r="AX11" i="1"/>
  <c r="AZ11" i="1"/>
  <c r="BA11" i="1"/>
  <c r="AW12" i="1"/>
  <c r="AX12" i="1"/>
  <c r="AZ12" i="1"/>
  <c r="BA12" i="1"/>
  <c r="AW13" i="1"/>
  <c r="AX13" i="1"/>
  <c r="AZ13" i="1"/>
  <c r="BA13" i="1"/>
  <c r="AW14" i="1"/>
  <c r="AX14" i="1"/>
  <c r="AZ14" i="1"/>
  <c r="BA14" i="1"/>
  <c r="AW15" i="1"/>
  <c r="AX15" i="1"/>
  <c r="AZ15" i="1"/>
  <c r="BA15" i="1"/>
  <c r="AW16" i="1"/>
  <c r="AX16" i="1"/>
  <c r="AZ16" i="1"/>
  <c r="BA16" i="1"/>
  <c r="BC15" i="1"/>
  <c r="BD15" i="1"/>
  <c r="BC16" i="1"/>
  <c r="BD16" i="1"/>
  <c r="BC9" i="1" l="1"/>
  <c r="BD9" i="1"/>
  <c r="BC10" i="1"/>
  <c r="BD10" i="1"/>
  <c r="BC11" i="1"/>
  <c r="BD11" i="1"/>
  <c r="BC12" i="1"/>
  <c r="BD12" i="1"/>
  <c r="BC13" i="1"/>
  <c r="BD13" i="1"/>
  <c r="BC14" i="1"/>
  <c r="BD14" i="1"/>
</calcChain>
</file>

<file path=xl/sharedStrings.xml><?xml version="1.0" encoding="utf-8"?>
<sst xmlns="http://schemas.openxmlformats.org/spreadsheetml/2006/main" count="431" uniqueCount="50">
  <si>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</si>
  <si>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</si>
  <si>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</si>
  <si>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</si>
  <si>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</si>
  <si>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</si>
  <si>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</si>
  <si>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</si>
  <si>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</si>
  <si>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</si>
  <si>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</si>
  <si>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</si>
  <si>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</si>
  <si>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</si>
  <si>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</si>
  <si>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</si>
  <si>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</si>
  <si>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</si>
  <si>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</si>
  <si>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</si>
  <si>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</si>
  <si>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</si>
  <si>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</si>
  <si>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</si>
  <si>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</si>
  <si>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</si>
  <si>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</si>
  <si>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</si>
  <si>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</si>
  <si>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</si>
  <si>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</si>
  <si>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</si>
  <si>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</si>
  <si>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2026 ranged CAL Measured headspace CH4  in ppm from GC in ppm</t>
  </si>
  <si>
    <t>2026 CAL Measured headspace CO2 in ppm from GC in ppm</t>
  </si>
  <si>
    <t>FMI20260514_001.gcd</t>
  </si>
  <si>
    <t>FMI20260514_002.gcd</t>
  </si>
  <si>
    <t>FMI20260514_003.gcd</t>
  </si>
  <si>
    <t>FMI20260514_004.gcd</t>
  </si>
  <si>
    <t>FMI20260514_005.gcd</t>
  </si>
  <si>
    <t>FMI20260514_006.gcd</t>
  </si>
  <si>
    <t>FMI20260514_007.gcd</t>
  </si>
  <si>
    <t>FMI20260514_008.gcd</t>
  </si>
  <si>
    <t>FMI20260514_009.gcd</t>
  </si>
  <si>
    <t>FMI20260514_010.gcd</t>
  </si>
  <si>
    <t>FMI20260514_011.gcd</t>
  </si>
  <si>
    <t>FMI20260514_012.gcd</t>
  </si>
  <si>
    <t>FMI20260514_013.gcd</t>
  </si>
  <si>
    <t>air bubble- needed to re-crimp vial</t>
  </si>
  <si>
    <t>needed to re-crimp vial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</si>
</sst>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99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3" borderId="0" xfId="0" applyNumberFormat="1" applyFill="1"/>
    <xf numFmtId="3" fontId="0" fillId="33" borderId="0" xfId="0" applyNumberFormat="1" applyFill="1"/>
    <xf numFmtId="2" fontId="0" fillId="34" borderId="0" xfId="0" applyNumberFormat="1" applyFill="1"/>
    <xf numFmtId="3" fontId="0" fillId="34" borderId="0" xfId="0" applyNumberFormat="1" applyFill="1"/>
    <xf numFmtId="4" fontId="0" fillId="0" borderId="0" xfId="0" applyNumberFormat="1"/>
    <xf numFmtId="2" fontId="0" fillId="35" borderId="0" xfId="0" applyNumberFormat="1" applyFill="1"/>
    <xf numFmtId="3" fontId="0" fillId="35" borderId="0" xfId="0" applyNumberFormat="1" applyFill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99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AA1" workbookViewId="0">
      <selection activeCell="AQ21" sqref="AQ21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7265625" customWidth="1"/>
    <col min="46" max="47" width="10.1796875" customWidth="1"/>
    <col min="49" max="50" width="10.1796875" customWidth="1"/>
    <col min="52" max="53" width="10.1796875" customWidth="1"/>
    <col min="54" max="54" width="8.7265625" style="7"/>
    <col min="55" max="56" width="10.1796875" customWidth="1"/>
    <col min="58" max="59" width="10.179687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27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22</v>
      </c>
      <c r="AX8" s="5" t="s">
        <v>23</v>
      </c>
      <c r="AZ8" s="5" t="s">
        <v>25</v>
      </c>
      <c r="BA8" s="5" t="s">
        <v>30</v>
      </c>
      <c r="BB8" s="6"/>
      <c r="BC8" s="5" t="s">
        <v>28</v>
      </c>
      <c r="BD8" s="5" t="s">
        <v>29</v>
      </c>
      <c r="BE8" s="5"/>
      <c r="BF8" s="5" t="s">
        <v>33</v>
      </c>
      <c r="BG8" s="5" t="s">
        <v>34</v>
      </c>
      <c r="BH8" s="5"/>
      <c r="BI8" s="6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35</v>
      </c>
      <c r="C9" s="2">
        <v>46156.712789351855</v>
      </c>
      <c r="D9" t="s">
        <v>31</v>
      </c>
      <c r="E9" t="s">
        <v>13</v>
      </c>
      <c r="F9">
        <v>0</v>
      </c>
      <c r="G9">
        <v>6.0990000000000002</v>
      </c>
      <c r="H9" s="3">
        <v>1331</v>
      </c>
      <c r="I9">
        <v>3.0000000000000001E-3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46156.712789351855</v>
      </c>
      <c r="R9" t="s">
        <v>31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46156.712789351855</v>
      </c>
      <c r="AF9" t="s">
        <v>31</v>
      </c>
      <c r="AG9" t="s">
        <v>13</v>
      </c>
      <c r="AH9">
        <v>0</v>
      </c>
      <c r="AI9">
        <v>12.407999999999999</v>
      </c>
      <c r="AJ9" s="3">
        <v>2243</v>
      </c>
      <c r="AK9">
        <v>0.47599999999999998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8">
        <v>45</v>
      </c>
      <c r="AT9" s="16">
        <f t="shared" ref="AT9:AT21" si="0">IF($H9&lt;10000,(($H9^2*-0.000000003714)+($H9*0.002605)+(1.389)),(IF($H9&lt;200000,(($H9^2*-0.0000000003764)+($H9*0.00218)+(3.158)),(IF($H9&lt;8000000,(($H9^2*-0.000000000004719)+($H9*0.001816)+(146.1)),(($V9^2*0.000000002578)+($V9*0.2173)+(2294)))))))</f>
        <v>4.8496754224460004</v>
      </c>
      <c r="AU9" s="17">
        <f t="shared" ref="AU9:AU21" si="1">IF($AJ9&lt;45000,((0.00000003579*$AJ9^2)+(0.1857*$AJ9)+(44.75)),((0.0000000022829*$AJ9^2)+(0.1634*$AJ9)+(1620)))</f>
        <v>461.45516124370999</v>
      </c>
      <c r="AW9" s="9">
        <f t="shared" ref="AW9:AW14" si="2">IF(H9&lt;10000,((H9^2*0.00000054)+(H9*-0.004765)+(12.72)),(IF(H9&lt;200000,((H9^2*-0.000000001577)+(H9*0.003043)+(-10.42)),(IF(H9&lt;8000000,((H9^2*-0.0000000000186)+(H9*0.00194)+(154.1)),((V9^2*-0.00000002)+(V9*0.2565)+(-1032)))))))</f>
        <v>7.3344279400000003</v>
      </c>
      <c r="AX9" s="10">
        <f t="shared" ref="AX9:AX14" si="3">IF(AJ9&lt;45000,((-0.0000004561*AJ9^2)+(0.244*AJ9)+(-21.72)),((-0.0000000409*AJ9^2)+(0.2477*AJ9)+(-1777)))</f>
        <v>523.2773385511</v>
      </c>
      <c r="AZ9" s="11">
        <f t="shared" ref="AZ9:AZ14" si="4">IF(H9&lt;10000,((H9^2*0.00000005714)+(H9*0.002453)+(-3.811)),(IF(H9&lt;200000,((H9^2*-0.0000000002888)+(H9*0.002899)+(-4.321)),(IF(H9&lt;8000000,((H9^2*-0.0000000000062)+(H9*0.002143)+(157)),((V9^2*-0.000000031)+(V9*0.2771)+(-709.5)))))))</f>
        <v>-0.44483000446000043</v>
      </c>
      <c r="BA9" s="12">
        <f t="shared" ref="BA9:BA14" si="5">IF(AJ9&lt;45000,((-0.0000000598*AJ9^2)+(0.205*AJ9)+(34.1)),((-0.00000002403*AJ9^2)+(0.2063*AJ9)+(-550.7)))</f>
        <v>493.61414326980002</v>
      </c>
      <c r="BC9" s="14">
        <f t="shared" ref="BC9:BC14" si="6">IF(H9&lt;10000,((H9^2*0.000000008493)+(H9*0.003482)+(-3.269)),(IF(H9&lt;200000,((H9^2*-0.000000000263)+(H9*0.002682)+(3.179)),(IF(H9&lt;8000000,((H9^2*-0.000000000005099)+(H9*0.002054)+(174.8)),((V9^2*-0.00000001014)+(V9*0.2415)+(1123)))))))</f>
        <v>1.3805878675729994</v>
      </c>
      <c r="BD9" s="15">
        <f t="shared" ref="BD9:BD14" si="7">IF(AJ9&lt;45000,((-0.00000004907*AJ9^2)+(0.2277*AJ9)+(-134)),((-0.00000001062*AJ9^2)+(0.2147*AJ9)+(590.6)))</f>
        <v>376.48422642557</v>
      </c>
      <c r="BF9" s="16">
        <f t="shared" ref="BF9:BF21" si="8">IF($H9&lt;10000,(($H9^2*-0.000000003714)+($H9*0.002605)+(1.389)),(IF($H9&lt;200000,(($H9^2*-0.0000000003764)+($H9*0.00218)+(3.158)),(IF($H9&lt;8000000,(($H9^2*-0.000000000004719)+($H9*0.001816)+(146.1)),(($V9^2*0.000000002578)+($V9*0.2173)+(2294)))))))</f>
        <v>4.8496754224460004</v>
      </c>
      <c r="BG9" s="17">
        <f t="shared" ref="BG9:BG21" si="9">IF($AJ9&lt;45000,((0.00000003579*$AJ9^2)+(0.1857*$AJ9)+(44.75)),((0.0000000022829*$AJ9^2)+(0.1634*$AJ9)+(1620)))</f>
        <v>461.45516124370999</v>
      </c>
      <c r="BI9">
        <v>45</v>
      </c>
      <c r="BJ9" t="s">
        <v>35</v>
      </c>
      <c r="BK9" s="2">
        <v>46156.712789351855</v>
      </c>
      <c r="BL9" t="s">
        <v>31</v>
      </c>
      <c r="BM9" t="s">
        <v>13</v>
      </c>
      <c r="BN9">
        <v>0</v>
      </c>
      <c r="BO9">
        <v>2.7410000000000001</v>
      </c>
      <c r="BP9" s="3">
        <v>4854657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46156.733993055554</v>
      </c>
      <c r="D10" t="s">
        <v>32</v>
      </c>
      <c r="E10" t="s">
        <v>13</v>
      </c>
      <c r="F10">
        <v>0</v>
      </c>
      <c r="G10">
        <v>6.0650000000000004</v>
      </c>
      <c r="H10" s="3">
        <v>1140443</v>
      </c>
      <c r="I10">
        <v>2.3199999999999998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46156.733993055554</v>
      </c>
      <c r="R10" t="s">
        <v>32</v>
      </c>
      <c r="S10" t="s">
        <v>13</v>
      </c>
      <c r="T10">
        <v>0</v>
      </c>
      <c r="U10">
        <v>6.0179999999999998</v>
      </c>
      <c r="V10" s="3">
        <v>8915</v>
      </c>
      <c r="W10">
        <v>2.181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46156.733993055554</v>
      </c>
      <c r="AF10" t="s">
        <v>32</v>
      </c>
      <c r="AG10" t="s">
        <v>13</v>
      </c>
      <c r="AH10">
        <v>0</v>
      </c>
      <c r="AI10">
        <v>12.372999999999999</v>
      </c>
      <c r="AJ10" s="3">
        <v>8724</v>
      </c>
      <c r="AK10">
        <v>1.583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8">
        <v>46</v>
      </c>
      <c r="AT10" s="16">
        <f t="shared" si="0"/>
        <v>2211.0069082951409</v>
      </c>
      <c r="AU10" s="17">
        <f t="shared" si="1"/>
        <v>1667.5207116190402</v>
      </c>
      <c r="AW10" s="9">
        <f t="shared" si="2"/>
        <v>2342.3680696057686</v>
      </c>
      <c r="AX10" s="10">
        <f t="shared" si="3"/>
        <v>2072.2230609264002</v>
      </c>
      <c r="AZ10" s="11">
        <f t="shared" si="4"/>
        <v>2592.9055655352563</v>
      </c>
      <c r="BA10" s="12">
        <f t="shared" si="5"/>
        <v>1817.9687310751997</v>
      </c>
      <c r="BC10" s="14">
        <f t="shared" si="6"/>
        <v>2510.6381104053662</v>
      </c>
      <c r="BD10" s="15">
        <f t="shared" si="7"/>
        <v>1848.7201718036802</v>
      </c>
      <c r="BF10" s="16">
        <f t="shared" si="8"/>
        <v>2211.0069082951409</v>
      </c>
      <c r="BG10" s="17">
        <f t="shared" si="9"/>
        <v>1667.5207116190402</v>
      </c>
      <c r="BI10">
        <v>46</v>
      </c>
      <c r="BJ10" t="s">
        <v>36</v>
      </c>
      <c r="BK10" s="2">
        <v>46156.733993055554</v>
      </c>
      <c r="BL10" t="s">
        <v>32</v>
      </c>
      <c r="BM10" t="s">
        <v>13</v>
      </c>
      <c r="BN10">
        <v>0</v>
      </c>
      <c r="BO10">
        <v>2.7370000000000001</v>
      </c>
      <c r="BP10" s="3">
        <v>4951037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46156.755173611113</v>
      </c>
      <c r="D11" t="s">
        <v>26</v>
      </c>
      <c r="E11" t="s">
        <v>13</v>
      </c>
      <c r="F11">
        <v>0</v>
      </c>
      <c r="G11">
        <v>6.0830000000000002</v>
      </c>
      <c r="H11" s="3">
        <v>2520</v>
      </c>
      <c r="I11">
        <v>5.0000000000000001E-3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46156.755173611113</v>
      </c>
      <c r="R11" t="s">
        <v>26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46156.755173611113</v>
      </c>
      <c r="AF11" t="s">
        <v>26</v>
      </c>
      <c r="AG11" t="s">
        <v>13</v>
      </c>
      <c r="AH11">
        <v>0</v>
      </c>
      <c r="AI11">
        <v>12.388999999999999</v>
      </c>
      <c r="AJ11" s="3">
        <v>1564</v>
      </c>
      <c r="AK11">
        <v>0.35899999999999999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8">
        <v>47</v>
      </c>
      <c r="AT11" s="16">
        <f t="shared" si="0"/>
        <v>7.930014614400001</v>
      </c>
      <c r="AU11" s="17">
        <f t="shared" si="1"/>
        <v>335.27234577583999</v>
      </c>
      <c r="AW11" s="9">
        <f t="shared" si="2"/>
        <v>4.1414160000000013</v>
      </c>
      <c r="AX11" s="10">
        <f t="shared" si="3"/>
        <v>358.78033561439997</v>
      </c>
      <c r="AZ11" s="11">
        <f t="shared" si="4"/>
        <v>2.7334218559999997</v>
      </c>
      <c r="BA11" s="12">
        <f t="shared" si="5"/>
        <v>354.57372345920004</v>
      </c>
      <c r="BC11" s="14">
        <f t="shared" si="6"/>
        <v>5.5595739472000005</v>
      </c>
      <c r="BD11" s="15">
        <f t="shared" si="7"/>
        <v>222.00277006928002</v>
      </c>
      <c r="BF11" s="16">
        <f t="shared" si="8"/>
        <v>7.930014614400001</v>
      </c>
      <c r="BG11" s="17">
        <f t="shared" si="9"/>
        <v>335.27234577583999</v>
      </c>
      <c r="BI11">
        <v>47</v>
      </c>
      <c r="BJ11" t="s">
        <v>37</v>
      </c>
      <c r="BK11" s="2">
        <v>46156.755173611113</v>
      </c>
      <c r="BL11" t="s">
        <v>26</v>
      </c>
      <c r="BM11" t="s">
        <v>13</v>
      </c>
      <c r="BN11">
        <v>0</v>
      </c>
      <c r="BO11">
        <v>2.7349999999999999</v>
      </c>
      <c r="BP11" s="3">
        <v>5015102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46156.776354166665</v>
      </c>
      <c r="D12">
        <v>397</v>
      </c>
      <c r="E12" t="s">
        <v>13</v>
      </c>
      <c r="F12">
        <v>0</v>
      </c>
      <c r="G12">
        <v>6.0750000000000002</v>
      </c>
      <c r="H12" s="3">
        <v>5821</v>
      </c>
      <c r="I12">
        <v>1.2E-2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46156.776354166665</v>
      </c>
      <c r="R12">
        <v>397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46156.776354166665</v>
      </c>
      <c r="AF12">
        <v>397</v>
      </c>
      <c r="AG12" t="s">
        <v>13</v>
      </c>
      <c r="AH12">
        <v>0</v>
      </c>
      <c r="AI12">
        <v>12.329000000000001</v>
      </c>
      <c r="AJ12" s="3">
        <v>24635</v>
      </c>
      <c r="AK12">
        <v>4.3010000000000002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8">
        <v>48</v>
      </c>
      <c r="AT12" s="16">
        <f t="shared" si="0"/>
        <v>16.426859671726</v>
      </c>
      <c r="AU12" s="17">
        <f t="shared" si="1"/>
        <v>4641.1898506227499</v>
      </c>
      <c r="AW12" s="9">
        <f t="shared" si="2"/>
        <v>3.2803171399999993</v>
      </c>
      <c r="AX12" s="10">
        <f t="shared" si="3"/>
        <v>5712.4205610774998</v>
      </c>
      <c r="AZ12" s="11">
        <f t="shared" si="4"/>
        <v>12.404047102739998</v>
      </c>
      <c r="BA12" s="12">
        <f t="shared" si="5"/>
        <v>5047.9833831449996</v>
      </c>
      <c r="BC12" s="14">
        <f t="shared" si="6"/>
        <v>17.287499160213002</v>
      </c>
      <c r="BD12" s="15">
        <f t="shared" si="7"/>
        <v>5445.6097401492498</v>
      </c>
      <c r="BF12" s="16">
        <f t="shared" si="8"/>
        <v>16.426859671726</v>
      </c>
      <c r="BG12" s="17">
        <f t="shared" si="9"/>
        <v>4641.1898506227499</v>
      </c>
      <c r="BI12">
        <v>48</v>
      </c>
      <c r="BJ12" t="s">
        <v>38</v>
      </c>
      <c r="BK12" s="2">
        <v>46156.776354166665</v>
      </c>
      <c r="BL12">
        <v>397</v>
      </c>
      <c r="BM12" t="s">
        <v>13</v>
      </c>
      <c r="BN12">
        <v>0</v>
      </c>
      <c r="BO12">
        <v>2.9039999999999999</v>
      </c>
      <c r="BP12" s="3">
        <v>626950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46156.79755787037</v>
      </c>
      <c r="D13">
        <v>340</v>
      </c>
      <c r="E13" t="s">
        <v>13</v>
      </c>
      <c r="F13">
        <v>0</v>
      </c>
      <c r="G13">
        <v>6.0709999999999997</v>
      </c>
      <c r="H13" s="3">
        <v>6898</v>
      </c>
      <c r="I13">
        <v>1.4E-2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46156.79755787037</v>
      </c>
      <c r="R13">
        <v>340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46156.79755787037</v>
      </c>
      <c r="AF13">
        <v>340</v>
      </c>
      <c r="AG13" t="s">
        <v>13</v>
      </c>
      <c r="AH13">
        <v>0</v>
      </c>
      <c r="AI13">
        <v>12.348000000000001</v>
      </c>
      <c r="AJ13" s="3">
        <v>4078</v>
      </c>
      <c r="AK13">
        <v>0.78900000000000003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8">
        <v>49</v>
      </c>
      <c r="AT13" s="16">
        <f t="shared" si="0"/>
        <v>19.181568951544001</v>
      </c>
      <c r="AU13" s="17">
        <f t="shared" si="1"/>
        <v>802.62979070636004</v>
      </c>
      <c r="AW13" s="9">
        <f t="shared" si="2"/>
        <v>5.5455281599999982</v>
      </c>
      <c r="AX13" s="10">
        <f t="shared" si="3"/>
        <v>965.72701868759987</v>
      </c>
      <c r="AZ13" s="11">
        <f t="shared" si="4"/>
        <v>15.828652564560002</v>
      </c>
      <c r="BA13" s="12">
        <f t="shared" si="5"/>
        <v>869.09552097679989</v>
      </c>
      <c r="BC13" s="14">
        <f t="shared" si="6"/>
        <v>21.153953357172</v>
      </c>
      <c r="BD13" s="15">
        <f t="shared" si="7"/>
        <v>793.74456177811999</v>
      </c>
      <c r="BF13" s="16">
        <f t="shared" si="8"/>
        <v>19.181568951544001</v>
      </c>
      <c r="BG13" s="17">
        <f t="shared" si="9"/>
        <v>802.62979070636004</v>
      </c>
      <c r="BI13">
        <v>49</v>
      </c>
      <c r="BJ13" t="s">
        <v>39</v>
      </c>
      <c r="BK13" s="2">
        <v>46156.79755787037</v>
      </c>
      <c r="BL13">
        <v>340</v>
      </c>
      <c r="BM13" t="s">
        <v>13</v>
      </c>
      <c r="BN13">
        <v>0</v>
      </c>
      <c r="BO13">
        <v>2.8959999999999999</v>
      </c>
      <c r="BP13" s="3">
        <v>612292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46156.818761574075</v>
      </c>
      <c r="D14">
        <v>367</v>
      </c>
      <c r="E14" t="s">
        <v>13</v>
      </c>
      <c r="F14">
        <v>0</v>
      </c>
      <c r="G14">
        <v>6.0730000000000004</v>
      </c>
      <c r="H14" s="3">
        <v>7878</v>
      </c>
      <c r="I14">
        <v>1.6E-2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46156.818761574075</v>
      </c>
      <c r="R14">
        <v>367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46156.818761574075</v>
      </c>
      <c r="AF14">
        <v>367</v>
      </c>
      <c r="AG14" t="s">
        <v>13</v>
      </c>
      <c r="AH14">
        <v>0</v>
      </c>
      <c r="AI14">
        <v>12.353999999999999</v>
      </c>
      <c r="AJ14" s="3">
        <v>3970</v>
      </c>
      <c r="AK14">
        <v>0.77100000000000002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8">
        <v>50</v>
      </c>
      <c r="AT14" s="16">
        <f t="shared" si="0"/>
        <v>21.680688448824</v>
      </c>
      <c r="AU14" s="17">
        <f t="shared" si="1"/>
        <v>782.54308261100005</v>
      </c>
      <c r="AW14" s="9">
        <f t="shared" si="2"/>
        <v>8.6952873599999965</v>
      </c>
      <c r="AX14" s="10">
        <f t="shared" si="3"/>
        <v>939.7714535099999</v>
      </c>
      <c r="AZ14" s="11">
        <f t="shared" si="4"/>
        <v>19.06000719176</v>
      </c>
      <c r="BA14" s="12">
        <f t="shared" si="5"/>
        <v>847.00749817999997</v>
      </c>
      <c r="BC14" s="14">
        <f t="shared" si="6"/>
        <v>24.689296073812002</v>
      </c>
      <c r="BD14" s="15">
        <f t="shared" si="7"/>
        <v>769.19561263700007</v>
      </c>
      <c r="BF14" s="16">
        <f t="shared" si="8"/>
        <v>21.680688448824</v>
      </c>
      <c r="BG14" s="17">
        <f t="shared" si="9"/>
        <v>782.54308261100005</v>
      </c>
      <c r="BI14">
        <v>50</v>
      </c>
      <c r="BJ14" t="s">
        <v>40</v>
      </c>
      <c r="BK14" s="2">
        <v>46156.818761574075</v>
      </c>
      <c r="BL14">
        <v>367</v>
      </c>
      <c r="BM14" t="s">
        <v>13</v>
      </c>
      <c r="BN14">
        <v>0</v>
      </c>
      <c r="BO14">
        <v>2.8959999999999999</v>
      </c>
      <c r="BP14" s="3">
        <v>715821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46156.839953703704</v>
      </c>
      <c r="D15">
        <v>354</v>
      </c>
      <c r="E15" t="s">
        <v>13</v>
      </c>
      <c r="F15">
        <v>0</v>
      </c>
      <c r="G15">
        <v>6.0739999999999998</v>
      </c>
      <c r="H15" s="3">
        <v>5541</v>
      </c>
      <c r="I15">
        <v>1.0999999999999999E-2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46156.839953703704</v>
      </c>
      <c r="R15">
        <v>354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46156.839953703704</v>
      </c>
      <c r="AF15">
        <v>354</v>
      </c>
      <c r="AG15" t="s">
        <v>13</v>
      </c>
      <c r="AH15">
        <v>0</v>
      </c>
      <c r="AI15">
        <v>12.347</v>
      </c>
      <c r="AJ15" s="3">
        <v>3793</v>
      </c>
      <c r="AK15">
        <v>0.74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8">
        <v>51</v>
      </c>
      <c r="AT15" s="16">
        <f t="shared" si="0"/>
        <v>15.709275242765999</v>
      </c>
      <c r="AU15" s="17">
        <f t="shared" si="1"/>
        <v>749.62500532570994</v>
      </c>
      <c r="AW15" s="9">
        <f t="shared" ref="AW15:AW16" si="10">IF(H15&lt;10000,((H15^2*0.00000054)+(H15*-0.004765)+(12.72)),(IF(H15&lt;200000,((H15^2*-0.000000001577)+(H15*0.003043)+(-10.42)),(IF(H15&lt;8000000,((H15^2*-0.0000000000186)+(H15*0.00194)+(154.1)),((V15^2*-0.00000002)+(V15*0.2565)+(-1032)))))))</f>
        <v>2.8965827399999977</v>
      </c>
      <c r="AX15" s="10">
        <f t="shared" ref="AX15:AX16" si="11">IF(AJ15&lt;45000,((-0.0000004561*AJ15^2)+(0.244*AJ15)+(-21.72)),((-0.0000000409*AJ15^2)+(0.2477*AJ15)+(-1777)))</f>
        <v>897.21015817109992</v>
      </c>
      <c r="AZ15" s="11">
        <f t="shared" ref="AZ15:AZ16" si="12">IF(H15&lt;10000,((H15^2*0.00000005714)+(H15*0.002453)+(-3.811)),(IF(H15&lt;200000,((H15^2*-0.0000000002888)+(H15*0.002899)+(-4.321)),(IF(H15&lt;8000000,((H15^2*-0.0000000000062)+(H15*0.002143)+(157)),((V15^2*-0.000000031)+(V15*0.2771)+(-709.5)))))))</f>
        <v>11.535424192339999</v>
      </c>
      <c r="BA15" s="12">
        <f t="shared" ref="BA15:BA16" si="13">IF(AJ15&lt;45000,((-0.0000000598*AJ15^2)+(0.205*AJ15)+(34.1)),((-0.00000002403*AJ15^2)+(0.2063*AJ15)+(-550.7)))</f>
        <v>810.80466642979991</v>
      </c>
      <c r="BC15" s="14">
        <f t="shared" ref="BC15:BC16" si="14">IF(H15&lt;10000,((H15^2*0.000000008493)+(H15*0.003482)+(-3.269)),(IF(H15&lt;200000,((H15^2*-0.000000000263)+(H15*0.002682)+(3.179)),(IF(H15&lt;8000000,((H15^2*-0.000000000005099)+(H15*0.002054)+(174.8)),((V15^2*-0.00000001014)+(V15*0.2415)+(1123)))))))</f>
        <v>16.285519869732994</v>
      </c>
      <c r="BD15" s="15">
        <f t="shared" ref="BD15:BD16" si="15">IF(AJ15&lt;45000,((-0.00000004907*AJ15^2)+(0.2277*AJ15)+(-134)),((-0.00000001062*AJ15^2)+(0.2147*AJ15)+(590.6)))</f>
        <v>728.96013731956998</v>
      </c>
      <c r="BF15" s="16">
        <f t="shared" si="8"/>
        <v>15.709275242765999</v>
      </c>
      <c r="BG15" s="17">
        <f t="shared" si="9"/>
        <v>749.62500532570994</v>
      </c>
      <c r="BI15">
        <v>51</v>
      </c>
      <c r="BJ15" t="s">
        <v>41</v>
      </c>
      <c r="BK15" s="2">
        <v>46156.839953703704</v>
      </c>
      <c r="BL15">
        <v>354</v>
      </c>
      <c r="BM15" t="s">
        <v>13</v>
      </c>
      <c r="BN15">
        <v>0</v>
      </c>
      <c r="BO15">
        <v>2.9049999999999998</v>
      </c>
      <c r="BP15" s="3">
        <v>587594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46156.861180555556</v>
      </c>
      <c r="D16">
        <v>324</v>
      </c>
      <c r="E16" t="s">
        <v>13</v>
      </c>
      <c r="F16">
        <v>0</v>
      </c>
      <c r="G16">
        <v>6.0730000000000004</v>
      </c>
      <c r="H16" s="3">
        <v>8808</v>
      </c>
      <c r="I16">
        <v>1.7999999999999999E-2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46156.861180555556</v>
      </c>
      <c r="R16">
        <v>324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46156.861180555556</v>
      </c>
      <c r="AF16">
        <v>324</v>
      </c>
      <c r="AG16" t="s">
        <v>13</v>
      </c>
      <c r="AH16">
        <v>0</v>
      </c>
      <c r="AI16">
        <v>12.35</v>
      </c>
      <c r="AJ16" s="3">
        <v>3711</v>
      </c>
      <c r="AK16">
        <v>0.72599999999999998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8">
        <v>52</v>
      </c>
      <c r="AT16" s="16">
        <f t="shared" si="0"/>
        <v>24.045704671103998</v>
      </c>
      <c r="AU16" s="17">
        <f t="shared" si="1"/>
        <v>734.37558273658999</v>
      </c>
      <c r="AW16" s="9">
        <f t="shared" si="10"/>
        <v>12.643546559999999</v>
      </c>
      <c r="AX16" s="10">
        <f t="shared" si="11"/>
        <v>877.4828092718999</v>
      </c>
      <c r="AZ16" s="11">
        <f t="shared" si="12"/>
        <v>22.22799456896</v>
      </c>
      <c r="BA16" s="12">
        <f t="shared" si="13"/>
        <v>794.0314630442</v>
      </c>
      <c r="BC16" s="14">
        <f t="shared" si="14"/>
        <v>28.059350277951999</v>
      </c>
      <c r="BD16" s="15">
        <f t="shared" si="15"/>
        <v>710.31893146453012</v>
      </c>
      <c r="BF16" s="16">
        <f t="shared" si="8"/>
        <v>24.045704671103998</v>
      </c>
      <c r="BG16" s="17">
        <f t="shared" si="9"/>
        <v>734.37558273658999</v>
      </c>
      <c r="BI16">
        <v>52</v>
      </c>
      <c r="BJ16" t="s">
        <v>42</v>
      </c>
      <c r="BK16" s="2">
        <v>46156.861180555556</v>
      </c>
      <c r="BL16">
        <v>324</v>
      </c>
      <c r="BM16" t="s">
        <v>13</v>
      </c>
      <c r="BN16">
        <v>0</v>
      </c>
      <c r="BO16">
        <v>2.903</v>
      </c>
      <c r="BP16" s="3">
        <v>609410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46156.882372685184</v>
      </c>
      <c r="D17">
        <v>301</v>
      </c>
      <c r="E17" t="s">
        <v>13</v>
      </c>
      <c r="F17">
        <v>0</v>
      </c>
      <c r="G17">
        <v>6.0709999999999997</v>
      </c>
      <c r="H17" s="3">
        <v>10807</v>
      </c>
      <c r="I17">
        <v>2.1999999999999999E-2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46156.882372685184</v>
      </c>
      <c r="R17">
        <v>301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46156.882372685184</v>
      </c>
      <c r="AF17">
        <v>301</v>
      </c>
      <c r="AG17" t="s">
        <v>13</v>
      </c>
      <c r="AH17">
        <v>0</v>
      </c>
      <c r="AI17">
        <v>12.355</v>
      </c>
      <c r="AJ17" s="3">
        <v>3790</v>
      </c>
      <c r="AK17">
        <v>0.74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8">
        <v>53</v>
      </c>
      <c r="AT17" s="16">
        <f t="shared" si="0"/>
        <v>26.673299773876405</v>
      </c>
      <c r="AU17" s="17">
        <f t="shared" si="1"/>
        <v>749.06709113900001</v>
      </c>
      <c r="AW17" s="9">
        <f t="shared" ref="AW17:AW21" si="16">IF(H17&lt;10000,((H17^2*0.00000054)+(H17*-0.004765)+(12.72)),(IF(H17&lt;200000,((H17^2*-0.000000001577)+(H17*0.003043)+(-10.42)),(IF(H17&lt;8000000,((H17^2*-0.0000000000186)+(H17*0.00194)+(154.1)),((V17^2*-0.00000002)+(V17*0.2565)+(-1032)))))))</f>
        <v>22.281521200327006</v>
      </c>
      <c r="AX17" s="10">
        <f t="shared" ref="AX17:AX21" si="17">IF(AJ17&lt;45000,((-0.0000004561*AJ17^2)+(0.244*AJ17)+(-21.72)),((-0.0000000409*AJ17^2)+(0.2477*AJ17)+(-1777)))</f>
        <v>896.48853398999995</v>
      </c>
      <c r="AZ17" s="11">
        <f t="shared" ref="AZ17:AZ21" si="18">IF(H17&lt;10000,((H17^2*0.00000005714)+(H17*0.002453)+(-3.811)),(IF(H17&lt;200000,((H17^2*-0.0000000002888)+(H17*0.002899)+(-4.321)),(IF(H17&lt;8000000,((H17^2*-0.0000000000062)+(H17*0.002143)+(157)),((V17^2*-0.000000031)+(V17*0.2771)+(-709.5)))))))</f>
        <v>26.974763687288799</v>
      </c>
      <c r="BA17" s="12">
        <f t="shared" ref="BA17:BA21" si="19">IF(AJ17&lt;45000,((-0.0000000598*AJ17^2)+(0.205*AJ17)+(34.1)),((-0.00000002403*AJ17^2)+(0.2063*AJ17)+(-550.7)))</f>
        <v>810.19102681999993</v>
      </c>
      <c r="BC17" s="14">
        <f t="shared" ref="BC17:BC21" si="20">IF(H17&lt;10000,((H17^2*0.000000008493)+(H17*0.003482)+(-3.269)),(IF(H17&lt;200000,((H17^2*-0.000000000263)+(H17*0.002682)+(3.179)),(IF(H17&lt;8000000,((H17^2*-0.000000000005099)+(H17*0.002054)+(174.8)),((V17^2*-0.00000001014)+(V17*0.2415)+(1123)))))))</f>
        <v>32.132657901512999</v>
      </c>
      <c r="BD17" s="15">
        <f t="shared" ref="BD17:BD21" si="21">IF(AJ17&lt;45000,((-0.00000004907*AJ17^2)+(0.2277*AJ17)+(-134)),((-0.00000001062*AJ17^2)+(0.2147*AJ17)+(590.6)))</f>
        <v>728.27815361300009</v>
      </c>
      <c r="BF17" s="16">
        <f t="shared" si="8"/>
        <v>26.673299773876405</v>
      </c>
      <c r="BG17" s="17">
        <f t="shared" si="9"/>
        <v>749.06709113900001</v>
      </c>
      <c r="BI17">
        <v>53</v>
      </c>
      <c r="BJ17" t="s">
        <v>43</v>
      </c>
      <c r="BK17" s="2">
        <v>46156.882372685184</v>
      </c>
      <c r="BL17">
        <v>301</v>
      </c>
      <c r="BM17" t="s">
        <v>13</v>
      </c>
      <c r="BN17">
        <v>0</v>
      </c>
      <c r="BO17">
        <v>2.9</v>
      </c>
      <c r="BP17" s="3">
        <v>668786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46156.903587962966</v>
      </c>
      <c r="D18">
        <v>165</v>
      </c>
      <c r="E18" t="s">
        <v>13</v>
      </c>
      <c r="F18">
        <v>0</v>
      </c>
      <c r="G18">
        <v>6.0750000000000002</v>
      </c>
      <c r="H18" s="3">
        <v>11095</v>
      </c>
      <c r="I18">
        <v>2.3E-2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46156.903587962966</v>
      </c>
      <c r="R18">
        <v>165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46156.903587962966</v>
      </c>
      <c r="AF18">
        <v>165</v>
      </c>
      <c r="AG18" t="s">
        <v>13</v>
      </c>
      <c r="AH18">
        <v>0</v>
      </c>
      <c r="AI18">
        <v>12.352</v>
      </c>
      <c r="AJ18" s="3">
        <v>4153</v>
      </c>
      <c r="AK18">
        <v>0.80200000000000005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8">
        <v>54</v>
      </c>
      <c r="AT18" s="16">
        <f t="shared" si="0"/>
        <v>27.298765526990003</v>
      </c>
      <c r="AU18" s="17">
        <f t="shared" si="1"/>
        <v>816.57938476811</v>
      </c>
      <c r="AW18" s="9">
        <f t="shared" si="16"/>
        <v>23.147957837574999</v>
      </c>
      <c r="AX18" s="10">
        <f t="shared" si="17"/>
        <v>983.74545675510001</v>
      </c>
      <c r="AZ18" s="11">
        <f t="shared" si="18"/>
        <v>27.807854001580004</v>
      </c>
      <c r="BA18" s="12">
        <f t="shared" si="19"/>
        <v>884.4336049417999</v>
      </c>
      <c r="BC18" s="14">
        <f t="shared" si="20"/>
        <v>32.903414956424996</v>
      </c>
      <c r="BD18" s="15">
        <f t="shared" si="21"/>
        <v>810.79176964037003</v>
      </c>
      <c r="BF18" s="16">
        <f t="shared" si="8"/>
        <v>27.298765526990003</v>
      </c>
      <c r="BG18" s="17">
        <f t="shared" si="9"/>
        <v>816.57938476811</v>
      </c>
      <c r="BI18">
        <v>54</v>
      </c>
      <c r="BJ18" t="s">
        <v>44</v>
      </c>
      <c r="BK18" s="2">
        <v>46156.903587962966</v>
      </c>
      <c r="BL18">
        <v>165</v>
      </c>
      <c r="BM18" t="s">
        <v>13</v>
      </c>
      <c r="BN18">
        <v>0</v>
      </c>
      <c r="BO18">
        <v>2.903</v>
      </c>
      <c r="BP18" s="3">
        <v>662150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46156.924791666665</v>
      </c>
      <c r="D19">
        <v>213</v>
      </c>
      <c r="E19" t="s">
        <v>13</v>
      </c>
      <c r="F19">
        <v>0</v>
      </c>
      <c r="G19">
        <v>6.0830000000000002</v>
      </c>
      <c r="H19" s="3">
        <v>2806</v>
      </c>
      <c r="I19">
        <v>6.0000000000000001E-3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46156.924791666665</v>
      </c>
      <c r="R19">
        <v>213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46156.924791666665</v>
      </c>
      <c r="AF19">
        <v>213</v>
      </c>
      <c r="AG19" t="s">
        <v>13</v>
      </c>
      <c r="AH19">
        <v>0</v>
      </c>
      <c r="AI19">
        <v>12.271000000000001</v>
      </c>
      <c r="AJ19" s="3">
        <v>45987</v>
      </c>
      <c r="AK19">
        <v>7.9480000000000004</v>
      </c>
      <c r="AL19" t="s">
        <v>14</v>
      </c>
      <c r="AM19" t="s">
        <v>14</v>
      </c>
      <c r="AN19" t="s">
        <v>14</v>
      </c>
      <c r="AO19" t="s">
        <v>14</v>
      </c>
      <c r="AQ19">
        <v>2</v>
      </c>
      <c r="AR19" t="s">
        <v>48</v>
      </c>
      <c r="AS19" s="8">
        <v>55</v>
      </c>
      <c r="AT19" s="16">
        <f t="shared" si="0"/>
        <v>8.6693873158959995</v>
      </c>
      <c r="AU19" s="17">
        <f t="shared" si="1"/>
        <v>9139.1036864374091</v>
      </c>
      <c r="AW19" s="9">
        <f t="shared" si="16"/>
        <v>3.6011734400000019</v>
      </c>
      <c r="AX19" s="10">
        <f t="shared" si="17"/>
        <v>9527.4844094879008</v>
      </c>
      <c r="AZ19" s="11">
        <f t="shared" si="18"/>
        <v>3.5220175610399993</v>
      </c>
      <c r="BA19" s="12">
        <f t="shared" si="19"/>
        <v>8885.5993558189293</v>
      </c>
      <c r="BC19" s="14">
        <f t="shared" si="20"/>
        <v>6.5683627905479991</v>
      </c>
      <c r="BD19" s="15">
        <f t="shared" si="21"/>
        <v>10441.54967972522</v>
      </c>
      <c r="BF19" s="16">
        <f t="shared" si="8"/>
        <v>8.6693873158959995</v>
      </c>
      <c r="BG19" s="17">
        <f t="shared" si="9"/>
        <v>9139.1036864374091</v>
      </c>
      <c r="BI19">
        <v>55</v>
      </c>
      <c r="BJ19" t="s">
        <v>45</v>
      </c>
      <c r="BK19" s="2">
        <v>46156.924791666665</v>
      </c>
      <c r="BL19">
        <v>213</v>
      </c>
      <c r="BM19" t="s">
        <v>13</v>
      </c>
      <c r="BN19">
        <v>0</v>
      </c>
      <c r="BO19">
        <v>2.8860000000000001</v>
      </c>
      <c r="BP19" s="3">
        <v>861426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46</v>
      </c>
      <c r="C20" s="2">
        <v>46156.946030092593</v>
      </c>
      <c r="D20">
        <v>184</v>
      </c>
      <c r="E20" t="s">
        <v>13</v>
      </c>
      <c r="F20">
        <v>0</v>
      </c>
      <c r="G20">
        <v>6.101</v>
      </c>
      <c r="H20" s="3">
        <v>1587</v>
      </c>
      <c r="I20">
        <v>3.0000000000000001E-3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46156.946030092593</v>
      </c>
      <c r="R20">
        <v>184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46156.946030092593</v>
      </c>
      <c r="AF20">
        <v>184</v>
      </c>
      <c r="AG20" t="s">
        <v>13</v>
      </c>
      <c r="AH20">
        <v>0</v>
      </c>
      <c r="AI20">
        <v>12.308999999999999</v>
      </c>
      <c r="AJ20" s="3">
        <v>44345</v>
      </c>
      <c r="AK20">
        <v>7.6680000000000001</v>
      </c>
      <c r="AL20" t="s">
        <v>14</v>
      </c>
      <c r="AM20" t="s">
        <v>14</v>
      </c>
      <c r="AN20" t="s">
        <v>14</v>
      </c>
      <c r="AO20" t="s">
        <v>14</v>
      </c>
      <c r="AQ20">
        <v>2</v>
      </c>
      <c r="AR20" t="s">
        <v>49</v>
      </c>
      <c r="AS20" s="8">
        <v>56</v>
      </c>
      <c r="AT20" s="16">
        <f t="shared" si="0"/>
        <v>5.5137810347340004</v>
      </c>
      <c r="AU20" s="17">
        <f t="shared" si="1"/>
        <v>8349.9967843047507</v>
      </c>
      <c r="AW20" s="9">
        <f t="shared" si="16"/>
        <v>6.5179722600000005</v>
      </c>
      <c r="AX20" s="10">
        <f t="shared" si="17"/>
        <v>9901.5489166975003</v>
      </c>
      <c r="AZ20" s="11">
        <f t="shared" si="18"/>
        <v>0.22582203266</v>
      </c>
      <c r="BA20" s="12">
        <f t="shared" si="19"/>
        <v>9007.2295543050004</v>
      </c>
      <c r="BC20" s="14">
        <f t="shared" si="20"/>
        <v>2.2783242065169995</v>
      </c>
      <c r="BD20" s="15">
        <f t="shared" si="21"/>
        <v>9866.8613742432499</v>
      </c>
      <c r="BF20" s="16">
        <f t="shared" si="8"/>
        <v>5.5137810347340004</v>
      </c>
      <c r="BG20" s="17">
        <f t="shared" si="9"/>
        <v>8349.9967843047507</v>
      </c>
      <c r="BI20">
        <v>56</v>
      </c>
      <c r="BJ20" t="s">
        <v>46</v>
      </c>
      <c r="BK20" s="2">
        <v>46156.946030092593</v>
      </c>
      <c r="BL20">
        <v>184</v>
      </c>
      <c r="BM20" t="s">
        <v>13</v>
      </c>
      <c r="BN20">
        <v>0</v>
      </c>
      <c r="BO20">
        <v>2.903</v>
      </c>
      <c r="BP20" s="3">
        <v>611850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47</v>
      </c>
      <c r="C21" s="2">
        <v>46156.967256944445</v>
      </c>
      <c r="D21">
        <v>276</v>
      </c>
      <c r="E21" t="s">
        <v>13</v>
      </c>
      <c r="F21">
        <v>0</v>
      </c>
      <c r="G21">
        <v>6.0739999999999998</v>
      </c>
      <c r="H21" s="3">
        <v>6497</v>
      </c>
      <c r="I21">
        <v>1.2999999999999999E-2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46156.967256944445</v>
      </c>
      <c r="R21">
        <v>276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46156.967256944445</v>
      </c>
      <c r="AF21">
        <v>276</v>
      </c>
      <c r="AG21" t="s">
        <v>13</v>
      </c>
      <c r="AH21">
        <v>0</v>
      </c>
      <c r="AI21">
        <v>12.311999999999999</v>
      </c>
      <c r="AJ21" s="3">
        <v>23960</v>
      </c>
      <c r="AK21">
        <v>4.1859999999999999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8">
        <v>57</v>
      </c>
      <c r="AT21" s="16">
        <f t="shared" si="0"/>
        <v>18.156913312573998</v>
      </c>
      <c r="AU21" s="17">
        <f t="shared" si="1"/>
        <v>4514.6683804640006</v>
      </c>
      <c r="AW21" s="9">
        <f t="shared" si="16"/>
        <v>4.555739860000001</v>
      </c>
      <c r="AX21" s="10">
        <f t="shared" si="17"/>
        <v>5562.681382239999</v>
      </c>
      <c r="AZ21" s="11">
        <f t="shared" si="18"/>
        <v>14.538078054259998</v>
      </c>
      <c r="BA21" s="12">
        <f t="shared" si="19"/>
        <v>4911.5699203199993</v>
      </c>
      <c r="BC21" s="14">
        <f t="shared" si="20"/>
        <v>19.712052099436995</v>
      </c>
      <c r="BD21" s="15">
        <f t="shared" si="21"/>
        <v>5293.5218158879998</v>
      </c>
      <c r="BF21" s="16">
        <f t="shared" si="8"/>
        <v>18.156913312573998</v>
      </c>
      <c r="BG21" s="17">
        <f t="shared" si="9"/>
        <v>4514.6683804640006</v>
      </c>
      <c r="BI21">
        <v>57</v>
      </c>
      <c r="BJ21" t="s">
        <v>47</v>
      </c>
      <c r="BK21" s="2">
        <v>46156.967256944445</v>
      </c>
      <c r="BL21">
        <v>276</v>
      </c>
      <c r="BM21" t="s">
        <v>13</v>
      </c>
      <c r="BN21">
        <v>0</v>
      </c>
      <c r="BO21">
        <v>2.8879999999999999</v>
      </c>
      <c r="BP21" s="3">
        <v>873291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C22" s="2"/>
      <c r="H22" s="3"/>
      <c r="Q22" s="2"/>
      <c r="V22" s="3"/>
      <c r="AE22" s="2"/>
      <c r="AS22" s="8"/>
      <c r="AT22" s="14"/>
      <c r="AU22" s="15"/>
      <c r="AW22" s="9"/>
      <c r="AX22" s="10"/>
      <c r="AZ22" s="11"/>
      <c r="BA22" s="12"/>
      <c r="BC22" s="14"/>
      <c r="BD22" s="15"/>
      <c r="BF22" s="14"/>
      <c r="BG22" s="15"/>
      <c r="BK22" s="2"/>
      <c r="BP22" s="3"/>
    </row>
    <row r="23" spans="1:73" x14ac:dyDescent="0.35">
      <c r="C23" s="2"/>
      <c r="H23" s="3"/>
      <c r="Q23" s="2"/>
      <c r="AE23" s="2"/>
      <c r="AJ23" s="3"/>
      <c r="AS23" s="8"/>
      <c r="AT23" s="14"/>
      <c r="AU23" s="15"/>
      <c r="AW23" s="9"/>
      <c r="AX23" s="10"/>
      <c r="AZ23" s="11"/>
      <c r="BA23" s="12"/>
      <c r="BC23" s="14"/>
      <c r="BD23" s="15"/>
      <c r="BF23" s="14"/>
      <c r="BG23" s="15"/>
      <c r="BK23" s="2"/>
      <c r="BP23" s="3"/>
    </row>
    <row r="24" spans="1:73" x14ac:dyDescent="0.35">
      <c r="C24" s="2"/>
      <c r="H24" s="3"/>
      <c r="Q24" s="2"/>
      <c r="V24" s="3"/>
      <c r="AE24" s="2"/>
      <c r="AJ24" s="3"/>
      <c r="AS24" s="8"/>
      <c r="AT24" s="14"/>
      <c r="AU24" s="15"/>
      <c r="AW24" s="9"/>
      <c r="AX24" s="10"/>
      <c r="AZ24" s="11"/>
      <c r="BA24" s="12"/>
      <c r="BC24" s="14"/>
      <c r="BD24" s="15"/>
      <c r="BF24" s="14"/>
      <c r="BG24" s="15"/>
      <c r="BK24" s="2"/>
      <c r="BP24" s="3"/>
    </row>
    <row r="25" spans="1:73" x14ac:dyDescent="0.35">
      <c r="C25" s="2"/>
      <c r="H25" s="3"/>
      <c r="Q25" s="2"/>
      <c r="AE25" s="2"/>
      <c r="AJ25" s="3"/>
      <c r="AS25" s="8"/>
      <c r="AT25" s="14"/>
      <c r="AU25" s="15"/>
      <c r="AW25" s="9"/>
      <c r="AX25" s="10"/>
      <c r="AZ25" s="11"/>
      <c r="BA25" s="12"/>
      <c r="BC25" s="14"/>
      <c r="BD25" s="15"/>
      <c r="BF25" s="14"/>
      <c r="BG25" s="15"/>
      <c r="BK25" s="2"/>
      <c r="BP25" s="3"/>
    </row>
    <row r="26" spans="1:73" x14ac:dyDescent="0.35">
      <c r="C26" s="2"/>
      <c r="H26" s="3"/>
      <c r="Q26" s="2"/>
      <c r="V26" s="3"/>
      <c r="AE26" s="2"/>
      <c r="AJ26" s="3"/>
      <c r="AS26" s="8"/>
      <c r="AT26" s="14"/>
      <c r="AU26" s="15"/>
      <c r="AW26" s="9"/>
      <c r="AX26" s="10"/>
      <c r="AZ26" s="11"/>
      <c r="BA26" s="12"/>
      <c r="BC26" s="14"/>
      <c r="BD26" s="15"/>
      <c r="BF26" s="14"/>
      <c r="BG26" s="15"/>
      <c r="BK26" s="2"/>
      <c r="BP26" s="3"/>
    </row>
    <row r="27" spans="1:73" x14ac:dyDescent="0.35">
      <c r="C27" s="2"/>
      <c r="H27" s="3"/>
      <c r="Q27" s="2"/>
      <c r="AE27" s="2"/>
      <c r="AJ27" s="3"/>
      <c r="AS27" s="8"/>
      <c r="AT27" s="14"/>
      <c r="AU27" s="15"/>
      <c r="AW27" s="9"/>
      <c r="AX27" s="10"/>
      <c r="AZ27" s="11"/>
      <c r="BA27" s="12"/>
      <c r="BC27" s="14"/>
      <c r="BD27" s="15"/>
      <c r="BF27" s="14"/>
      <c r="BG27" s="15"/>
      <c r="BK27" s="2"/>
      <c r="BP27" s="3"/>
    </row>
    <row r="28" spans="1:73" x14ac:dyDescent="0.35">
      <c r="C28" s="2"/>
      <c r="H28" s="3"/>
      <c r="Q28" s="2"/>
      <c r="AE28" s="2"/>
      <c r="AJ28" s="3"/>
      <c r="AS28" s="8"/>
      <c r="AT28" s="14"/>
      <c r="AU28" s="15"/>
      <c r="AW28" s="9"/>
      <c r="AX28" s="10"/>
      <c r="AZ28" s="11"/>
      <c r="BA28" s="12"/>
      <c r="BC28" s="14"/>
      <c r="BD28" s="15"/>
      <c r="BF28" s="14"/>
      <c r="BG28" s="15"/>
      <c r="BK28" s="2"/>
      <c r="BP28" s="3"/>
    </row>
    <row r="29" spans="1:73" x14ac:dyDescent="0.35">
      <c r="C29" s="2"/>
      <c r="H29" s="3"/>
      <c r="Q29" s="2"/>
      <c r="V29" s="3"/>
      <c r="AE29" s="2"/>
      <c r="AJ29" s="3"/>
      <c r="AK29" s="13"/>
      <c r="AS29" s="8"/>
      <c r="AT29" s="14"/>
      <c r="AU29" s="15"/>
      <c r="AW29" s="9"/>
      <c r="AX29" s="10"/>
      <c r="AZ29" s="11"/>
      <c r="BA29" s="12"/>
      <c r="BC29" s="14"/>
      <c r="BD29" s="15"/>
      <c r="BF29" s="14"/>
      <c r="BG29" s="15"/>
      <c r="BK29" s="2"/>
      <c r="BP29" s="3"/>
    </row>
    <row r="30" spans="1:73" x14ac:dyDescent="0.35">
      <c r="C30" s="2"/>
      <c r="H30" s="3"/>
      <c r="Q30" s="2"/>
      <c r="AE30" s="2"/>
      <c r="AJ30" s="3"/>
      <c r="AS30" s="8"/>
      <c r="AT30" s="14"/>
      <c r="AU30" s="15"/>
      <c r="AW30" s="9"/>
      <c r="AX30" s="10"/>
      <c r="AZ30" s="11"/>
      <c r="BA30" s="12"/>
      <c r="BC30" s="14"/>
      <c r="BD30" s="15"/>
      <c r="BF30" s="14"/>
      <c r="BG30" s="15"/>
      <c r="BK30" s="2"/>
      <c r="BP30" s="3"/>
    </row>
    <row r="31" spans="1:73" x14ac:dyDescent="0.35">
      <c r="C31" s="2"/>
      <c r="H31" s="3"/>
      <c r="Q31" s="2"/>
      <c r="AE31" s="2"/>
      <c r="AJ31" s="3"/>
      <c r="AS31" s="8"/>
      <c r="AT31" s="14"/>
      <c r="AU31" s="15"/>
      <c r="AW31" s="9"/>
      <c r="AX31" s="10"/>
      <c r="AZ31" s="11"/>
      <c r="BA31" s="12"/>
      <c r="BC31" s="14"/>
      <c r="BD31" s="15"/>
      <c r="BF31" s="14"/>
      <c r="BG31" s="15"/>
      <c r="BK31" s="2"/>
      <c r="BP31" s="3"/>
    </row>
    <row r="32" spans="1:73" x14ac:dyDescent="0.35">
      <c r="C32" s="2"/>
      <c r="H32" s="3"/>
      <c r="Q32" s="2"/>
      <c r="V32" s="3"/>
      <c r="AE32" s="2"/>
      <c r="AJ32" s="3"/>
      <c r="AS32" s="8"/>
      <c r="AT32" s="14"/>
      <c r="AU32" s="15"/>
      <c r="AW32" s="9"/>
      <c r="AX32" s="10"/>
      <c r="AZ32" s="11"/>
      <c r="BA32" s="12"/>
      <c r="BC32" s="14"/>
      <c r="BD32" s="15"/>
      <c r="BF32" s="14"/>
      <c r="BG32" s="15"/>
      <c r="BK32" s="2"/>
      <c r="BP32" s="3"/>
    </row>
    <row r="33" spans="3:68" x14ac:dyDescent="0.35">
      <c r="C33" s="2"/>
      <c r="H33" s="3"/>
      <c r="Q33" s="2"/>
      <c r="V33" s="3"/>
      <c r="AE33" s="2"/>
      <c r="AJ33" s="3"/>
      <c r="AS33" s="8"/>
      <c r="AT33" s="14"/>
      <c r="AU33" s="15"/>
      <c r="AW33" s="9"/>
      <c r="AX33" s="10"/>
      <c r="AZ33" s="11"/>
      <c r="BA33" s="12"/>
      <c r="BC33" s="14"/>
      <c r="BD33" s="15"/>
      <c r="BF33" s="14"/>
      <c r="BG33" s="15"/>
      <c r="BK33" s="2"/>
      <c r="BP33" s="3"/>
    </row>
    <row r="34" spans="3:68" x14ac:dyDescent="0.35">
      <c r="C34" s="2"/>
      <c r="H34" s="3"/>
      <c r="Q34" s="2"/>
      <c r="AE34" s="2"/>
      <c r="AJ34" s="3"/>
      <c r="AS34" s="8"/>
      <c r="AT34" s="14"/>
      <c r="AU34" s="15"/>
      <c r="AW34" s="9"/>
      <c r="AX34" s="10"/>
      <c r="AZ34" s="11"/>
      <c r="BA34" s="12"/>
      <c r="BC34" s="14"/>
      <c r="BD34" s="15"/>
      <c r="BF34" s="14"/>
      <c r="BG34" s="15"/>
      <c r="BK34" s="2"/>
      <c r="BP34" s="3"/>
    </row>
    <row r="35" spans="3:68" x14ac:dyDescent="0.35">
      <c r="C35" s="2"/>
      <c r="H35" s="3"/>
      <c r="Q35" s="2"/>
      <c r="AE35" s="2"/>
      <c r="AS35" s="8"/>
      <c r="AT35" s="14"/>
      <c r="AU35" s="15"/>
      <c r="AW35" s="9"/>
      <c r="AX35" s="10"/>
      <c r="AZ35" s="11"/>
      <c r="BA35" s="12"/>
      <c r="BC35" s="14"/>
      <c r="BD35" s="15"/>
      <c r="BF35" s="14"/>
      <c r="BG35" s="15"/>
      <c r="BK35" s="2"/>
      <c r="BP35" s="3"/>
    </row>
    <row r="36" spans="3:68" x14ac:dyDescent="0.35">
      <c r="C36" s="2"/>
      <c r="H36" s="3"/>
      <c r="Q36" s="2"/>
      <c r="V36" s="3"/>
      <c r="AE36" s="2"/>
      <c r="AJ36" s="3"/>
      <c r="AS36" s="8"/>
      <c r="AT36" s="14"/>
      <c r="AU36" s="15"/>
      <c r="AW36" s="9"/>
      <c r="AX36" s="10"/>
      <c r="AZ36" s="11"/>
      <c r="BA36" s="12"/>
      <c r="BC36" s="14"/>
      <c r="BD36" s="15"/>
      <c r="BF36" s="14"/>
      <c r="BG36" s="15"/>
      <c r="BK36" s="2"/>
      <c r="BP36" s="3"/>
    </row>
    <row r="37" spans="3:68" x14ac:dyDescent="0.35">
      <c r="C37" s="2"/>
      <c r="H37" s="3"/>
      <c r="Q37" s="2"/>
      <c r="V37" s="3"/>
      <c r="AE37" s="2"/>
      <c r="AJ37" s="3"/>
      <c r="AS37" s="8"/>
      <c r="AT37" s="14"/>
      <c r="AU37" s="15"/>
      <c r="AW37" s="9"/>
      <c r="AX37" s="10"/>
      <c r="AZ37" s="11"/>
      <c r="BA37" s="12"/>
      <c r="BC37" s="14"/>
      <c r="BD37" s="15"/>
      <c r="BF37" s="14"/>
      <c r="BG37" s="15"/>
      <c r="BK37" s="2"/>
      <c r="BP37" s="3"/>
    </row>
    <row r="38" spans="3:68" x14ac:dyDescent="0.35">
      <c r="C38" s="2"/>
      <c r="H38" s="3"/>
      <c r="Q38" s="2"/>
      <c r="AE38" s="2"/>
      <c r="AJ38" s="3"/>
      <c r="AS38" s="8"/>
      <c r="AT38" s="14"/>
      <c r="AU38" s="15"/>
      <c r="AW38" s="9"/>
      <c r="AX38" s="10"/>
      <c r="AZ38" s="11"/>
      <c r="BA38" s="12"/>
      <c r="BC38" s="14"/>
      <c r="BD38" s="15"/>
      <c r="BF38" s="14"/>
      <c r="BG38" s="15"/>
      <c r="BK38" s="2"/>
      <c r="BP38" s="3"/>
    </row>
    <row r="39" spans="3:68" x14ac:dyDescent="0.35">
      <c r="C39" s="2"/>
      <c r="H39" s="3"/>
      <c r="Q39" s="2"/>
      <c r="V39" s="3"/>
      <c r="AE39" s="2"/>
      <c r="AJ39" s="3"/>
      <c r="AS39" s="8"/>
      <c r="AT39" s="14"/>
      <c r="AU39" s="15"/>
      <c r="AW39" s="9"/>
      <c r="AX39" s="10"/>
      <c r="AZ39" s="11"/>
      <c r="BA39" s="12"/>
      <c r="BC39" s="14"/>
      <c r="BD39" s="15"/>
      <c r="BF39" s="14"/>
      <c r="BG39" s="15"/>
      <c r="BK39" s="2"/>
      <c r="BP39" s="3"/>
    </row>
    <row r="40" spans="3:68" x14ac:dyDescent="0.35">
      <c r="C40" s="2"/>
      <c r="H40" s="3"/>
      <c r="Q40" s="2"/>
      <c r="AE40" s="2"/>
      <c r="AJ40" s="3"/>
      <c r="AS40" s="8"/>
      <c r="AT40" s="14"/>
      <c r="AU40" s="15"/>
      <c r="AW40" s="9"/>
      <c r="AX40" s="10"/>
      <c r="AZ40" s="11"/>
      <c r="BA40" s="12"/>
      <c r="BC40" s="14"/>
      <c r="BD40" s="15"/>
      <c r="BF40" s="14"/>
      <c r="BG40" s="15"/>
      <c r="BK40" s="2"/>
      <c r="BP40" s="3"/>
    </row>
    <row r="41" spans="3:68" x14ac:dyDescent="0.35">
      <c r="C41" s="2"/>
      <c r="H41" s="3"/>
      <c r="Q41" s="2"/>
      <c r="AE41" s="2"/>
      <c r="AJ41" s="3"/>
      <c r="AS41" s="8"/>
      <c r="AT41" s="14"/>
      <c r="AU41" s="15"/>
      <c r="AW41" s="9"/>
      <c r="AX41" s="10"/>
      <c r="AZ41" s="11"/>
      <c r="BA41" s="12"/>
      <c r="BC41" s="14"/>
      <c r="BD41" s="15"/>
      <c r="BF41" s="14"/>
      <c r="BG41" s="15"/>
      <c r="BK41" s="2"/>
      <c r="BP41" s="3"/>
    </row>
    <row r="42" spans="3:68" x14ac:dyDescent="0.35">
      <c r="C42" s="2"/>
      <c r="H42" s="3"/>
      <c r="Q42" s="2"/>
      <c r="AE42" s="2"/>
      <c r="AS42" s="8"/>
      <c r="AT42" s="14"/>
      <c r="AU42" s="15"/>
      <c r="AW42" s="9"/>
      <c r="AX42" s="10"/>
      <c r="AZ42" s="11"/>
      <c r="BA42" s="12"/>
      <c r="BC42" s="14"/>
      <c r="BD42" s="15"/>
      <c r="BF42" s="14"/>
      <c r="BG42" s="15"/>
      <c r="BK42" s="2"/>
      <c r="BP42" s="3"/>
    </row>
    <row r="43" spans="3:68" x14ac:dyDescent="0.35">
      <c r="C43" s="2"/>
      <c r="H43" s="3"/>
      <c r="Q43" s="2"/>
      <c r="AE43" s="2"/>
      <c r="AS43" s="8"/>
      <c r="AT43" s="14"/>
      <c r="AU43" s="15"/>
      <c r="AW43" s="9"/>
      <c r="AX43" s="10"/>
      <c r="AZ43" s="11"/>
      <c r="BA43" s="12"/>
      <c r="BC43" s="14"/>
      <c r="BD43" s="15"/>
      <c r="BF43" s="14"/>
      <c r="BG43" s="15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2026-05-19T14:39:47Z</dcterms:modified>
</cp:coreProperties>
</file>