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60315532-8831-43C0-A5E9-A50FDD5AA3B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<sst xmlns="http://schemas.openxmlformats.org/spreadsheetml/2006/main" count="823" uniqueCount="63">
  <si>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</si>
  <si>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</si>
  <si>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</si>
  <si>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</si>
  <si>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</si>
  <si>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</si>
  <si>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</si>
  <si>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</si>
  <si>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</si>
  <si>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</si>
  <si>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</si>
  <si>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</si>
  <si>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</si>
  <si>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</si>
  <si>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</si>
  <si>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</si>
  <si>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</si>
  <si>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</si>
  <si>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</si>
  <si>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</si>
  <si>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</si>
  <si>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</si>
  <si>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</si>
  <si>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</si>
  <si>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</si>
  <si>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</si>
  <si>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</si>
  <si>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</si>
  <si>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</si>
  <si>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</si>
  <si>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</si>
  <si>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</si>
  <si>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</si>
  <si>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</si>
  <si>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</si>
  <si>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FMI20260518_001.gcd</t>
  </si>
  <si>
    <t>FMI20260518_002.gcd</t>
  </si>
  <si>
    <t>FMI20260518_003.gcd</t>
  </si>
  <si>
    <t>FMI20260518_004.gcd</t>
  </si>
  <si>
    <t>FMI20260518_005.gcd</t>
  </si>
  <si>
    <t>FMI20260518_006.gcd</t>
  </si>
  <si>
    <t>FMI20260518_007.gcd</t>
  </si>
  <si>
    <t>FMI20260518_008.gcd</t>
  </si>
  <si>
    <t>FMI20260518_009.gcd</t>
  </si>
  <si>
    <t>FMI20260518_010.gcd</t>
  </si>
  <si>
    <t>FMI20260518_011.gcd</t>
  </si>
  <si>
    <t>FMI20260518_012.gcd</t>
  </si>
  <si>
    <t>FMI20260518_013.gcd</t>
  </si>
  <si>
    <t>FMI20260518_014.gcd</t>
  </si>
  <si>
    <t>FMI20260518_015.gcd</t>
  </si>
  <si>
    <t>FMI20260518_016.gcd</t>
  </si>
  <si>
    <t>FMI20260518_017.gcd</t>
  </si>
  <si>
    <t>FMI20260518_018.gcd</t>
  </si>
  <si>
    <t>FMI20260518_019.gcd</t>
  </si>
  <si>
    <t>FMI20260518_020.gcd</t>
  </si>
  <si>
    <t>FMI20260518_021.gcd</t>
  </si>
  <si>
    <t>FMI20260518_022.gcd</t>
  </si>
  <si>
    <t>FMI20260518_023.gcd</t>
  </si>
  <si>
    <t>FMI20260518_024.gcd</t>
  </si>
  <si>
    <t>FMI20260518_025.gcd</t>
  </si>
  <si>
    <t>FMI20260518_026.gcd</t>
  </si>
  <si>
    <t>FMI20260518_027.gcd</t>
  </si>
  <si>
    <t>no co2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</si>
</sst>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Z1" workbookViewId="0">
      <selection activeCell="AR27" sqref="AR2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46160.671238425923</v>
      </c>
      <c r="D9" t="s">
        <v>31</v>
      </c>
      <c r="E9" t="s">
        <v>13</v>
      </c>
      <c r="F9">
        <v>0</v>
      </c>
      <c r="G9">
        <v>6.0949999999999998</v>
      </c>
      <c r="H9" s="3">
        <v>1962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46160.671238425923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46160.671238425923</v>
      </c>
      <c r="AF9" t="s">
        <v>31</v>
      </c>
      <c r="AG9" t="s">
        <v>13</v>
      </c>
      <c r="AH9">
        <v>0</v>
      </c>
      <c r="AI9">
        <v>12.347</v>
      </c>
      <c r="AJ9" s="3">
        <v>1677</v>
      </c>
      <c r="AK9">
        <v>0.379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5" si="0">IF($H9&lt;10000,(($H9^2*-0.000000003714)+($H9*0.002605)+(1.389)),(IF($H9&lt;200000,(($H9^2*-0.0000000003764)+($H9*0.00218)+(3.158)),(IF($H9&lt;8000000,(($H9^2*-0.000000000004719)+($H9*0.001816)+(146.1)),(($V9^2*0.000000002578)+($V9*0.2173)+(2294)))))))</f>
        <v>6.4857131649840003</v>
      </c>
      <c r="AU9" s="17">
        <f t="shared" ref="AU9:AU35" si="1">IF($AJ9&lt;45000,((0.00000003579*$AJ9^2)+(0.1857*$AJ9)+(44.75)),((0.0000000022829*$AJ9^2)+(0.1634*$AJ9)+(1620)))</f>
        <v>356.26955325491002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5.4497697599999997</v>
      </c>
      <c r="AX9" s="10">
        <f t="shared" ref="AX9:AX14" si="3">IF(AJ9&lt;45000,((-0.0000004561*AJ9^2)+(0.244*AJ9)+(-21.72)),((-0.0000000409*AJ9^2)+(0.2477*AJ9)+(-1777)))</f>
        <v>386.18529674310003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1.2217432301600004</v>
      </c>
      <c r="BA9" s="12">
        <f t="shared" ref="BA9:BA14" si="5">IF(AJ9&lt;45000,((-0.0000000598*AJ9^2)+(0.205*AJ9)+(34.1)),((-0.00000002403*AJ9^2)+(0.2063*AJ9)+(-550.7)))</f>
        <v>377.7168227258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3.5953773278919998</v>
      </c>
      <c r="BD9" s="15">
        <f t="shared" ref="BD9:BD14" si="7">IF(AJ9&lt;45000,((-0.00000004907*AJ9^2)+(0.2277*AJ9)+(-134)),((-0.00000001062*AJ9^2)+(0.2147*AJ9)+(590.6)))</f>
        <v>247.71489901597005</v>
      </c>
      <c r="BF9" s="16">
        <f t="shared" ref="BF9:BF35" si="8">IF($H9&lt;10000,(($H9^2*-0.000000003714)+($H9*0.002605)+(1.389)),(IF($H9&lt;200000,(($H9^2*-0.0000000003764)+($H9*0.00218)+(3.158)),(IF($H9&lt;8000000,(($H9^2*-0.000000000004719)+($H9*0.001816)+(146.1)),(($V9^2*0.000000002578)+($V9*0.2173)+(2294)))))))</f>
        <v>6.4857131649840003</v>
      </c>
      <c r="BG9" s="17">
        <f t="shared" ref="BG9:BG35" si="9">IF($AJ9&lt;45000,((0.00000003579*$AJ9^2)+(0.1857*$AJ9)+(44.75)),((0.0000000022829*$AJ9^2)+(0.1634*$AJ9)+(1620)))</f>
        <v>356.26955325491002</v>
      </c>
      <c r="BI9">
        <v>45</v>
      </c>
      <c r="BJ9" t="s">
        <v>35</v>
      </c>
      <c r="BK9" s="2">
        <v>46160.671238425923</v>
      </c>
      <c r="BL9" t="s">
        <v>31</v>
      </c>
      <c r="BM9" t="s">
        <v>13</v>
      </c>
      <c r="BN9">
        <v>0</v>
      </c>
      <c r="BO9">
        <v>2.726</v>
      </c>
      <c r="BP9" s="3">
        <v>4952188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46160.692442129628</v>
      </c>
      <c r="D10" t="s">
        <v>32</v>
      </c>
      <c r="E10" t="s">
        <v>13</v>
      </c>
      <c r="F10">
        <v>0</v>
      </c>
      <c r="G10">
        <v>6.0439999999999996</v>
      </c>
      <c r="H10" s="3">
        <v>1215259</v>
      </c>
      <c r="I10">
        <v>2.4729999999999999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46160.692442129628</v>
      </c>
      <c r="R10" t="s">
        <v>32</v>
      </c>
      <c r="S10" t="s">
        <v>13</v>
      </c>
      <c r="T10">
        <v>0</v>
      </c>
      <c r="U10">
        <v>5.9960000000000004</v>
      </c>
      <c r="V10" s="3">
        <v>9112</v>
      </c>
      <c r="W10">
        <v>2.226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46160.692442129628</v>
      </c>
      <c r="AF10" t="s">
        <v>32</v>
      </c>
      <c r="AG10" t="s">
        <v>13</v>
      </c>
      <c r="AH10">
        <v>0</v>
      </c>
      <c r="AI10">
        <v>12.316000000000001</v>
      </c>
      <c r="AJ10" s="3">
        <v>8814</v>
      </c>
      <c r="AK10">
        <v>1.5980000000000001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2346.0410679114148</v>
      </c>
      <c r="AU10" s="17">
        <f t="shared" si="1"/>
        <v>1684.29020327084</v>
      </c>
      <c r="AW10" s="9">
        <f t="shared" si="2"/>
        <v>2484.2329674702933</v>
      </c>
      <c r="AX10" s="10">
        <f t="shared" si="3"/>
        <v>2093.4631435644001</v>
      </c>
      <c r="AZ10" s="11">
        <f t="shared" si="4"/>
        <v>2752.1435394900977</v>
      </c>
      <c r="BA10" s="12">
        <f t="shared" si="5"/>
        <v>1836.3243415591999</v>
      </c>
      <c r="BC10" s="14">
        <f t="shared" si="6"/>
        <v>2663.4115052253237</v>
      </c>
      <c r="BD10" s="15">
        <f t="shared" si="7"/>
        <v>1869.1357187342801</v>
      </c>
      <c r="BF10" s="16">
        <f t="shared" si="8"/>
        <v>2346.0410679114148</v>
      </c>
      <c r="BG10" s="17">
        <f t="shared" si="9"/>
        <v>1684.29020327084</v>
      </c>
      <c r="BI10">
        <v>46</v>
      </c>
      <c r="BJ10" t="s">
        <v>36</v>
      </c>
      <c r="BK10" s="2">
        <v>46160.692442129628</v>
      </c>
      <c r="BL10" t="s">
        <v>32</v>
      </c>
      <c r="BM10" t="s">
        <v>13</v>
      </c>
      <c r="BN10">
        <v>0</v>
      </c>
      <c r="BO10">
        <v>2.7250000000000001</v>
      </c>
      <c r="BP10" s="3">
        <v>5012426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46160.724293981482</v>
      </c>
      <c r="D11" t="s">
        <v>26</v>
      </c>
      <c r="E11" t="s">
        <v>13</v>
      </c>
      <c r="F11">
        <v>0</v>
      </c>
      <c r="G11">
        <v>6.0890000000000004</v>
      </c>
      <c r="H11" s="3">
        <v>2969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46160.724293981482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46160.724293981482</v>
      </c>
      <c r="AF11" t="s">
        <v>26</v>
      </c>
      <c r="AG11" t="s">
        <v>13</v>
      </c>
      <c r="AH11">
        <v>0</v>
      </c>
      <c r="AI11">
        <v>12.371</v>
      </c>
      <c r="AJ11" s="3">
        <v>1278</v>
      </c>
      <c r="AK11">
        <v>0.311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9.090506234846</v>
      </c>
      <c r="AU11" s="17">
        <f t="shared" si="1"/>
        <v>282.13305523435997</v>
      </c>
      <c r="AW11" s="9">
        <f t="shared" si="2"/>
        <v>3.3327939400000002</v>
      </c>
      <c r="AX11" s="10">
        <f t="shared" si="3"/>
        <v>289.36705916760002</v>
      </c>
      <c r="AZ11" s="11">
        <f t="shared" si="4"/>
        <v>3.97564387154</v>
      </c>
      <c r="BA11" s="12">
        <f t="shared" si="5"/>
        <v>295.99232961680002</v>
      </c>
      <c r="BC11" s="14">
        <f t="shared" si="6"/>
        <v>7.1439234637729996</v>
      </c>
      <c r="BD11" s="15">
        <f t="shared" si="7"/>
        <v>156.92045475412004</v>
      </c>
      <c r="BF11" s="16">
        <f t="shared" si="8"/>
        <v>9.090506234846</v>
      </c>
      <c r="BG11" s="17">
        <f t="shared" si="9"/>
        <v>282.13305523435997</v>
      </c>
      <c r="BI11">
        <v>47</v>
      </c>
      <c r="BJ11" t="s">
        <v>37</v>
      </c>
      <c r="BK11" s="2">
        <v>46160.724293981482</v>
      </c>
      <c r="BL11" t="s">
        <v>26</v>
      </c>
      <c r="BM11" t="s">
        <v>13</v>
      </c>
      <c r="BN11">
        <v>0</v>
      </c>
      <c r="BO11">
        <v>2.7480000000000002</v>
      </c>
      <c r="BP11" s="3">
        <v>4709103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46160.745509259257</v>
      </c>
      <c r="D12">
        <v>128</v>
      </c>
      <c r="E12" t="s">
        <v>13</v>
      </c>
      <c r="F12">
        <v>0</v>
      </c>
      <c r="G12">
        <v>6.0659999999999998</v>
      </c>
      <c r="H12" s="3">
        <v>3919</v>
      </c>
      <c r="I12">
        <v>8.0000000000000002E-3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46160.745509259257</v>
      </c>
      <c r="R12">
        <v>128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46160.745509259257</v>
      </c>
      <c r="AF12">
        <v>128</v>
      </c>
      <c r="AG12" t="s">
        <v>13</v>
      </c>
      <c r="AH12">
        <v>0</v>
      </c>
      <c r="AI12">
        <v>12.244</v>
      </c>
      <c r="AJ12" s="3">
        <v>55623</v>
      </c>
      <c r="AK12">
        <v>9.5939999999999994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11.540953304445999</v>
      </c>
      <c r="AU12" s="17">
        <f t="shared" si="1"/>
        <v>10715.861305696693</v>
      </c>
      <c r="AW12" s="9">
        <f t="shared" si="2"/>
        <v>2.3395879400000013</v>
      </c>
      <c r="AX12" s="10">
        <f t="shared" si="3"/>
        <v>11874.275848523901</v>
      </c>
      <c r="AZ12" s="11">
        <f t="shared" si="4"/>
        <v>6.6798951755399987</v>
      </c>
      <c r="BA12" s="12">
        <f t="shared" si="5"/>
        <v>10849.978047360129</v>
      </c>
      <c r="BC12" s="14">
        <f t="shared" si="6"/>
        <v>10.507398258573</v>
      </c>
      <c r="BD12" s="15">
        <f t="shared" si="7"/>
        <v>12500.000689470022</v>
      </c>
      <c r="BF12" s="16">
        <f t="shared" si="8"/>
        <v>11.540953304445999</v>
      </c>
      <c r="BG12" s="17">
        <f t="shared" si="9"/>
        <v>10715.861305696693</v>
      </c>
      <c r="BI12">
        <v>48</v>
      </c>
      <c r="BJ12" t="s">
        <v>38</v>
      </c>
      <c r="BK12" s="2">
        <v>46160.745509259257</v>
      </c>
      <c r="BL12">
        <v>128</v>
      </c>
      <c r="BM12" t="s">
        <v>13</v>
      </c>
      <c r="BN12">
        <v>0</v>
      </c>
      <c r="BO12">
        <v>2.8969999999999998</v>
      </c>
      <c r="BP12" s="3">
        <v>572019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46160.766759259262</v>
      </c>
      <c r="D13">
        <v>131</v>
      </c>
      <c r="E13" t="s">
        <v>13</v>
      </c>
      <c r="F13">
        <v>0</v>
      </c>
      <c r="G13">
        <v>6.05</v>
      </c>
      <c r="H13" s="3">
        <v>20704</v>
      </c>
      <c r="I13">
        <v>4.2000000000000003E-2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46160.766759259262</v>
      </c>
      <c r="R13">
        <v>131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46160.766759259262</v>
      </c>
      <c r="AF13">
        <v>131</v>
      </c>
      <c r="AG13" t="s">
        <v>13</v>
      </c>
      <c r="AH13">
        <v>0</v>
      </c>
      <c r="AI13">
        <v>12.298</v>
      </c>
      <c r="AJ13" s="3">
        <v>7468</v>
      </c>
      <c r="AK13">
        <v>1.3680000000000001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48.1313740261376</v>
      </c>
      <c r="AU13" s="17">
        <f t="shared" si="1"/>
        <v>1433.55364494896</v>
      </c>
      <c r="AW13" s="9">
        <f t="shared" si="2"/>
        <v>51.906282093568002</v>
      </c>
      <c r="AX13" s="10">
        <f t="shared" si="3"/>
        <v>1775.0348359535999</v>
      </c>
      <c r="AZ13" s="11">
        <f t="shared" si="4"/>
        <v>55.576100258099203</v>
      </c>
      <c r="BA13" s="12">
        <f t="shared" si="5"/>
        <v>1561.7048927647998</v>
      </c>
      <c r="BC13" s="14">
        <f t="shared" si="6"/>
        <v>58.594391572991995</v>
      </c>
      <c r="BD13" s="15">
        <f t="shared" si="7"/>
        <v>1563.72691585232</v>
      </c>
      <c r="BF13" s="16">
        <f t="shared" si="8"/>
        <v>48.1313740261376</v>
      </c>
      <c r="BG13" s="17">
        <f t="shared" si="9"/>
        <v>1433.55364494896</v>
      </c>
      <c r="BI13">
        <v>49</v>
      </c>
      <c r="BJ13" t="s">
        <v>39</v>
      </c>
      <c r="BK13" s="2">
        <v>46160.766759259262</v>
      </c>
      <c r="BL13">
        <v>131</v>
      </c>
      <c r="BM13" t="s">
        <v>13</v>
      </c>
      <c r="BN13">
        <v>0</v>
      </c>
      <c r="BO13">
        <v>2.887</v>
      </c>
      <c r="BP13" s="3">
        <v>680506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46160.787951388891</v>
      </c>
      <c r="D14">
        <v>300</v>
      </c>
      <c r="E14" t="s">
        <v>13</v>
      </c>
      <c r="F14">
        <v>0</v>
      </c>
      <c r="G14">
        <v>6.0469999999999997</v>
      </c>
      <c r="H14" s="3">
        <v>34266</v>
      </c>
      <c r="I14">
        <v>7.0000000000000007E-2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46160.787951388891</v>
      </c>
      <c r="R14">
        <v>300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46160.787951388891</v>
      </c>
      <c r="AF14">
        <v>300</v>
      </c>
      <c r="AG14" t="s">
        <v>13</v>
      </c>
      <c r="AH14">
        <v>0</v>
      </c>
      <c r="AI14" t="s">
        <v>14</v>
      </c>
      <c r="AJ14" s="3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R14" t="s">
        <v>62</v>
      </c>
      <c r="AS14" s="8">
        <v>50</v>
      </c>
      <c r="AT14" s="16">
        <f t="shared" si="0"/>
        <v>77.415926644241608</v>
      </c>
      <c r="AU14" s="17" t="e">
        <f t="shared" si="1"/>
        <v>#VALUE!</v>
      </c>
      <c r="AW14" s="9">
        <f t="shared" si="2"/>
        <v>91.999789641787999</v>
      </c>
      <c r="AX14" s="10" t="e">
        <f t="shared" si="3"/>
        <v>#VALUE!</v>
      </c>
      <c r="AZ14" s="11">
        <f t="shared" si="4"/>
        <v>94.677036951267212</v>
      </c>
      <c r="BA14" s="12" t="e">
        <f t="shared" si="5"/>
        <v>#VALUE!</v>
      </c>
      <c r="BC14" s="14">
        <f t="shared" si="6"/>
        <v>94.771608247171997</v>
      </c>
      <c r="BD14" s="15" t="e">
        <f t="shared" si="7"/>
        <v>#VALUE!</v>
      </c>
      <c r="BF14" s="16">
        <f t="shared" si="8"/>
        <v>77.415926644241608</v>
      </c>
      <c r="BG14" s="17" t="e">
        <f t="shared" si="9"/>
        <v>#VALUE!</v>
      </c>
      <c r="BI14">
        <v>50</v>
      </c>
      <c r="BJ14" t="s">
        <v>40</v>
      </c>
      <c r="BK14" s="2">
        <v>46160.787951388891</v>
      </c>
      <c r="BL14">
        <v>300</v>
      </c>
      <c r="BM14" t="s">
        <v>13</v>
      </c>
      <c r="BN14">
        <v>0</v>
      </c>
      <c r="BO14">
        <v>2.7</v>
      </c>
      <c r="BP14" s="3">
        <v>650545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46160.809166666666</v>
      </c>
      <c r="D15">
        <v>183</v>
      </c>
      <c r="E15" t="s">
        <v>13</v>
      </c>
      <c r="F15">
        <v>0</v>
      </c>
      <c r="G15">
        <v>6.056</v>
      </c>
      <c r="H15" s="3">
        <v>17185</v>
      </c>
      <c r="I15">
        <v>3.5000000000000003E-2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46160.809166666666</v>
      </c>
      <c r="R15">
        <v>183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46160.809166666666</v>
      </c>
      <c r="AF15">
        <v>183</v>
      </c>
      <c r="AG15" t="s">
        <v>13</v>
      </c>
      <c r="AH15">
        <v>0</v>
      </c>
      <c r="AI15">
        <v>12.298</v>
      </c>
      <c r="AJ15" s="3">
        <v>10404</v>
      </c>
      <c r="AK15">
        <v>1.87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40.510139961710003</v>
      </c>
      <c r="AU15" s="17">
        <f t="shared" si="1"/>
        <v>1980.6468247006399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41.408228697175005</v>
      </c>
      <c r="AX15" s="10">
        <f t="shared" ref="AX15:AX16" si="11">IF(AJ15&lt;45000,((-0.0000004561*AJ15^2)+(0.244*AJ15)+(-21.72)),((-0.0000000409*AJ15^2)+(0.2477*AJ15)+(-1777)))</f>
        <v>2467.4862691824001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45.413025363820005</v>
      </c>
      <c r="BA15" s="12">
        <f t="shared" ref="BA15:BA16" si="13">IF(AJ15&lt;45000,((-0.0000000598*AJ15^2)+(0.205*AJ15)+(34.1)),((-0.00000002403*AJ15^2)+(0.2063*AJ15)+(-550.7)))</f>
        <v>2160.4470556831998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49.191499728825001</v>
      </c>
      <c r="BD15" s="15">
        <f t="shared" ref="BD15:BD16" si="15">IF(AJ15&lt;45000,((-0.00000004907*AJ15^2)+(0.2277*AJ15)+(-134)),((-0.00000001062*AJ15^2)+(0.2147*AJ15)+(590.6)))</f>
        <v>2229.67930539088</v>
      </c>
      <c r="BF15" s="16">
        <f t="shared" si="8"/>
        <v>40.510139961710003</v>
      </c>
      <c r="BG15" s="17">
        <f t="shared" si="9"/>
        <v>1980.6468247006399</v>
      </c>
      <c r="BI15">
        <v>51</v>
      </c>
      <c r="BJ15" t="s">
        <v>41</v>
      </c>
      <c r="BK15" s="2">
        <v>46160.809166666666</v>
      </c>
      <c r="BL15">
        <v>183</v>
      </c>
      <c r="BM15" t="s">
        <v>13</v>
      </c>
      <c r="BN15">
        <v>0</v>
      </c>
      <c r="BO15">
        <v>2.8940000000000001</v>
      </c>
      <c r="BP15" s="3">
        <v>665554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46160.830381944441</v>
      </c>
      <c r="D16">
        <v>109</v>
      </c>
      <c r="E16" t="s">
        <v>13</v>
      </c>
      <c r="F16">
        <v>0</v>
      </c>
      <c r="G16">
        <v>6.0620000000000003</v>
      </c>
      <c r="H16" s="3">
        <v>3505</v>
      </c>
      <c r="I16">
        <v>7.0000000000000001E-3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46160.830381944441</v>
      </c>
      <c r="R16">
        <v>109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46160.830381944441</v>
      </c>
      <c r="AF16">
        <v>109</v>
      </c>
      <c r="AG16" t="s">
        <v>13</v>
      </c>
      <c r="AH16">
        <v>0</v>
      </c>
      <c r="AI16">
        <v>12.236000000000001</v>
      </c>
      <c r="AJ16" s="3">
        <v>65657</v>
      </c>
      <c r="AK16">
        <v>11.307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10.47389841715</v>
      </c>
      <c r="AU16" s="17">
        <f t="shared" si="1"/>
        <v>12358.195020400501</v>
      </c>
      <c r="AW16" s="9">
        <f t="shared" si="10"/>
        <v>2.6525885000000002</v>
      </c>
      <c r="AX16" s="10">
        <f t="shared" si="11"/>
        <v>14309.9254765559</v>
      </c>
      <c r="AZ16" s="11">
        <f t="shared" si="12"/>
        <v>5.4887313284999983</v>
      </c>
      <c r="BA16" s="12">
        <f t="shared" si="13"/>
        <v>12890.74957517453</v>
      </c>
      <c r="BC16" s="14">
        <f t="shared" si="14"/>
        <v>9.0397467173249986</v>
      </c>
      <c r="BD16" s="15">
        <f t="shared" si="15"/>
        <v>14641.376761687619</v>
      </c>
      <c r="BF16" s="16">
        <f t="shared" si="8"/>
        <v>10.47389841715</v>
      </c>
      <c r="BG16" s="17">
        <f t="shared" si="9"/>
        <v>12358.195020400501</v>
      </c>
      <c r="BI16">
        <v>52</v>
      </c>
      <c r="BJ16" t="s">
        <v>42</v>
      </c>
      <c r="BK16" s="2">
        <v>46160.830381944441</v>
      </c>
      <c r="BL16">
        <v>109</v>
      </c>
      <c r="BM16" t="s">
        <v>13</v>
      </c>
      <c r="BN16">
        <v>0</v>
      </c>
      <c r="BO16">
        <v>2.89</v>
      </c>
      <c r="BP16" s="3">
        <v>618750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46160.851631944446</v>
      </c>
      <c r="D17">
        <v>392</v>
      </c>
      <c r="E17" t="s">
        <v>13</v>
      </c>
      <c r="F17">
        <v>0</v>
      </c>
      <c r="G17">
        <v>6.0670000000000002</v>
      </c>
      <c r="H17" s="3">
        <v>3502</v>
      </c>
      <c r="I17">
        <v>7.0000000000000001E-3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46160.851631944446</v>
      </c>
      <c r="R17">
        <v>392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46160.851631944446</v>
      </c>
      <c r="AF17">
        <v>392</v>
      </c>
      <c r="AG17" t="s">
        <v>13</v>
      </c>
      <c r="AH17">
        <v>0</v>
      </c>
      <c r="AI17">
        <v>12.241</v>
      </c>
      <c r="AJ17" s="3">
        <v>72123</v>
      </c>
      <c r="AK17">
        <v>12.411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10.466161489144</v>
      </c>
      <c r="AU17" s="17">
        <f t="shared" si="1"/>
        <v>13416.773222862794</v>
      </c>
      <c r="AW17" s="9">
        <f t="shared" ref="AW17:AW35" si="16">IF(H17&lt;10000,((H17^2*0.00000054)+(H17*-0.004765)+(12.72)),(IF(H17&lt;200000,((H17^2*-0.000000001577)+(H17*0.003043)+(-10.42)),(IF(H17&lt;8000000,((H17^2*-0.0000000000186)+(H17*0.00194)+(154.1)),((V17^2*-0.00000002)+(V17*0.2565)+(-1032)))))))</f>
        <v>2.6555321600000017</v>
      </c>
      <c r="AX17" s="10">
        <f t="shared" ref="AX17:AX35" si="17">IF(AJ17&lt;45000,((-0.0000004561*AJ17^2)+(0.244*AJ17)+(-21.72)),((-0.0000000409*AJ17^2)+(0.2477*AJ17)+(-1777)))</f>
        <v>15875.116460423898</v>
      </c>
      <c r="AZ17" s="11">
        <f t="shared" ref="AZ17:AZ35" si="18">IF(H17&lt;10000,((H17^2*0.00000005714)+(H17*0.002453)+(-3.811)),(IF(H17&lt;200000,((H17^2*-0.0000000002888)+(H17*0.002899)+(-4.321)),(IF(H17&lt;8000000,((H17^2*-0.0000000000062)+(H17*0.002143)+(157)),((V17^2*-0.000000031)+(V17*0.2771)+(-709.5)))))))</f>
        <v>5.48017118856</v>
      </c>
      <c r="BA17" s="12">
        <f t="shared" ref="BA17:BA35" si="19">IF(AJ17&lt;45000,((-0.0000000598*AJ17^2)+(0.205*AJ17)+(34.1)),((-0.00000002403*AJ17^2)+(0.2063*AJ17)+(-550.7)))</f>
        <v>14203.277397090131</v>
      </c>
      <c r="BC17" s="14">
        <f t="shared" ref="BC17:BC35" si="20">IF(H17&lt;10000,((H17^2*0.000000008493)+(H17*0.003482)+(-3.269)),(IF(H17&lt;200000,((H17^2*-0.000000000263)+(H17*0.002682)+(3.179)),(IF(H17&lt;8000000,((H17^2*-0.000000000005099)+(H17*0.002054)+(174.8)),((V17^2*-0.00000001014)+(V17*0.2415)+(1123)))))))</f>
        <v>9.0291221859719997</v>
      </c>
      <c r="BD17" s="15">
        <f t="shared" ref="BD17:BD35" si="21">IF(AJ17&lt;45000,((-0.00000004907*AJ17^2)+(0.2277*AJ17)+(-134)),((-0.00000001062*AJ17^2)+(0.2147*AJ17)+(590.6)))</f>
        <v>16020.165757890021</v>
      </c>
      <c r="BF17" s="16">
        <f t="shared" si="8"/>
        <v>10.466161489144</v>
      </c>
      <c r="BG17" s="17">
        <f t="shared" si="9"/>
        <v>13416.773222862794</v>
      </c>
      <c r="BI17">
        <v>53</v>
      </c>
      <c r="BJ17" t="s">
        <v>43</v>
      </c>
      <c r="BK17" s="2">
        <v>46160.851631944446</v>
      </c>
      <c r="BL17">
        <v>392</v>
      </c>
      <c r="BM17" t="s">
        <v>13</v>
      </c>
      <c r="BN17">
        <v>0</v>
      </c>
      <c r="BO17">
        <v>2.8849999999999998</v>
      </c>
      <c r="BP17" s="3">
        <v>853356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46160.872835648152</v>
      </c>
      <c r="D18">
        <v>24</v>
      </c>
      <c r="E18" t="s">
        <v>13</v>
      </c>
      <c r="F18">
        <v>0</v>
      </c>
      <c r="G18">
        <v>6.056</v>
      </c>
      <c r="H18" s="3">
        <v>15796</v>
      </c>
      <c r="I18">
        <v>3.2000000000000001E-2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46160.872835648152</v>
      </c>
      <c r="R18">
        <v>24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46160.872835648152</v>
      </c>
      <c r="AF18">
        <v>24</v>
      </c>
      <c r="AG18" t="s">
        <v>13</v>
      </c>
      <c r="AH18">
        <v>0</v>
      </c>
      <c r="AI18">
        <v>12.302</v>
      </c>
      <c r="AJ18" s="3">
        <v>12369</v>
      </c>
      <c r="AK18">
        <v>2.206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37.499363074937598</v>
      </c>
      <c r="AU18" s="17">
        <f t="shared" si="1"/>
        <v>2347.14888944219</v>
      </c>
      <c r="AW18" s="9">
        <f t="shared" si="16"/>
        <v>37.253745027568002</v>
      </c>
      <c r="AX18" s="10">
        <f t="shared" si="17"/>
        <v>2926.5362753679001</v>
      </c>
      <c r="AZ18" s="11">
        <f t="shared" si="18"/>
        <v>41.399544467699208</v>
      </c>
      <c r="BA18" s="12">
        <f t="shared" si="19"/>
        <v>2560.5960687721999</v>
      </c>
      <c r="BC18" s="14">
        <f t="shared" si="20"/>
        <v>45.478249918991999</v>
      </c>
      <c r="BD18" s="15">
        <f t="shared" si="21"/>
        <v>2674.9139746597298</v>
      </c>
      <c r="BF18" s="16">
        <f t="shared" si="8"/>
        <v>37.499363074937598</v>
      </c>
      <c r="BG18" s="17">
        <f t="shared" si="9"/>
        <v>2347.14888944219</v>
      </c>
      <c r="BI18">
        <v>54</v>
      </c>
      <c r="BJ18" t="s">
        <v>44</v>
      </c>
      <c r="BK18" s="2">
        <v>46160.872835648152</v>
      </c>
      <c r="BL18">
        <v>24</v>
      </c>
      <c r="BM18" t="s">
        <v>13</v>
      </c>
      <c r="BN18">
        <v>0</v>
      </c>
      <c r="BO18">
        <v>2.8889999999999998</v>
      </c>
      <c r="BP18" s="3">
        <v>734259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46160.894074074073</v>
      </c>
      <c r="D19">
        <v>125</v>
      </c>
      <c r="E19" t="s">
        <v>13</v>
      </c>
      <c r="F19">
        <v>0</v>
      </c>
      <c r="G19">
        <v>6.0549999999999997</v>
      </c>
      <c r="H19" s="3">
        <v>21908</v>
      </c>
      <c r="I19">
        <v>4.4999999999999998E-2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46160.894074074073</v>
      </c>
      <c r="R19">
        <v>125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46160.894074074073</v>
      </c>
      <c r="AF19">
        <v>125</v>
      </c>
      <c r="AG19" t="s">
        <v>13</v>
      </c>
      <c r="AH19">
        <v>0</v>
      </c>
      <c r="AI19">
        <v>12.302</v>
      </c>
      <c r="AJ19" s="3">
        <v>7418</v>
      </c>
      <c r="AK19">
        <v>1.36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50.736782881350408</v>
      </c>
      <c r="AU19" s="17">
        <f t="shared" si="1"/>
        <v>1424.2420064519599</v>
      </c>
      <c r="AW19" s="9">
        <f t="shared" si="16"/>
        <v>55.489146348272001</v>
      </c>
      <c r="AX19" s="10">
        <f t="shared" si="17"/>
        <v>1763.1743111835999</v>
      </c>
      <c r="AZ19" s="11">
        <f t="shared" si="18"/>
        <v>59.051679417996809</v>
      </c>
      <c r="BA19" s="12">
        <f t="shared" si="19"/>
        <v>1551.4994019047997</v>
      </c>
      <c r="BC19" s="14">
        <f t="shared" si="20"/>
        <v>61.810026397968002</v>
      </c>
      <c r="BD19" s="15">
        <f t="shared" si="21"/>
        <v>1552.37843865332</v>
      </c>
      <c r="BF19" s="16">
        <f t="shared" si="8"/>
        <v>50.736782881350408</v>
      </c>
      <c r="BG19" s="17">
        <f t="shared" si="9"/>
        <v>1424.2420064519599</v>
      </c>
      <c r="BI19">
        <v>55</v>
      </c>
      <c r="BJ19" t="s">
        <v>45</v>
      </c>
      <c r="BK19" s="2">
        <v>46160.894074074073</v>
      </c>
      <c r="BL19">
        <v>125</v>
      </c>
      <c r="BM19" t="s">
        <v>13</v>
      </c>
      <c r="BN19">
        <v>0</v>
      </c>
      <c r="BO19">
        <v>2.8879999999999999</v>
      </c>
      <c r="BP19" s="3">
        <v>773168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46160.915335648147</v>
      </c>
      <c r="D20">
        <v>219</v>
      </c>
      <c r="E20" t="s">
        <v>13</v>
      </c>
      <c r="F20">
        <v>0</v>
      </c>
      <c r="G20">
        <v>6.0549999999999997</v>
      </c>
      <c r="H20" s="3">
        <v>35848</v>
      </c>
      <c r="I20">
        <v>7.2999999999999995E-2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46160.915335648147</v>
      </c>
      <c r="R20">
        <v>219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46160.915335648147</v>
      </c>
      <c r="AF20">
        <v>219</v>
      </c>
      <c r="AG20" t="s">
        <v>13</v>
      </c>
      <c r="AH20">
        <v>0</v>
      </c>
      <c r="AI20" t="s">
        <v>14</v>
      </c>
      <c r="AJ20" s="3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R20" t="s">
        <v>62</v>
      </c>
      <c r="AS20" s="8">
        <v>56</v>
      </c>
      <c r="AT20" s="16">
        <f t="shared" si="0"/>
        <v>80.822936225254395</v>
      </c>
      <c r="AU20" s="17" t="e">
        <f t="shared" si="1"/>
        <v>#VALUE!</v>
      </c>
      <c r="AW20" s="9">
        <f t="shared" si="16"/>
        <v>96.638894252992003</v>
      </c>
      <c r="AX20" s="10" t="e">
        <f t="shared" si="17"/>
        <v>#VALUE!</v>
      </c>
      <c r="AZ20" s="11">
        <f t="shared" si="18"/>
        <v>99.23122115476481</v>
      </c>
      <c r="BA20" s="12" t="e">
        <f t="shared" si="19"/>
        <v>#VALUE!</v>
      </c>
      <c r="BC20" s="14">
        <f t="shared" si="20"/>
        <v>98.985360195647999</v>
      </c>
      <c r="BD20" s="15" t="e">
        <f t="shared" si="21"/>
        <v>#VALUE!</v>
      </c>
      <c r="BF20" s="16">
        <f t="shared" si="8"/>
        <v>80.822936225254395</v>
      </c>
      <c r="BG20" s="17" t="e">
        <f t="shared" si="9"/>
        <v>#VALUE!</v>
      </c>
      <c r="BI20">
        <v>56</v>
      </c>
      <c r="BJ20" t="s">
        <v>46</v>
      </c>
      <c r="BK20" s="2">
        <v>46160.915335648147</v>
      </c>
      <c r="BL20">
        <v>219</v>
      </c>
      <c r="BM20" t="s">
        <v>13</v>
      </c>
      <c r="BN20">
        <v>0</v>
      </c>
      <c r="BO20">
        <v>2.7</v>
      </c>
      <c r="BP20" s="3">
        <v>704889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46160.936562499999</v>
      </c>
      <c r="D21">
        <v>373</v>
      </c>
      <c r="E21" t="s">
        <v>13</v>
      </c>
      <c r="F21">
        <v>0</v>
      </c>
      <c r="G21">
        <v>6.0590000000000002</v>
      </c>
      <c r="H21" s="3">
        <v>6848</v>
      </c>
      <c r="I21">
        <v>1.4E-2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46160.936562499999</v>
      </c>
      <c r="R21">
        <v>373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46160.936562499999</v>
      </c>
      <c r="AF21">
        <v>373</v>
      </c>
      <c r="AG21" t="s">
        <v>13</v>
      </c>
      <c r="AH21">
        <v>0</v>
      </c>
      <c r="AI21">
        <v>12.26</v>
      </c>
      <c r="AJ21" s="3">
        <v>47618</v>
      </c>
      <c r="AK21">
        <v>8.2270000000000003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19.053871583744002</v>
      </c>
      <c r="AU21" s="17">
        <f t="shared" si="1"/>
        <v>9405.9576162210979</v>
      </c>
      <c r="AW21" s="9">
        <f t="shared" si="16"/>
        <v>5.4126361599999964</v>
      </c>
      <c r="AX21" s="10">
        <f t="shared" si="17"/>
        <v>9925.2389165084005</v>
      </c>
      <c r="AZ21" s="11">
        <f t="shared" si="18"/>
        <v>15.66673024256</v>
      </c>
      <c r="BA21" s="12">
        <f t="shared" si="19"/>
        <v>9218.4060016062795</v>
      </c>
      <c r="BC21" s="14">
        <f t="shared" si="20"/>
        <v>20.974016118271997</v>
      </c>
      <c r="BD21" s="15">
        <f t="shared" si="21"/>
        <v>10790.10402692712</v>
      </c>
      <c r="BF21" s="16">
        <f t="shared" si="8"/>
        <v>19.053871583744002</v>
      </c>
      <c r="BG21" s="17">
        <f t="shared" si="9"/>
        <v>9405.9576162210979</v>
      </c>
      <c r="BI21">
        <v>57</v>
      </c>
      <c r="BJ21" t="s">
        <v>47</v>
      </c>
      <c r="BK21" s="2">
        <v>46160.936562499999</v>
      </c>
      <c r="BL21">
        <v>373</v>
      </c>
      <c r="BM21" t="s">
        <v>13</v>
      </c>
      <c r="BN21">
        <v>0</v>
      </c>
      <c r="BO21">
        <v>2.8929999999999998</v>
      </c>
      <c r="BP21" s="3">
        <v>673373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46160.957789351851</v>
      </c>
      <c r="D22">
        <v>387</v>
      </c>
      <c r="E22" t="s">
        <v>13</v>
      </c>
      <c r="F22">
        <v>0</v>
      </c>
      <c r="G22">
        <v>6.06</v>
      </c>
      <c r="H22" s="3">
        <v>6676</v>
      </c>
      <c r="I22">
        <v>1.4E-2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46160.957789351851</v>
      </c>
      <c r="R22">
        <v>387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46160.957789351851</v>
      </c>
      <c r="AF22">
        <v>387</v>
      </c>
      <c r="AG22" t="s">
        <v>13</v>
      </c>
      <c r="AH22">
        <v>0</v>
      </c>
      <c r="AI22">
        <v>12.252000000000001</v>
      </c>
      <c r="AJ22" s="3">
        <v>52550</v>
      </c>
      <c r="AK22">
        <v>9.0690000000000008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18.614450823136</v>
      </c>
      <c r="AU22" s="17">
        <f t="shared" si="1"/>
        <v>10212.97423405725</v>
      </c>
      <c r="AW22" s="9">
        <f t="shared" si="16"/>
        <v>4.9761070400000005</v>
      </c>
      <c r="AX22" s="10">
        <f t="shared" si="17"/>
        <v>11126.68954775</v>
      </c>
      <c r="AZ22" s="11">
        <f t="shared" si="18"/>
        <v>15.111899288639997</v>
      </c>
      <c r="BA22" s="12">
        <f t="shared" si="19"/>
        <v>10224.006094925</v>
      </c>
      <c r="BC22" s="14">
        <f t="shared" si="20"/>
        <v>20.355356313168002</v>
      </c>
      <c r="BD22" s="15">
        <f t="shared" si="21"/>
        <v>11843.757843450001</v>
      </c>
      <c r="BF22" s="16">
        <f t="shared" si="8"/>
        <v>18.614450823136</v>
      </c>
      <c r="BG22" s="17">
        <f t="shared" si="9"/>
        <v>10212.97423405725</v>
      </c>
      <c r="BI22">
        <v>58</v>
      </c>
      <c r="BJ22" t="s">
        <v>48</v>
      </c>
      <c r="BK22" s="2">
        <v>46160.957789351851</v>
      </c>
      <c r="BL22">
        <v>387</v>
      </c>
      <c r="BM22" t="s">
        <v>13</v>
      </c>
      <c r="BN22">
        <v>0</v>
      </c>
      <c r="BO22">
        <v>2.8919999999999999</v>
      </c>
      <c r="BP22" s="3">
        <v>697121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46160.979004629633</v>
      </c>
      <c r="D23">
        <v>298</v>
      </c>
      <c r="E23" t="s">
        <v>13</v>
      </c>
      <c r="F23">
        <v>0</v>
      </c>
      <c r="G23">
        <v>6.0709999999999997</v>
      </c>
      <c r="H23" s="3">
        <v>2308</v>
      </c>
      <c r="I23">
        <v>5.0000000000000001E-3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46160.979004629633</v>
      </c>
      <c r="R23">
        <v>298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46160.979004629633</v>
      </c>
      <c r="AF23">
        <v>298</v>
      </c>
      <c r="AG23" t="s">
        <v>13</v>
      </c>
      <c r="AH23">
        <v>0</v>
      </c>
      <c r="AI23">
        <v>12.241</v>
      </c>
      <c r="AJ23" s="3">
        <v>68372</v>
      </c>
      <c r="AK23">
        <v>11.77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7.3815560271040006</v>
      </c>
      <c r="AU23" s="17">
        <f t="shared" si="1"/>
        <v>12802.656741993635</v>
      </c>
      <c r="AW23" s="9">
        <f t="shared" si="16"/>
        <v>4.5988865600000022</v>
      </c>
      <c r="AX23" s="10">
        <f t="shared" si="17"/>
        <v>14967.547927294399</v>
      </c>
      <c r="AZ23" s="11">
        <f t="shared" si="18"/>
        <v>2.1549010089600005</v>
      </c>
      <c r="BA23" s="12">
        <f t="shared" si="19"/>
        <v>13442.109828872481</v>
      </c>
      <c r="BC23" s="14">
        <f t="shared" si="20"/>
        <v>4.8126970559519986</v>
      </c>
      <c r="BD23" s="15">
        <f t="shared" si="21"/>
        <v>15220.42276332192</v>
      </c>
      <c r="BF23" s="16">
        <f t="shared" si="8"/>
        <v>7.3815560271040006</v>
      </c>
      <c r="BG23" s="17">
        <f t="shared" si="9"/>
        <v>12802.656741993635</v>
      </c>
      <c r="BI23">
        <v>59</v>
      </c>
      <c r="BJ23" t="s">
        <v>49</v>
      </c>
      <c r="BK23" s="2">
        <v>46160.979004629633</v>
      </c>
      <c r="BL23">
        <v>298</v>
      </c>
      <c r="BM23" t="s">
        <v>13</v>
      </c>
      <c r="BN23">
        <v>0</v>
      </c>
      <c r="BO23">
        <v>2.8929999999999998</v>
      </c>
      <c r="BP23" s="3">
        <v>673312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46161.000231481485</v>
      </c>
      <c r="D24">
        <v>268</v>
      </c>
      <c r="E24" t="s">
        <v>13</v>
      </c>
      <c r="F24">
        <v>0</v>
      </c>
      <c r="G24">
        <v>6.069</v>
      </c>
      <c r="H24" s="3">
        <v>3401</v>
      </c>
      <c r="I24">
        <v>7.0000000000000001E-3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46161.000231481485</v>
      </c>
      <c r="R24">
        <v>268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46161.000231481485</v>
      </c>
      <c r="AF24">
        <v>268</v>
      </c>
      <c r="AG24" t="s">
        <v>13</v>
      </c>
      <c r="AH24">
        <v>0</v>
      </c>
      <c r="AI24">
        <v>12.23</v>
      </c>
      <c r="AJ24" s="3">
        <v>74344</v>
      </c>
      <c r="AK24">
        <v>12.79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10.205645901085999</v>
      </c>
      <c r="AU24" s="17">
        <f t="shared" si="1"/>
        <v>13780.427257554053</v>
      </c>
      <c r="AW24" s="9">
        <f t="shared" si="16"/>
        <v>2.7603075400000012</v>
      </c>
      <c r="AX24" s="10">
        <f t="shared" si="17"/>
        <v>16411.9532592576</v>
      </c>
      <c r="AZ24" s="11">
        <f t="shared" si="18"/>
        <v>5.1925800091400003</v>
      </c>
      <c r="BA24" s="12">
        <f t="shared" si="19"/>
        <v>14653.652661025921</v>
      </c>
      <c r="BC24" s="14">
        <f t="shared" si="20"/>
        <v>8.6715188408929986</v>
      </c>
      <c r="BD24" s="15">
        <f t="shared" si="21"/>
        <v>16493.559737831682</v>
      </c>
      <c r="BF24" s="16">
        <f t="shared" si="8"/>
        <v>10.205645901085999</v>
      </c>
      <c r="BG24" s="17">
        <f t="shared" si="9"/>
        <v>13780.427257554053</v>
      </c>
      <c r="BI24">
        <v>60</v>
      </c>
      <c r="BJ24" t="s">
        <v>50</v>
      </c>
      <c r="BK24" s="2">
        <v>46161.000231481485</v>
      </c>
      <c r="BL24">
        <v>268</v>
      </c>
      <c r="BM24" t="s">
        <v>13</v>
      </c>
      <c r="BN24">
        <v>0</v>
      </c>
      <c r="BO24">
        <v>2.8879999999999999</v>
      </c>
      <c r="BP24" s="3">
        <v>772840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46161.021469907406</v>
      </c>
      <c r="D25">
        <v>323</v>
      </c>
      <c r="E25" t="s">
        <v>13</v>
      </c>
      <c r="F25">
        <v>0</v>
      </c>
      <c r="G25">
        <v>6.0570000000000004</v>
      </c>
      <c r="H25" s="3">
        <v>28266</v>
      </c>
      <c r="I25">
        <v>5.7000000000000002E-2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46161.021469907406</v>
      </c>
      <c r="R25">
        <v>323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46161.021469907406</v>
      </c>
      <c r="AF25">
        <v>323</v>
      </c>
      <c r="AG25" t="s">
        <v>13</v>
      </c>
      <c r="AH25">
        <v>0</v>
      </c>
      <c r="AI25" t="s">
        <v>14</v>
      </c>
      <c r="AJ25" s="3" t="s">
        <v>14</v>
      </c>
      <c r="AK25" t="s">
        <v>14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R25" t="s">
        <v>62</v>
      </c>
      <c r="AS25" s="8">
        <v>61</v>
      </c>
      <c r="AT25" s="16">
        <f t="shared" si="0"/>
        <v>64.477148913041603</v>
      </c>
      <c r="AU25" s="17" t="e">
        <f t="shared" si="1"/>
        <v>#VALUE!</v>
      </c>
      <c r="AW25" s="9">
        <f t="shared" si="16"/>
        <v>74.333467425788001</v>
      </c>
      <c r="AX25" s="10" t="e">
        <f t="shared" si="17"/>
        <v>#VALUE!</v>
      </c>
      <c r="AZ25" s="11">
        <f t="shared" si="18"/>
        <v>77.391392400867204</v>
      </c>
      <c r="BA25" s="12" t="e">
        <f t="shared" si="19"/>
        <v>#VALUE!</v>
      </c>
      <c r="BC25" s="14">
        <f t="shared" si="20"/>
        <v>78.778283743171997</v>
      </c>
      <c r="BD25" s="15" t="e">
        <f t="shared" si="21"/>
        <v>#VALUE!</v>
      </c>
      <c r="BF25" s="16">
        <f t="shared" si="8"/>
        <v>64.477148913041603</v>
      </c>
      <c r="BG25" s="17" t="e">
        <f t="shared" si="9"/>
        <v>#VALUE!</v>
      </c>
      <c r="BI25">
        <v>61</v>
      </c>
      <c r="BJ25" t="s">
        <v>51</v>
      </c>
      <c r="BK25" s="2">
        <v>46161.021469907406</v>
      </c>
      <c r="BL25">
        <v>323</v>
      </c>
      <c r="BM25" t="s">
        <v>13</v>
      </c>
      <c r="BN25">
        <v>0</v>
      </c>
      <c r="BO25">
        <v>2.8940000000000001</v>
      </c>
      <c r="BP25" s="3">
        <v>686706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46161.042638888888</v>
      </c>
      <c r="D26">
        <v>116</v>
      </c>
      <c r="E26" t="s">
        <v>13</v>
      </c>
      <c r="F26">
        <v>0</v>
      </c>
      <c r="G26">
        <v>6.056</v>
      </c>
      <c r="H26" s="3">
        <v>31348</v>
      </c>
      <c r="I26">
        <v>6.4000000000000001E-2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46161.042638888888</v>
      </c>
      <c r="R26">
        <v>116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46161.042638888888</v>
      </c>
      <c r="AF26">
        <v>116</v>
      </c>
      <c r="AG26" t="s">
        <v>13</v>
      </c>
      <c r="AH26">
        <v>0</v>
      </c>
      <c r="AI26" t="s">
        <v>14</v>
      </c>
      <c r="AJ26" s="3" t="s">
        <v>14</v>
      </c>
      <c r="AK26" t="s">
        <v>14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R26" t="s">
        <v>62</v>
      </c>
      <c r="AS26" s="8">
        <v>62</v>
      </c>
      <c r="AT26" s="16">
        <f t="shared" si="0"/>
        <v>71.126752810054398</v>
      </c>
      <c r="AU26" s="17" t="e">
        <f t="shared" si="1"/>
        <v>#VALUE!</v>
      </c>
      <c r="AW26" s="9">
        <f t="shared" si="16"/>
        <v>83.422250666991999</v>
      </c>
      <c r="AX26" s="10" t="e">
        <f t="shared" si="17"/>
        <v>#VALUE!</v>
      </c>
      <c r="AZ26" s="11">
        <f t="shared" si="18"/>
        <v>86.273049076364799</v>
      </c>
      <c r="BA26" s="12" t="e">
        <f t="shared" si="19"/>
        <v>#VALUE!</v>
      </c>
      <c r="BC26" s="14">
        <f t="shared" si="20"/>
        <v>86.995886661648001</v>
      </c>
      <c r="BD26" s="15" t="e">
        <f t="shared" si="21"/>
        <v>#VALUE!</v>
      </c>
      <c r="BF26" s="16">
        <f t="shared" si="8"/>
        <v>71.126752810054398</v>
      </c>
      <c r="BG26" s="17" t="e">
        <f t="shared" si="9"/>
        <v>#VALUE!</v>
      </c>
      <c r="BI26">
        <v>62</v>
      </c>
      <c r="BJ26" t="s">
        <v>52</v>
      </c>
      <c r="BK26" s="2">
        <v>46161.042638888888</v>
      </c>
      <c r="BL26">
        <v>116</v>
      </c>
      <c r="BM26" t="s">
        <v>13</v>
      </c>
      <c r="BN26">
        <v>0</v>
      </c>
      <c r="BO26">
        <v>2.8929999999999998</v>
      </c>
      <c r="BP26" s="3">
        <v>707013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46161.063854166663</v>
      </c>
      <c r="D27">
        <v>321</v>
      </c>
      <c r="E27" t="s">
        <v>13</v>
      </c>
      <c r="F27">
        <v>0</v>
      </c>
      <c r="G27">
        <v>6.0629999999999997</v>
      </c>
      <c r="H27" s="3">
        <v>3481</v>
      </c>
      <c r="I27">
        <v>7.0000000000000001E-3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46161.063854166663</v>
      </c>
      <c r="R27">
        <v>321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46161.063854166663</v>
      </c>
      <c r="AF27">
        <v>321</v>
      </c>
      <c r="AG27" t="s">
        <v>13</v>
      </c>
      <c r="AH27">
        <v>0</v>
      </c>
      <c r="AI27">
        <v>12.238</v>
      </c>
      <c r="AJ27" s="3">
        <v>60030</v>
      </c>
      <c r="AK27">
        <v>10.346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10.412001121246</v>
      </c>
      <c r="AU27" s="17">
        <f t="shared" si="1"/>
        <v>11437.128660494611</v>
      </c>
      <c r="AW27" s="9">
        <f t="shared" si="16"/>
        <v>2.676409940000001</v>
      </c>
      <c r="AX27" s="10">
        <f t="shared" si="17"/>
        <v>12945.04372319</v>
      </c>
      <c r="AZ27" s="11">
        <f t="shared" si="18"/>
        <v>5.4202790075399996</v>
      </c>
      <c r="BA27" s="12">
        <f t="shared" si="19"/>
        <v>11746.894470372999</v>
      </c>
      <c r="BC27" s="14">
        <f t="shared" si="20"/>
        <v>8.9547547469730002</v>
      </c>
      <c r="BD27" s="15">
        <f t="shared" si="21"/>
        <v>13440.770758442</v>
      </c>
      <c r="BF27" s="16">
        <f t="shared" si="8"/>
        <v>10.412001121246</v>
      </c>
      <c r="BG27" s="17">
        <f t="shared" si="9"/>
        <v>11437.128660494611</v>
      </c>
      <c r="BI27">
        <v>63</v>
      </c>
      <c r="BJ27" t="s">
        <v>53</v>
      </c>
      <c r="BK27" s="2">
        <v>46161.063854166663</v>
      </c>
      <c r="BL27">
        <v>321</v>
      </c>
      <c r="BM27" t="s">
        <v>13</v>
      </c>
      <c r="BN27">
        <v>0</v>
      </c>
      <c r="BO27">
        <v>2.8809999999999998</v>
      </c>
      <c r="BP27" s="3">
        <v>762292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46161.085057870368</v>
      </c>
      <c r="D28">
        <v>10</v>
      </c>
      <c r="E28" t="s">
        <v>13</v>
      </c>
      <c r="F28">
        <v>0</v>
      </c>
      <c r="G28">
        <v>6.0650000000000004</v>
      </c>
      <c r="H28" s="3">
        <v>4322</v>
      </c>
      <c r="I28">
        <v>8.9999999999999993E-3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46161.085057870368</v>
      </c>
      <c r="R28">
        <v>10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46161.085057870368</v>
      </c>
      <c r="AF28">
        <v>10</v>
      </c>
      <c r="AG28" t="s">
        <v>13</v>
      </c>
      <c r="AH28">
        <v>0</v>
      </c>
      <c r="AI28">
        <v>12.285</v>
      </c>
      <c r="AJ28" s="3">
        <v>22259</v>
      </c>
      <c r="AK28">
        <v>3.895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12.578433653624</v>
      </c>
      <c r="AU28" s="17">
        <f t="shared" si="1"/>
        <v>4195.9789236689894</v>
      </c>
      <c r="AW28" s="9">
        <f t="shared" si="16"/>
        <v>2.212699360000002</v>
      </c>
      <c r="AX28" s="10">
        <f t="shared" si="17"/>
        <v>5183.4952887558993</v>
      </c>
      <c r="AZ28" s="11">
        <f t="shared" si="18"/>
        <v>7.8582231437600001</v>
      </c>
      <c r="BA28" s="12">
        <f t="shared" si="19"/>
        <v>4567.5663077561994</v>
      </c>
      <c r="BC28" s="14">
        <f t="shared" si="20"/>
        <v>11.938850556212</v>
      </c>
      <c r="BD28" s="15">
        <f t="shared" si="21"/>
        <v>4910.0619266153308</v>
      </c>
      <c r="BF28" s="16">
        <f t="shared" si="8"/>
        <v>12.578433653624</v>
      </c>
      <c r="BG28" s="17">
        <f t="shared" si="9"/>
        <v>4195.9789236689894</v>
      </c>
      <c r="BI28">
        <v>64</v>
      </c>
      <c r="BJ28" t="s">
        <v>54</v>
      </c>
      <c r="BK28" s="2">
        <v>46161.085057870368</v>
      </c>
      <c r="BL28">
        <v>10</v>
      </c>
      <c r="BM28" t="s">
        <v>13</v>
      </c>
      <c r="BN28">
        <v>0</v>
      </c>
      <c r="BO28">
        <v>2.895</v>
      </c>
      <c r="BP28" s="3">
        <v>653584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46161.10628472222</v>
      </c>
      <c r="D29">
        <v>77</v>
      </c>
      <c r="E29" t="s">
        <v>13</v>
      </c>
      <c r="F29">
        <v>0</v>
      </c>
      <c r="G29">
        <v>6.056</v>
      </c>
      <c r="H29" s="3">
        <v>54175</v>
      </c>
      <c r="I29">
        <v>0.11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46161.10628472222</v>
      </c>
      <c r="R29">
        <v>77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46161.10628472222</v>
      </c>
      <c r="AF29">
        <v>77</v>
      </c>
      <c r="AG29" t="s">
        <v>13</v>
      </c>
      <c r="AH29">
        <v>0</v>
      </c>
      <c r="AI29">
        <v>12.332000000000001</v>
      </c>
      <c r="AJ29" s="3">
        <v>3016</v>
      </c>
      <c r="AK29" s="13">
        <v>0.60799999999999998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120.15479211275</v>
      </c>
      <c r="AU29" s="17">
        <f t="shared" si="1"/>
        <v>605.14675500223996</v>
      </c>
      <c r="AW29" s="9">
        <f t="shared" si="16"/>
        <v>149.80613940437502</v>
      </c>
      <c r="AX29" s="10">
        <f t="shared" si="17"/>
        <v>710.03519763839995</v>
      </c>
      <c r="AZ29" s="11">
        <f t="shared" si="18"/>
        <v>151.88471703549999</v>
      </c>
      <c r="BA29" s="12">
        <f t="shared" si="19"/>
        <v>651.83604389120001</v>
      </c>
      <c r="BC29" s="14">
        <f t="shared" si="20"/>
        <v>147.70446324562499</v>
      </c>
      <c r="BD29" s="15">
        <f t="shared" si="21"/>
        <v>552.29684671808002</v>
      </c>
      <c r="BF29" s="16">
        <f t="shared" si="8"/>
        <v>120.15479211275</v>
      </c>
      <c r="BG29" s="17">
        <f t="shared" si="9"/>
        <v>605.14675500223996</v>
      </c>
      <c r="BI29">
        <v>65</v>
      </c>
      <c r="BJ29" t="s">
        <v>55</v>
      </c>
      <c r="BK29" s="2">
        <v>46161.10628472222</v>
      </c>
      <c r="BL29">
        <v>77</v>
      </c>
      <c r="BM29" t="s">
        <v>13</v>
      </c>
      <c r="BN29">
        <v>0</v>
      </c>
      <c r="BO29">
        <v>2.8929999999999998</v>
      </c>
      <c r="BP29" s="3">
        <v>711626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46161.127476851849</v>
      </c>
      <c r="D30">
        <v>267</v>
      </c>
      <c r="E30" t="s">
        <v>13</v>
      </c>
      <c r="F30">
        <v>0</v>
      </c>
      <c r="G30">
        <v>6.0620000000000003</v>
      </c>
      <c r="H30" s="3">
        <v>4207</v>
      </c>
      <c r="I30">
        <v>8.9999999999999993E-3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46161.127476851849</v>
      </c>
      <c r="R30">
        <v>267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46161.127476851849</v>
      </c>
      <c r="AF30">
        <v>267</v>
      </c>
      <c r="AG30" t="s">
        <v>13</v>
      </c>
      <c r="AH30">
        <v>0</v>
      </c>
      <c r="AI30">
        <v>12.285</v>
      </c>
      <c r="AJ30" s="3">
        <v>22295</v>
      </c>
      <c r="AK30">
        <v>3.9009999999999998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12.282501474814</v>
      </c>
      <c r="AU30" s="17">
        <f t="shared" si="1"/>
        <v>4202.7215288247498</v>
      </c>
      <c r="AW30" s="9">
        <f t="shared" si="16"/>
        <v>2.2310234599999994</v>
      </c>
      <c r="AX30" s="10">
        <f t="shared" si="17"/>
        <v>5191.5477298974993</v>
      </c>
      <c r="AZ30" s="11">
        <f t="shared" si="18"/>
        <v>7.5200832318599993</v>
      </c>
      <c r="BA30" s="12">
        <f t="shared" si="19"/>
        <v>4574.8503919049999</v>
      </c>
      <c r="BC30" s="14">
        <f t="shared" si="20"/>
        <v>11.530090324556999</v>
      </c>
      <c r="BD30" s="15">
        <f t="shared" si="21"/>
        <v>4918.1804210832497</v>
      </c>
      <c r="BF30" s="16">
        <f t="shared" si="8"/>
        <v>12.282501474814</v>
      </c>
      <c r="BG30" s="17">
        <f t="shared" si="9"/>
        <v>4202.7215288247498</v>
      </c>
      <c r="BI30">
        <v>66</v>
      </c>
      <c r="BJ30" t="s">
        <v>56</v>
      </c>
      <c r="BK30" s="2">
        <v>46161.127476851849</v>
      </c>
      <c r="BL30">
        <v>267</v>
      </c>
      <c r="BM30" t="s">
        <v>13</v>
      </c>
      <c r="BN30">
        <v>0</v>
      </c>
      <c r="BO30">
        <v>2.8849999999999998</v>
      </c>
      <c r="BP30" s="3">
        <v>698379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46161.148726851854</v>
      </c>
      <c r="D31">
        <v>389</v>
      </c>
      <c r="E31" t="s">
        <v>13</v>
      </c>
      <c r="F31">
        <v>0</v>
      </c>
      <c r="G31">
        <v>6.056</v>
      </c>
      <c r="H31" s="3">
        <v>22102</v>
      </c>
      <c r="I31">
        <v>4.4999999999999998E-2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46161.148726851854</v>
      </c>
      <c r="R31">
        <v>389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46161.148726851854</v>
      </c>
      <c r="AF31">
        <v>389</v>
      </c>
      <c r="AG31" t="s">
        <v>13</v>
      </c>
      <c r="AH31">
        <v>0</v>
      </c>
      <c r="AI31">
        <v>12.308</v>
      </c>
      <c r="AJ31" s="3">
        <v>7810</v>
      </c>
      <c r="AK31">
        <v>1.427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51.156489200734406</v>
      </c>
      <c r="AU31" s="17">
        <f t="shared" si="1"/>
        <v>1497.250050419</v>
      </c>
      <c r="AW31" s="9">
        <f t="shared" si="16"/>
        <v>56.066024016892001</v>
      </c>
      <c r="AX31" s="10">
        <f t="shared" si="17"/>
        <v>1856.0996787899999</v>
      </c>
      <c r="AZ31" s="11">
        <f t="shared" si="18"/>
        <v>59.611619660924809</v>
      </c>
      <c r="BA31" s="12">
        <f t="shared" si="19"/>
        <v>1631.5024332199998</v>
      </c>
      <c r="BC31" s="14">
        <f t="shared" si="20"/>
        <v>62.328088919747998</v>
      </c>
      <c r="BD31" s="15">
        <f t="shared" si="21"/>
        <v>1641.3439213730003</v>
      </c>
      <c r="BF31" s="16">
        <f t="shared" si="8"/>
        <v>51.156489200734406</v>
      </c>
      <c r="BG31" s="17">
        <f t="shared" si="9"/>
        <v>1497.250050419</v>
      </c>
      <c r="BI31">
        <v>67</v>
      </c>
      <c r="BJ31" t="s">
        <v>57</v>
      </c>
      <c r="BK31" s="2">
        <v>46161.148726851854</v>
      </c>
      <c r="BL31">
        <v>389</v>
      </c>
      <c r="BM31" t="s">
        <v>13</v>
      </c>
      <c r="BN31">
        <v>0</v>
      </c>
      <c r="BO31">
        <v>2.891</v>
      </c>
      <c r="BP31" s="3">
        <v>724695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46161.169942129629</v>
      </c>
      <c r="D32">
        <v>121</v>
      </c>
      <c r="E32" t="s">
        <v>13</v>
      </c>
      <c r="F32">
        <v>0</v>
      </c>
      <c r="G32">
        <v>6.0739999999999998</v>
      </c>
      <c r="H32" s="3">
        <v>1452</v>
      </c>
      <c r="I32">
        <v>3.0000000000000001E-3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46161.169942129629</v>
      </c>
      <c r="R32">
        <v>121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46161.169942129629</v>
      </c>
      <c r="AF32">
        <v>121</v>
      </c>
      <c r="AG32" t="s">
        <v>13</v>
      </c>
      <c r="AH32">
        <v>0</v>
      </c>
      <c r="AI32">
        <v>12.272</v>
      </c>
      <c r="AJ32" s="3">
        <v>37161</v>
      </c>
      <c r="AK32">
        <v>6.4409999999999998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5.1636297589440003</v>
      </c>
      <c r="AU32" s="17">
        <f t="shared" si="1"/>
        <v>6994.9715397725904</v>
      </c>
      <c r="AW32" s="9">
        <f t="shared" si="16"/>
        <v>6.9397041600000007</v>
      </c>
      <c r="AX32" s="10">
        <f t="shared" si="17"/>
        <v>8415.7173020319005</v>
      </c>
      <c r="AZ32" s="11">
        <f t="shared" si="18"/>
        <v>-0.12877550944000005</v>
      </c>
      <c r="BA32" s="12">
        <f t="shared" si="19"/>
        <v>7569.5247927241999</v>
      </c>
      <c r="BC32" s="14">
        <f t="shared" si="20"/>
        <v>1.8047698258719995</v>
      </c>
      <c r="BD32" s="15">
        <f t="shared" si="21"/>
        <v>8259.7969780765306</v>
      </c>
      <c r="BF32" s="16">
        <f t="shared" si="8"/>
        <v>5.1636297589440003</v>
      </c>
      <c r="BG32" s="17">
        <f t="shared" si="9"/>
        <v>6994.9715397725904</v>
      </c>
      <c r="BI32">
        <v>68</v>
      </c>
      <c r="BJ32" t="s">
        <v>58</v>
      </c>
      <c r="BK32" s="2">
        <v>46161.169942129629</v>
      </c>
      <c r="BL32">
        <v>121</v>
      </c>
      <c r="BM32" t="s">
        <v>13</v>
      </c>
      <c r="BN32">
        <v>0</v>
      </c>
      <c r="BO32">
        <v>2.891</v>
      </c>
      <c r="BP32" s="3">
        <v>696518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46161.191145833334</v>
      </c>
      <c r="D33">
        <v>361</v>
      </c>
      <c r="E33" t="s">
        <v>13</v>
      </c>
      <c r="F33">
        <v>0</v>
      </c>
      <c r="G33">
        <v>6.056</v>
      </c>
      <c r="H33" s="3">
        <v>21300</v>
      </c>
      <c r="I33">
        <v>4.2999999999999997E-2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46161.191145833334</v>
      </c>
      <c r="R33">
        <v>361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46161.191145833334</v>
      </c>
      <c r="AF33">
        <v>361</v>
      </c>
      <c r="AG33" t="s">
        <v>13</v>
      </c>
      <c r="AH33">
        <v>0</v>
      </c>
      <c r="AI33">
        <v>12.308999999999999</v>
      </c>
      <c r="AJ33" s="3">
        <v>7908</v>
      </c>
      <c r="AK33">
        <v>1.444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49.421231084000006</v>
      </c>
      <c r="AU33" s="17">
        <f t="shared" si="1"/>
        <v>1515.50378004656</v>
      </c>
      <c r="AW33" s="9">
        <f t="shared" si="16"/>
        <v>53.680430869999995</v>
      </c>
      <c r="AX33" s="10">
        <f t="shared" si="17"/>
        <v>1879.3091187696</v>
      </c>
      <c r="AZ33" s="11">
        <f t="shared" si="18"/>
        <v>57.296674328000002</v>
      </c>
      <c r="BA33" s="12">
        <f t="shared" si="19"/>
        <v>1651.5003194527999</v>
      </c>
      <c r="BC33" s="14">
        <f t="shared" si="20"/>
        <v>60.18627953</v>
      </c>
      <c r="BD33" s="15">
        <f t="shared" si="21"/>
        <v>1663.5829357115201</v>
      </c>
      <c r="BF33" s="16">
        <f t="shared" si="8"/>
        <v>49.421231084000006</v>
      </c>
      <c r="BG33" s="17">
        <f t="shared" si="9"/>
        <v>1515.50378004656</v>
      </c>
      <c r="BI33">
        <v>69</v>
      </c>
      <c r="BJ33" t="s">
        <v>59</v>
      </c>
      <c r="BK33" s="2">
        <v>46161.191145833334</v>
      </c>
      <c r="BL33">
        <v>361</v>
      </c>
      <c r="BM33" t="s">
        <v>13</v>
      </c>
      <c r="BN33">
        <v>0</v>
      </c>
      <c r="BO33">
        <v>2.8919999999999999</v>
      </c>
      <c r="BP33" s="3">
        <v>708818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46161.212372685186</v>
      </c>
      <c r="D34">
        <v>150</v>
      </c>
      <c r="E34" t="s">
        <v>13</v>
      </c>
      <c r="F34">
        <v>0</v>
      </c>
      <c r="G34">
        <v>6.0549999999999997</v>
      </c>
      <c r="H34" s="3">
        <v>55280</v>
      </c>
      <c r="I34">
        <v>0.112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46161.212372685186</v>
      </c>
      <c r="R34">
        <v>150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46161.212372685186</v>
      </c>
      <c r="AF34">
        <v>150</v>
      </c>
      <c r="AG34" t="s">
        <v>13</v>
      </c>
      <c r="AH34">
        <v>0</v>
      </c>
      <c r="AI34">
        <v>12.314</v>
      </c>
      <c r="AJ34" s="3">
        <v>3136</v>
      </c>
      <c r="AK34">
        <v>0.628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122.51816737024001</v>
      </c>
      <c r="AU34" s="17">
        <f t="shared" si="1"/>
        <v>627.45717661183994</v>
      </c>
      <c r="AW34" s="9">
        <f t="shared" si="16"/>
        <v>152.97791976320002</v>
      </c>
      <c r="AX34" s="10">
        <f t="shared" si="17"/>
        <v>738.97848637439995</v>
      </c>
      <c r="AZ34" s="11">
        <f t="shared" si="18"/>
        <v>155.05318231807999</v>
      </c>
      <c r="BA34" s="12">
        <f t="shared" si="19"/>
        <v>676.39189713920007</v>
      </c>
      <c r="BC34" s="14">
        <f t="shared" si="20"/>
        <v>150.63626398079998</v>
      </c>
      <c r="BD34" s="15">
        <f t="shared" si="21"/>
        <v>579.58462128128008</v>
      </c>
      <c r="BF34" s="16">
        <f t="shared" si="8"/>
        <v>122.51816737024001</v>
      </c>
      <c r="BG34" s="17">
        <f t="shared" si="9"/>
        <v>627.45717661183994</v>
      </c>
      <c r="BI34">
        <v>70</v>
      </c>
      <c r="BJ34" t="s">
        <v>60</v>
      </c>
      <c r="BK34" s="2">
        <v>46161.212372685186</v>
      </c>
      <c r="BL34">
        <v>150</v>
      </c>
      <c r="BM34" t="s">
        <v>13</v>
      </c>
      <c r="BN34">
        <v>0</v>
      </c>
      <c r="BO34">
        <v>2.89</v>
      </c>
      <c r="BP34" s="3">
        <v>758372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46161.233587962961</v>
      </c>
      <c r="D35">
        <v>86</v>
      </c>
      <c r="E35" t="s">
        <v>13</v>
      </c>
      <c r="F35">
        <v>0</v>
      </c>
      <c r="G35">
        <v>6.07</v>
      </c>
      <c r="H35" s="3">
        <v>1753</v>
      </c>
      <c r="I35">
        <v>4.0000000000000001E-3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46161.233587962961</v>
      </c>
      <c r="R35">
        <v>86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46161.233587962961</v>
      </c>
      <c r="AF35">
        <v>86</v>
      </c>
      <c r="AG35" t="s">
        <v>13</v>
      </c>
      <c r="AH35">
        <v>0</v>
      </c>
      <c r="AI35">
        <v>12.257999999999999</v>
      </c>
      <c r="AJ35" s="3">
        <v>39464</v>
      </c>
      <c r="AK35">
        <v>6.8339999999999996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5.9441518445739998</v>
      </c>
      <c r="AU35" s="17">
        <f t="shared" si="1"/>
        <v>7428.9544071238397</v>
      </c>
      <c r="AW35" s="9">
        <f t="shared" si="16"/>
        <v>6.0263798600000005</v>
      </c>
      <c r="AX35" s="10">
        <f t="shared" si="17"/>
        <v>8897.1625322944001</v>
      </c>
      <c r="AZ35" s="11">
        <f t="shared" si="18"/>
        <v>0.6647007342600002</v>
      </c>
      <c r="BA35" s="12">
        <f t="shared" si="19"/>
        <v>8031.0870436992</v>
      </c>
      <c r="BC35" s="14">
        <f t="shared" si="20"/>
        <v>2.8610450654369997</v>
      </c>
      <c r="BD35" s="15">
        <f t="shared" si="21"/>
        <v>8775.5308239852802</v>
      </c>
      <c r="BF35" s="16">
        <f t="shared" si="8"/>
        <v>5.9441518445739998</v>
      </c>
      <c r="BG35" s="17">
        <f t="shared" si="9"/>
        <v>7428.9544071238397</v>
      </c>
      <c r="BI35">
        <v>71</v>
      </c>
      <c r="BJ35" t="s">
        <v>61</v>
      </c>
      <c r="BK35" s="2">
        <v>46161.233587962961</v>
      </c>
      <c r="BL35">
        <v>86</v>
      </c>
      <c r="BM35" t="s">
        <v>13</v>
      </c>
      <c r="BN35">
        <v>0</v>
      </c>
      <c r="BO35">
        <v>2.88</v>
      </c>
      <c r="BP35" s="3">
        <v>733166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2026-05-19T14:40:53Z</dcterms:modified>
</cp:coreProperties>
</file>