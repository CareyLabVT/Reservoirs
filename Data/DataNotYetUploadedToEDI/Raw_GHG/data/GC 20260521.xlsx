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16E6D536-DFDB-48A3-9228-FEA59D3D1D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<sst xmlns="http://schemas.openxmlformats.org/spreadsheetml/2006/main" count="429" uniqueCount="48">
  <si>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</si>
  <si>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</si>
  <si>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</si>
  <si>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</si>
  <si>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</si>
  <si>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</si>
  <si>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</si>
  <si>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</si>
  <si>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</si>
  <si>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</si>
  <si>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</si>
  <si>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</si>
  <si>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</si>
  <si>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</si>
  <si>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</si>
  <si>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</si>
  <si>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</si>
  <si>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</si>
  <si>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</si>
  <si>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</si>
  <si>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</si>
  <si>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</si>
  <si>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</si>
  <si>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</si>
  <si>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</si>
  <si>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</si>
  <si>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</si>
  <si>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</si>
  <si>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</si>
  <si>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</si>
  <si>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</si>
  <si>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</si>
  <si>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</si>
  <si>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</si>
  <si>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</si>
  <si>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FMI20260521_001.gcd</t>
  </si>
  <si>
    <t>FMI20260521_002.gcd</t>
  </si>
  <si>
    <t>FMI20260521_003.gcd</t>
  </si>
  <si>
    <t>FMI20260521_004.gcd</t>
  </si>
  <si>
    <t>FMI20260521_005.gcd</t>
  </si>
  <si>
    <t>FMI20260521_006.gcd</t>
  </si>
  <si>
    <t>FMI20260521_007.gcd</t>
  </si>
  <si>
    <t>FMI20260521_008.gcd</t>
  </si>
  <si>
    <t>FMI20260521_009.gcd</t>
  </si>
  <si>
    <t>FMI20260521_010.gcd</t>
  </si>
  <si>
    <t>FMI20260521_011.gcd</t>
  </si>
  <si>
    <t>FMI20260521_012.gcd</t>
  </si>
  <si>
    <t>FMI20260521_013.gcd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</si>
</sst>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K1" workbookViewId="0">
      <selection activeCell="AN7" sqref="AN7"/>
    </sheetView>
  </sheetViews>
  <sheetFormatPr defaultRowHeight="15" x14ac:dyDescent="0.25"/>
  <cols>
    <col min="2" max="2" width="23.5703125" customWidth="1"/>
    <col min="3" max="3" width="17.85546875" customWidth="1"/>
    <col min="31" max="31" width="21.42578125" customWidth="1"/>
    <col min="43" max="43" width="9.7109375" customWidth="1"/>
    <col min="46" max="47" width="10.140625" customWidth="1"/>
    <col min="49" max="50" width="10.140625" customWidth="1"/>
    <col min="52" max="53" width="10.140625" customWidth="1"/>
    <col min="54" max="54" width="8.7109375" style="7"/>
    <col min="55" max="56" width="10.140625" customWidth="1"/>
    <col min="58" max="59" width="10.140625" customWidth="1"/>
  </cols>
  <sheetData>
    <row r="7" spans="1:73" x14ac:dyDescent="0.25">
      <c r="A7" t="s">
        <v>15</v>
      </c>
      <c r="O7" t="s">
        <v>16</v>
      </c>
      <c r="AC7" t="s">
        <v>17</v>
      </c>
      <c r="BI7" t="s">
        <v>21</v>
      </c>
    </row>
    <row r="8" spans="1:73" ht="135" x14ac:dyDescent="0.2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25">
      <c r="A9">
        <v>45</v>
      </c>
      <c r="B9" t="s">
        <v>35</v>
      </c>
      <c r="C9" s="2">
        <v>46163.664652777778</v>
      </c>
      <c r="D9" t="s">
        <v>31</v>
      </c>
      <c r="E9" t="s">
        <v>13</v>
      </c>
      <c r="F9">
        <v>0</v>
      </c>
      <c r="G9">
        <v>6.0839999999999996</v>
      </c>
      <c r="H9" s="3">
        <v>1783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46163.664652777778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46163.664652777778</v>
      </c>
      <c r="AF9" t="s">
        <v>31</v>
      </c>
      <c r="AG9" t="s">
        <v>13</v>
      </c>
      <c r="AH9">
        <v>0</v>
      </c>
      <c r="AI9">
        <v>12.323</v>
      </c>
      <c r="AJ9" s="3">
        <v>2289</v>
      </c>
      <c r="AK9">
        <v>0.48299999999999998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1" si="0">IF($H9&lt;10000,(($H9^2*-0.000000003714)+($H9*0.002605)+(1.389)),(IF($H9&lt;200000,(($H9^2*-0.0000000003764)+($H9*0.00218)+(3.158)),(IF($H9&lt;8000000,(($H9^2*-0.000000000004719)+($H9*0.001816)+(146.1)),(($V9^2*0.000000002578)+($V9*0.2173)+(2294)))))))</f>
        <v>6.0219078634540004</v>
      </c>
      <c r="AU9" s="17">
        <f t="shared" ref="AU9:AU21" si="1">IF($AJ9&lt;45000,((0.00000003579*$AJ9^2)+(0.1857*$AJ9)+(44.75)),((0.0000000022829*$AJ9^2)+(0.1634*$AJ9)+(1620)))</f>
        <v>470.00482245658998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5.9407130600000002</v>
      </c>
      <c r="AX9" s="10">
        <f t="shared" ref="AX9:AX14" si="3">IF(AJ9&lt;45000,((-0.0000004561*AJ9^2)+(0.244*AJ9)+(-21.72)),((-0.0000000409*AJ9^2)+(0.2477*AJ9)+(-1777)))</f>
        <v>534.40625447189996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0.74435214546000061</v>
      </c>
      <c r="BA9" s="12">
        <f t="shared" ref="BA9:BA14" si="5">IF(AJ9&lt;45000,((-0.0000000598*AJ9^2)+(0.205*AJ9)+(34.1)),((-0.00000002403*AJ9^2)+(0.2063*AJ9)+(-550.7)))</f>
        <v>503.03167664419999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2.9664060028770001</v>
      </c>
      <c r="BD9" s="15">
        <f t="shared" ref="BD9:BD14" si="7">IF(AJ9&lt;45000,((-0.00000004907*AJ9^2)+(0.2277*AJ9)+(-134)),((-0.00000001062*AJ9^2)+(0.2147*AJ9)+(590.6)))</f>
        <v>386.94819670453012</v>
      </c>
      <c r="BF9" s="16">
        <f t="shared" ref="BF9:BF21" si="8">IF($H9&lt;10000,(($H9^2*-0.000000003714)+($H9*0.002605)+(1.389)),(IF($H9&lt;200000,(($H9^2*-0.0000000003764)+($H9*0.00218)+(3.158)),(IF($H9&lt;8000000,(($H9^2*-0.000000000004719)+($H9*0.001816)+(146.1)),(($V9^2*0.000000002578)+($V9*0.2173)+(2294)))))))</f>
        <v>6.0219078634540004</v>
      </c>
      <c r="BG9" s="17">
        <f t="shared" ref="BG9:BG21" si="9">IF($AJ9&lt;45000,((0.00000003579*$AJ9^2)+(0.1857*$AJ9)+(44.75)),((0.0000000022829*$AJ9^2)+(0.1634*$AJ9)+(1620)))</f>
        <v>470.00482245658998</v>
      </c>
      <c r="BI9">
        <v>45</v>
      </c>
      <c r="BJ9" t="s">
        <v>35</v>
      </c>
      <c r="BK9" s="2">
        <v>46163.664652777778</v>
      </c>
      <c r="BL9" t="s">
        <v>31</v>
      </c>
      <c r="BM9" t="s">
        <v>13</v>
      </c>
      <c r="BN9">
        <v>0</v>
      </c>
      <c r="BO9">
        <v>2.7229999999999999</v>
      </c>
      <c r="BP9" s="3">
        <v>4931013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25">
      <c r="A10">
        <v>46</v>
      </c>
      <c r="B10" t="s">
        <v>36</v>
      </c>
      <c r="C10" s="2">
        <v>46163.685844907406</v>
      </c>
      <c r="D10" t="s">
        <v>32</v>
      </c>
      <c r="E10" t="s">
        <v>13</v>
      </c>
      <c r="F10">
        <v>0</v>
      </c>
      <c r="G10">
        <v>6.0369999999999999</v>
      </c>
      <c r="H10" s="3">
        <v>1202499</v>
      </c>
      <c r="I10">
        <v>2.4470000000000001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46163.685844907406</v>
      </c>
      <c r="R10" t="s">
        <v>32</v>
      </c>
      <c r="S10" t="s">
        <v>13</v>
      </c>
      <c r="T10">
        <v>0</v>
      </c>
      <c r="U10">
        <v>5.9889999999999999</v>
      </c>
      <c r="V10" s="3">
        <v>9300</v>
      </c>
      <c r="W10">
        <v>2.2679999999999998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46163.685844907406</v>
      </c>
      <c r="AF10" t="s">
        <v>32</v>
      </c>
      <c r="AG10" t="s">
        <v>13</v>
      </c>
      <c r="AH10">
        <v>0</v>
      </c>
      <c r="AI10">
        <v>12.307</v>
      </c>
      <c r="AJ10" s="3">
        <v>8173</v>
      </c>
      <c r="AK10">
        <v>1.4890000000000001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2323.0144918554402</v>
      </c>
      <c r="AU10" s="17">
        <f t="shared" si="1"/>
        <v>1564.8667978789101</v>
      </c>
      <c r="AW10" s="9">
        <f t="shared" si="2"/>
        <v>2460.0523884829818</v>
      </c>
      <c r="AX10" s="10">
        <f t="shared" si="3"/>
        <v>1942.0254645830998</v>
      </c>
      <c r="AZ10" s="11">
        <f t="shared" si="4"/>
        <v>2724.9901331609935</v>
      </c>
      <c r="BA10" s="12">
        <f t="shared" si="5"/>
        <v>1705.5704838457998</v>
      </c>
      <c r="BC10" s="14">
        <f t="shared" si="6"/>
        <v>2637.3597723943399</v>
      </c>
      <c r="BD10" s="15">
        <f t="shared" si="7"/>
        <v>1723.7143256239701</v>
      </c>
      <c r="BF10" s="16">
        <f t="shared" si="8"/>
        <v>2323.0144918554402</v>
      </c>
      <c r="BG10" s="17">
        <f t="shared" si="9"/>
        <v>1564.8667978789101</v>
      </c>
      <c r="BI10">
        <v>46</v>
      </c>
      <c r="BJ10" t="s">
        <v>36</v>
      </c>
      <c r="BK10" s="2">
        <v>46163.685844907406</v>
      </c>
      <c r="BL10" t="s">
        <v>32</v>
      </c>
      <c r="BM10" t="s">
        <v>13</v>
      </c>
      <c r="BN10">
        <v>0</v>
      </c>
      <c r="BO10">
        <v>2.72</v>
      </c>
      <c r="BP10" s="3">
        <v>4977364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25">
      <c r="A11">
        <v>47</v>
      </c>
      <c r="B11" t="s">
        <v>37</v>
      </c>
      <c r="C11" s="2">
        <v>46163.707060185188</v>
      </c>
      <c r="D11" t="s">
        <v>26</v>
      </c>
      <c r="E11" t="s">
        <v>13</v>
      </c>
      <c r="F11">
        <v>0</v>
      </c>
      <c r="G11">
        <v>6.0629999999999997</v>
      </c>
      <c r="H11" s="3">
        <v>2730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46163.707060185188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46163.707060185188</v>
      </c>
      <c r="AF11" t="s">
        <v>26</v>
      </c>
      <c r="AG11" t="s">
        <v>13</v>
      </c>
      <c r="AH11">
        <v>0</v>
      </c>
      <c r="AI11">
        <v>12.331</v>
      </c>
      <c r="AJ11" s="3">
        <v>1419</v>
      </c>
      <c r="AK11">
        <v>0.33500000000000002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8.4729699293999996</v>
      </c>
      <c r="AU11" s="17">
        <f t="shared" si="1"/>
        <v>308.33036534819001</v>
      </c>
      <c r="AW11" s="9">
        <f t="shared" si="2"/>
        <v>3.7361160000000009</v>
      </c>
      <c r="AX11" s="10">
        <f t="shared" si="3"/>
        <v>323.59761482789997</v>
      </c>
      <c r="AZ11" s="11">
        <f t="shared" si="4"/>
        <v>3.3115487059999991</v>
      </c>
      <c r="BA11" s="12">
        <f t="shared" si="5"/>
        <v>324.87458905220001</v>
      </c>
      <c r="BC11" s="14">
        <f t="shared" si="6"/>
        <v>6.3001574796999993</v>
      </c>
      <c r="BD11" s="15">
        <f t="shared" si="7"/>
        <v>189.00749456173003</v>
      </c>
      <c r="BF11" s="16">
        <f t="shared" si="8"/>
        <v>8.4729699293999996</v>
      </c>
      <c r="BG11" s="17">
        <f t="shared" si="9"/>
        <v>308.33036534819001</v>
      </c>
      <c r="BI11">
        <v>47</v>
      </c>
      <c r="BJ11" t="s">
        <v>37</v>
      </c>
      <c r="BK11" s="2">
        <v>46163.707060185188</v>
      </c>
      <c r="BL11" t="s">
        <v>26</v>
      </c>
      <c r="BM11" t="s">
        <v>13</v>
      </c>
      <c r="BN11">
        <v>0</v>
      </c>
      <c r="BO11">
        <v>2.722</v>
      </c>
      <c r="BP11" s="3">
        <v>4956652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25">
      <c r="A12">
        <v>48</v>
      </c>
      <c r="B12" t="s">
        <v>38</v>
      </c>
      <c r="C12" s="2">
        <v>46163.728275462963</v>
      </c>
      <c r="D12">
        <v>281</v>
      </c>
      <c r="E12" t="s">
        <v>13</v>
      </c>
      <c r="F12">
        <v>0</v>
      </c>
      <c r="G12">
        <v>6.0419999999999998</v>
      </c>
      <c r="H12" s="3">
        <v>10174</v>
      </c>
      <c r="I12">
        <v>2.1000000000000001E-2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46163.728275462963</v>
      </c>
      <c r="R12">
        <v>281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46163.728275462963</v>
      </c>
      <c r="AF12">
        <v>281</v>
      </c>
      <c r="AG12" t="s">
        <v>13</v>
      </c>
      <c r="AH12">
        <v>0</v>
      </c>
      <c r="AI12">
        <v>12.291</v>
      </c>
      <c r="AJ12" s="3">
        <v>2989</v>
      </c>
      <c r="AK12">
        <v>0.60299999999999998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25.298358732113602</v>
      </c>
      <c r="AU12" s="17">
        <f t="shared" si="1"/>
        <v>600.12705219059001</v>
      </c>
      <c r="AW12" s="9">
        <f t="shared" si="2"/>
        <v>20.376246294748</v>
      </c>
      <c r="AX12" s="10">
        <f t="shared" si="3"/>
        <v>703.52114741189996</v>
      </c>
      <c r="AZ12" s="11">
        <f t="shared" si="4"/>
        <v>25.1435322322912</v>
      </c>
      <c r="BA12" s="12">
        <f t="shared" si="5"/>
        <v>646.31073956420005</v>
      </c>
      <c r="BC12" s="14">
        <f t="shared" si="6"/>
        <v>30.438444797411996</v>
      </c>
      <c r="BD12" s="15">
        <f t="shared" si="7"/>
        <v>546.15690268253002</v>
      </c>
      <c r="BF12" s="16">
        <f t="shared" si="8"/>
        <v>25.298358732113602</v>
      </c>
      <c r="BG12" s="17">
        <f t="shared" si="9"/>
        <v>600.12705219059001</v>
      </c>
      <c r="BI12">
        <v>48</v>
      </c>
      <c r="BJ12" t="s">
        <v>38</v>
      </c>
      <c r="BK12" s="2">
        <v>46163.728275462963</v>
      </c>
      <c r="BL12">
        <v>281</v>
      </c>
      <c r="BM12" t="s">
        <v>13</v>
      </c>
      <c r="BN12">
        <v>0</v>
      </c>
      <c r="BO12">
        <v>2.8879999999999999</v>
      </c>
      <c r="BP12" s="3">
        <v>585047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25">
      <c r="A13">
        <v>49</v>
      </c>
      <c r="B13" t="s">
        <v>39</v>
      </c>
      <c r="C13" s="2">
        <v>46163.749456018515</v>
      </c>
      <c r="D13">
        <v>386</v>
      </c>
      <c r="E13" t="s">
        <v>13</v>
      </c>
      <c r="F13">
        <v>0</v>
      </c>
      <c r="G13">
        <v>6.0460000000000003</v>
      </c>
      <c r="H13" s="3">
        <v>11112</v>
      </c>
      <c r="I13">
        <v>2.3E-2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46163.749456018515</v>
      </c>
      <c r="R13">
        <v>386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46163.749456018515</v>
      </c>
      <c r="AF13">
        <v>386</v>
      </c>
      <c r="AG13" t="s">
        <v>13</v>
      </c>
      <c r="AH13">
        <v>0</v>
      </c>
      <c r="AI13">
        <v>12.250999999999999</v>
      </c>
      <c r="AJ13" s="3">
        <v>35696</v>
      </c>
      <c r="AK13">
        <v>6.19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27.335683428838401</v>
      </c>
      <c r="AU13" s="17">
        <f t="shared" si="1"/>
        <v>6719.1009760486395</v>
      </c>
      <c r="AW13" s="9">
        <f t="shared" si="2"/>
        <v>23.199093490111999</v>
      </c>
      <c r="AX13" s="10">
        <f t="shared" si="3"/>
        <v>8106.9393658624003</v>
      </c>
      <c r="AZ13" s="11">
        <f t="shared" si="4"/>
        <v>27.857027974092802</v>
      </c>
      <c r="BA13" s="12">
        <f t="shared" si="5"/>
        <v>7275.5825759231993</v>
      </c>
      <c r="BC13" s="14">
        <f t="shared" si="6"/>
        <v>32.948909668928003</v>
      </c>
      <c r="BD13" s="15">
        <f t="shared" si="7"/>
        <v>7931.4539893068804</v>
      </c>
      <c r="BF13" s="16">
        <f t="shared" si="8"/>
        <v>27.335683428838401</v>
      </c>
      <c r="BG13" s="17">
        <f t="shared" si="9"/>
        <v>6719.1009760486395</v>
      </c>
      <c r="BI13">
        <v>49</v>
      </c>
      <c r="BJ13" t="s">
        <v>39</v>
      </c>
      <c r="BK13" s="2">
        <v>46163.749456018515</v>
      </c>
      <c r="BL13">
        <v>386</v>
      </c>
      <c r="BM13" t="s">
        <v>13</v>
      </c>
      <c r="BN13">
        <v>0</v>
      </c>
      <c r="BO13">
        <v>2.88</v>
      </c>
      <c r="BP13" s="3">
        <v>741874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25">
      <c r="A14">
        <v>50</v>
      </c>
      <c r="B14" t="s">
        <v>40</v>
      </c>
      <c r="C14" s="2">
        <v>46163.77065972222</v>
      </c>
      <c r="D14">
        <v>251</v>
      </c>
      <c r="E14" t="s">
        <v>13</v>
      </c>
      <c r="F14">
        <v>0</v>
      </c>
      <c r="G14">
        <v>6.0439999999999996</v>
      </c>
      <c r="H14" s="3">
        <v>9771</v>
      </c>
      <c r="I14">
        <v>0.02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46163.77065972222</v>
      </c>
      <c r="R14">
        <v>251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46163.77065972222</v>
      </c>
      <c r="AF14">
        <v>251</v>
      </c>
      <c r="AG14" t="s">
        <v>13</v>
      </c>
      <c r="AH14">
        <v>0</v>
      </c>
      <c r="AI14">
        <v>12.271000000000001</v>
      </c>
      <c r="AJ14" s="3">
        <v>12774</v>
      </c>
      <c r="AK14">
        <v>2.2749999999999999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26.487870354126002</v>
      </c>
      <c r="AU14" s="17">
        <f t="shared" si="1"/>
        <v>2422.72183597004</v>
      </c>
      <c r="AW14" s="9">
        <f t="shared" si="2"/>
        <v>17.716303140000001</v>
      </c>
      <c r="AX14" s="10">
        <f t="shared" si="3"/>
        <v>3020.7118478364</v>
      </c>
      <c r="AZ14" s="11">
        <f t="shared" si="4"/>
        <v>25.61255827874</v>
      </c>
      <c r="BA14" s="12">
        <f t="shared" si="5"/>
        <v>2643.0121304551994</v>
      </c>
      <c r="BC14" s="14">
        <f t="shared" si="6"/>
        <v>31.564469441413003</v>
      </c>
      <c r="BD14" s="15">
        <f t="shared" si="7"/>
        <v>2766.6327990206805</v>
      </c>
      <c r="BF14" s="16">
        <f t="shared" si="8"/>
        <v>26.487870354126002</v>
      </c>
      <c r="BG14" s="17">
        <f t="shared" si="9"/>
        <v>2422.72183597004</v>
      </c>
      <c r="BI14">
        <v>50</v>
      </c>
      <c r="BJ14" t="s">
        <v>40</v>
      </c>
      <c r="BK14" s="2">
        <v>46163.77065972222</v>
      </c>
      <c r="BL14">
        <v>251</v>
      </c>
      <c r="BM14" t="s">
        <v>13</v>
      </c>
      <c r="BN14">
        <v>0</v>
      </c>
      <c r="BO14">
        <v>2.8849999999999998</v>
      </c>
      <c r="BP14" s="3">
        <v>646502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25">
      <c r="A15">
        <v>51</v>
      </c>
      <c r="B15" t="s">
        <v>41</v>
      </c>
      <c r="C15" s="2">
        <v>46163.791886574072</v>
      </c>
      <c r="D15">
        <v>287</v>
      </c>
      <c r="E15" t="s">
        <v>13</v>
      </c>
      <c r="F15">
        <v>0</v>
      </c>
      <c r="G15">
        <v>6.0430000000000001</v>
      </c>
      <c r="H15" s="3">
        <v>10318</v>
      </c>
      <c r="I15">
        <v>2.1000000000000001E-2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46163.791886574072</v>
      </c>
      <c r="R15">
        <v>287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46163.791886574072</v>
      </c>
      <c r="AF15">
        <v>287</v>
      </c>
      <c r="AG15" t="s">
        <v>13</v>
      </c>
      <c r="AH15">
        <v>0</v>
      </c>
      <c r="AI15">
        <v>12.276</v>
      </c>
      <c r="AJ15" s="3">
        <v>12408</v>
      </c>
      <c r="AK15">
        <v>2.2120000000000002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25.6111680329264</v>
      </c>
      <c r="AU15" s="17">
        <f t="shared" si="1"/>
        <v>2354.4257734265602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20.809784807452004</v>
      </c>
      <c r="AX15" s="10">
        <f t="shared" ref="AX15:AX16" si="11">IF(AJ15&lt;45000,((-0.0000004561*AJ15^2)+(0.244*AJ15)+(-21.72)),((-0.0000000409*AJ15^2)+(0.2477*AJ15)+(-1777)))</f>
        <v>2935.6115445696005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25.560136027388801</v>
      </c>
      <c r="BA15" s="12">
        <f t="shared" ref="BA15:BA16" si="13">IF(AJ15&lt;45000,((-0.0000000598*AJ15^2)+(0.205*AJ15)+(34.1)),((-0.00000002403*AJ15^2)+(0.2063*AJ15)+(-550.7)))</f>
        <v>2568.5332838527997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30.823876724387997</v>
      </c>
      <c r="BD15" s="15">
        <f t="shared" ref="BD15:BD16" si="15">IF(AJ15&lt;45000,((-0.00000004907*AJ15^2)+(0.2277*AJ15)+(-134)),((-0.00000001062*AJ15^2)+(0.2147*AJ15)+(590.6)))</f>
        <v>2683.7468581715202</v>
      </c>
      <c r="BF15" s="16">
        <f t="shared" si="8"/>
        <v>25.6111680329264</v>
      </c>
      <c r="BG15" s="17">
        <f t="shared" si="9"/>
        <v>2354.4257734265602</v>
      </c>
      <c r="BI15">
        <v>51</v>
      </c>
      <c r="BJ15" t="s">
        <v>41</v>
      </c>
      <c r="BK15" s="2">
        <v>46163.791886574072</v>
      </c>
      <c r="BL15">
        <v>287</v>
      </c>
      <c r="BM15" t="s">
        <v>13</v>
      </c>
      <c r="BN15">
        <v>0</v>
      </c>
      <c r="BO15">
        <v>2.8839999999999999</v>
      </c>
      <c r="BP15" s="3">
        <v>683735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25">
      <c r="A16">
        <v>52</v>
      </c>
      <c r="B16" t="s">
        <v>42</v>
      </c>
      <c r="C16" s="2">
        <v>46163.813113425924</v>
      </c>
      <c r="D16">
        <v>309</v>
      </c>
      <c r="E16" t="s">
        <v>13</v>
      </c>
      <c r="F16">
        <v>0</v>
      </c>
      <c r="G16">
        <v>6.0469999999999997</v>
      </c>
      <c r="H16" s="3">
        <v>7782</v>
      </c>
      <c r="I16">
        <v>1.6E-2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46163.813113425924</v>
      </c>
      <c r="R16">
        <v>309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46163.813113425924</v>
      </c>
      <c r="AF16">
        <v>309</v>
      </c>
      <c r="AG16" t="s">
        <v>13</v>
      </c>
      <c r="AH16">
        <v>0</v>
      </c>
      <c r="AI16">
        <v>12.265000000000001</v>
      </c>
      <c r="AJ16" s="3">
        <v>26115</v>
      </c>
      <c r="AK16">
        <v>4.5540000000000003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21.436191927864002</v>
      </c>
      <c r="AU16" s="17">
        <f t="shared" si="1"/>
        <v>4918.71403752275</v>
      </c>
      <c r="AW16" s="9">
        <f t="shared" si="10"/>
        <v>8.340912960000006</v>
      </c>
      <c r="AX16" s="10">
        <f t="shared" si="11"/>
        <v>6039.2828900774994</v>
      </c>
      <c r="AZ16" s="11">
        <f t="shared" si="12"/>
        <v>18.73861720136</v>
      </c>
      <c r="BA16" s="12">
        <f t="shared" si="13"/>
        <v>5346.891805145</v>
      </c>
      <c r="BC16" s="14">
        <f t="shared" si="14"/>
        <v>24.342256037332</v>
      </c>
      <c r="BD16" s="15">
        <f t="shared" si="15"/>
        <v>5778.9200924492507</v>
      </c>
      <c r="BF16" s="16">
        <f t="shared" si="8"/>
        <v>21.436191927864002</v>
      </c>
      <c r="BG16" s="17">
        <f t="shared" si="9"/>
        <v>4918.71403752275</v>
      </c>
      <c r="BI16">
        <v>52</v>
      </c>
      <c r="BJ16" t="s">
        <v>42</v>
      </c>
      <c r="BK16" s="2">
        <v>46163.813113425924</v>
      </c>
      <c r="BL16">
        <v>309</v>
      </c>
      <c r="BM16" t="s">
        <v>13</v>
      </c>
      <c r="BN16">
        <v>0</v>
      </c>
      <c r="BO16">
        <v>2.88</v>
      </c>
      <c r="BP16" s="3">
        <v>715834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25">
      <c r="A17">
        <v>53</v>
      </c>
      <c r="B17" t="s">
        <v>43</v>
      </c>
      <c r="C17" s="2">
        <v>46163.834340277775</v>
      </c>
      <c r="D17">
        <v>307</v>
      </c>
      <c r="E17" t="s">
        <v>13</v>
      </c>
      <c r="F17">
        <v>0</v>
      </c>
      <c r="G17">
        <v>6.0460000000000003</v>
      </c>
      <c r="H17" s="3">
        <v>11210</v>
      </c>
      <c r="I17">
        <v>2.3E-2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46163.834340277775</v>
      </c>
      <c r="R17">
        <v>307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46163.834340277775</v>
      </c>
      <c r="AF17">
        <v>307</v>
      </c>
      <c r="AG17" t="s">
        <v>13</v>
      </c>
      <c r="AH17">
        <v>0</v>
      </c>
      <c r="AI17">
        <v>12.288</v>
      </c>
      <c r="AJ17" s="3">
        <v>3287</v>
      </c>
      <c r="AK17">
        <v>0.65400000000000003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27.54850003276</v>
      </c>
      <c r="AU17" s="17">
        <f t="shared" si="1"/>
        <v>655.53258836651003</v>
      </c>
      <c r="AW17" s="9">
        <f t="shared" ref="AW17:AW21" si="16">IF(H17&lt;10000,((H17^2*0.00000054)+(H17*-0.004765)+(12.72)),(IF(H17&lt;200000,((H17^2*-0.000000001577)+(H17*0.003043)+(-10.42)),(IF(H17&lt;8000000,((H17^2*-0.0000000000186)+(H17*0.00194)+(154.1)),((V17^2*-0.00000002)+(V17*0.2565)+(-1032)))))))</f>
        <v>23.493857714300006</v>
      </c>
      <c r="AX17" s="10">
        <f t="shared" ref="AX17:AX21" si="17">IF(AJ17&lt;45000,((-0.0000004561*AJ17^2)+(0.244*AJ17)+(-21.72)),((-0.0000000409*AJ17^2)+(0.2477*AJ17)+(-1777)))</f>
        <v>775.38012729909997</v>
      </c>
      <c r="AZ17" s="11">
        <f t="shared" ref="AZ17:AZ21" si="18">IF(H17&lt;10000,((H17^2*0.00000005714)+(H17*0.002453)+(-3.811)),(IF(H17&lt;200000,((H17^2*-0.0000000002888)+(H17*0.002899)+(-4.321)),(IF(H17&lt;8000000,((H17^2*-0.0000000000062)+(H17*0.002143)+(157)),((V17^2*-0.000000031)+(V17*0.2771)+(-709.5)))))))</f>
        <v>28.140498207920004</v>
      </c>
      <c r="BA17" s="12">
        <f t="shared" ref="BA17:BA21" si="19">IF(AJ17&lt;45000,((-0.0000000598*AJ17^2)+(0.205*AJ17)+(34.1)),((-0.00000002403*AJ17^2)+(0.2063*AJ17)+(-550.7)))</f>
        <v>707.2888987337999</v>
      </c>
      <c r="BC17" s="14">
        <f t="shared" ref="BC17:BC21" si="20">IF(H17&lt;10000,((H17^2*0.000000008493)+(H17*0.003482)+(-3.269)),(IF(H17&lt;200000,((H17^2*-0.000000000263)+(H17*0.002682)+(3.179)),(IF(H17&lt;8000000,((H17^2*-0.000000000005099)+(H17*0.002054)+(174.8)),((V17^2*-0.00000001014)+(V17*0.2415)+(1123)))))))</f>
        <v>33.211170341699997</v>
      </c>
      <c r="BD17" s="15">
        <f t="shared" ref="BD17:BD21" si="21">IF(AJ17&lt;45000,((-0.00000004907*AJ17^2)+(0.2277*AJ17)+(-134)),((-0.00000001062*AJ17^2)+(0.2147*AJ17)+(590.6)))</f>
        <v>613.91972961317003</v>
      </c>
      <c r="BF17" s="16">
        <f t="shared" si="8"/>
        <v>27.54850003276</v>
      </c>
      <c r="BG17" s="17">
        <f t="shared" si="9"/>
        <v>655.53258836651003</v>
      </c>
      <c r="BI17">
        <v>53</v>
      </c>
      <c r="BJ17" t="s">
        <v>43</v>
      </c>
      <c r="BK17" s="2">
        <v>46163.834340277775</v>
      </c>
      <c r="BL17">
        <v>307</v>
      </c>
      <c r="BM17" t="s">
        <v>13</v>
      </c>
      <c r="BN17">
        <v>0</v>
      </c>
      <c r="BO17">
        <v>2.88</v>
      </c>
      <c r="BP17" s="3">
        <v>741227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25">
      <c r="A18">
        <v>54</v>
      </c>
      <c r="B18" t="s">
        <v>44</v>
      </c>
      <c r="C18" s="2">
        <v>46163.855567129627</v>
      </c>
      <c r="D18">
        <v>8</v>
      </c>
      <c r="E18" t="s">
        <v>13</v>
      </c>
      <c r="F18">
        <v>0</v>
      </c>
      <c r="G18">
        <v>6.0490000000000004</v>
      </c>
      <c r="H18" s="3">
        <v>8128</v>
      </c>
      <c r="I18">
        <v>1.7000000000000001E-2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46163.855567129627</v>
      </c>
      <c r="R18">
        <v>8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46163.855567129627</v>
      </c>
      <c r="AF18">
        <v>8</v>
      </c>
      <c r="AG18" t="s">
        <v>13</v>
      </c>
      <c r="AH18">
        <v>0</v>
      </c>
      <c r="AI18">
        <v>12.263999999999999</v>
      </c>
      <c r="AJ18" s="3">
        <v>25098</v>
      </c>
      <c r="AK18">
        <v>4.38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22.317076877824</v>
      </c>
      <c r="AU18" s="17">
        <f t="shared" si="1"/>
        <v>4727.9930647271594</v>
      </c>
      <c r="AW18" s="9">
        <f t="shared" si="16"/>
        <v>9.6648473600000049</v>
      </c>
      <c r="AX18" s="10">
        <f t="shared" si="17"/>
        <v>5814.8902296156002</v>
      </c>
      <c r="AZ18" s="11">
        <f t="shared" si="18"/>
        <v>19.90190290176</v>
      </c>
      <c r="BA18" s="12">
        <f t="shared" si="19"/>
        <v>5141.5214056808009</v>
      </c>
      <c r="BC18" s="14">
        <f t="shared" si="20"/>
        <v>25.593780813312001</v>
      </c>
      <c r="BD18" s="15">
        <f t="shared" si="21"/>
        <v>5549.9049357317208</v>
      </c>
      <c r="BF18" s="16">
        <f t="shared" si="8"/>
        <v>22.317076877824</v>
      </c>
      <c r="BG18" s="17">
        <f t="shared" si="9"/>
        <v>4727.9930647271594</v>
      </c>
      <c r="BI18">
        <v>54</v>
      </c>
      <c r="BJ18" t="s">
        <v>44</v>
      </c>
      <c r="BK18" s="2">
        <v>46163.855567129627</v>
      </c>
      <c r="BL18">
        <v>8</v>
      </c>
      <c r="BM18" t="s">
        <v>13</v>
      </c>
      <c r="BN18">
        <v>0</v>
      </c>
      <c r="BO18">
        <v>2.879</v>
      </c>
      <c r="BP18" s="3">
        <v>747521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25">
      <c r="A19">
        <v>55</v>
      </c>
      <c r="B19" t="s">
        <v>45</v>
      </c>
      <c r="C19" s="2">
        <v>46163.876747685186</v>
      </c>
      <c r="D19">
        <v>400</v>
      </c>
      <c r="E19" t="s">
        <v>13</v>
      </c>
      <c r="F19">
        <v>0</v>
      </c>
      <c r="G19">
        <v>6.05</v>
      </c>
      <c r="H19" s="3">
        <v>10056</v>
      </c>
      <c r="I19">
        <v>2.1000000000000001E-2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46163.876747685186</v>
      </c>
      <c r="R19">
        <v>400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46163.876747685186</v>
      </c>
      <c r="AF19">
        <v>400</v>
      </c>
      <c r="AG19" t="s">
        <v>13</v>
      </c>
      <c r="AH19">
        <v>0</v>
      </c>
      <c r="AI19">
        <v>12.311</v>
      </c>
      <c r="AJ19" s="3">
        <v>3205</v>
      </c>
      <c r="AK19">
        <v>0.64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25.042017251609604</v>
      </c>
      <c r="AU19" s="17">
        <f t="shared" si="1"/>
        <v>640.28613577475005</v>
      </c>
      <c r="AW19" s="9">
        <f t="shared" si="16"/>
        <v>20.020936814528</v>
      </c>
      <c r="AX19" s="10">
        <f t="shared" si="17"/>
        <v>755.61492939749996</v>
      </c>
      <c r="AZ19" s="11">
        <f t="shared" si="18"/>
        <v>24.802139638323197</v>
      </c>
      <c r="BA19" s="12">
        <f t="shared" si="19"/>
        <v>690.51073290500005</v>
      </c>
      <c r="BC19" s="14">
        <f t="shared" si="20"/>
        <v>30.122596615231998</v>
      </c>
      <c r="BD19" s="15">
        <f t="shared" si="21"/>
        <v>595.27445173324998</v>
      </c>
      <c r="BF19" s="16">
        <f t="shared" si="8"/>
        <v>25.042017251609604</v>
      </c>
      <c r="BG19" s="17">
        <f t="shared" si="9"/>
        <v>640.28613577475005</v>
      </c>
      <c r="BI19">
        <v>55</v>
      </c>
      <c r="BJ19" t="s">
        <v>45</v>
      </c>
      <c r="BK19" s="2">
        <v>46163.876747685186</v>
      </c>
      <c r="BL19">
        <v>400</v>
      </c>
      <c r="BM19" t="s">
        <v>13</v>
      </c>
      <c r="BN19">
        <v>0</v>
      </c>
      <c r="BO19">
        <v>2.89</v>
      </c>
      <c r="BP19" s="3">
        <v>690757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25">
      <c r="A20">
        <v>56</v>
      </c>
      <c r="B20" t="s">
        <v>46</v>
      </c>
      <c r="C20" s="2">
        <v>46163.897951388892</v>
      </c>
      <c r="D20">
        <v>332</v>
      </c>
      <c r="E20" t="s">
        <v>13</v>
      </c>
      <c r="F20">
        <v>0</v>
      </c>
      <c r="G20">
        <v>6.0449999999999999</v>
      </c>
      <c r="H20" s="3">
        <v>10900</v>
      </c>
      <c r="I20">
        <v>2.1999999999999999E-2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46163.897951388892</v>
      </c>
      <c r="R20">
        <v>332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46163.897951388892</v>
      </c>
      <c r="AF20">
        <v>332</v>
      </c>
      <c r="AG20" t="s">
        <v>13</v>
      </c>
      <c r="AH20">
        <v>0</v>
      </c>
      <c r="AI20">
        <v>12.297000000000001</v>
      </c>
      <c r="AJ20" s="3">
        <v>3296</v>
      </c>
      <c r="AK20">
        <v>0.65600000000000003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26.875279916</v>
      </c>
      <c r="AU20" s="17">
        <f t="shared" si="1"/>
        <v>657.20600881663995</v>
      </c>
      <c r="AW20" s="9">
        <f t="shared" si="16"/>
        <v>22.56133663</v>
      </c>
      <c r="AX20" s="10">
        <f t="shared" si="17"/>
        <v>777.54910474239989</v>
      </c>
      <c r="AZ20" s="11">
        <f t="shared" si="18"/>
        <v>27.243787672000003</v>
      </c>
      <c r="BA20" s="12">
        <f t="shared" si="19"/>
        <v>709.13035576319999</v>
      </c>
      <c r="BC20" s="14">
        <f t="shared" si="20"/>
        <v>32.381552970000001</v>
      </c>
      <c r="BD20" s="15">
        <f t="shared" si="21"/>
        <v>615.96612236288013</v>
      </c>
      <c r="BF20" s="16">
        <f t="shared" si="8"/>
        <v>26.875279916</v>
      </c>
      <c r="BG20" s="17">
        <f t="shared" si="9"/>
        <v>657.20600881663995</v>
      </c>
      <c r="BI20">
        <v>56</v>
      </c>
      <c r="BJ20" t="s">
        <v>46</v>
      </c>
      <c r="BK20" s="2">
        <v>46163.897951388892</v>
      </c>
      <c r="BL20">
        <v>332</v>
      </c>
      <c r="BM20" t="s">
        <v>13</v>
      </c>
      <c r="BN20">
        <v>0</v>
      </c>
      <c r="BO20">
        <v>2.88</v>
      </c>
      <c r="BP20" s="3">
        <v>741956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25">
      <c r="A21">
        <v>57</v>
      </c>
      <c r="B21" t="s">
        <v>47</v>
      </c>
      <c r="C21" s="2">
        <v>46163.919178240743</v>
      </c>
      <c r="D21">
        <v>266</v>
      </c>
      <c r="E21" t="s">
        <v>13</v>
      </c>
      <c r="F21">
        <v>0</v>
      </c>
      <c r="G21">
        <v>6.0439999999999996</v>
      </c>
      <c r="H21" s="3">
        <v>12354</v>
      </c>
      <c r="I21">
        <v>2.5000000000000001E-2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46163.919178240743</v>
      </c>
      <c r="R21">
        <v>266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46163.919178240743</v>
      </c>
      <c r="AF21">
        <v>266</v>
      </c>
      <c r="AG21" t="s">
        <v>13</v>
      </c>
      <c r="AH21">
        <v>0</v>
      </c>
      <c r="AI21">
        <v>12.247</v>
      </c>
      <c r="AJ21" s="3">
        <v>38616</v>
      </c>
      <c r="AK21">
        <v>6.6890000000000001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30.032273336657603</v>
      </c>
      <c r="AU21" s="17">
        <f t="shared" si="1"/>
        <v>7269.1110853702403</v>
      </c>
      <c r="AW21" s="9">
        <f t="shared" si="16"/>
        <v>26.932538184668005</v>
      </c>
      <c r="AX21" s="10">
        <f t="shared" si="17"/>
        <v>8720.4497525184015</v>
      </c>
      <c r="AZ21" s="11">
        <f t="shared" si="18"/>
        <v>31.449168963939208</v>
      </c>
      <c r="BA21" s="12">
        <f t="shared" si="19"/>
        <v>7861.2065117312004</v>
      </c>
      <c r="BC21" s="14">
        <f t="shared" si="20"/>
        <v>36.272288593892007</v>
      </c>
      <c r="BD21" s="15">
        <f t="shared" si="21"/>
        <v>8585.690238974079</v>
      </c>
      <c r="BF21" s="16">
        <f t="shared" si="8"/>
        <v>30.032273336657603</v>
      </c>
      <c r="BG21" s="17">
        <f t="shared" si="9"/>
        <v>7269.1110853702403</v>
      </c>
      <c r="BI21">
        <v>57</v>
      </c>
      <c r="BJ21" t="s">
        <v>47</v>
      </c>
      <c r="BK21" s="2">
        <v>46163.919178240743</v>
      </c>
      <c r="BL21">
        <v>266</v>
      </c>
      <c r="BM21" t="s">
        <v>13</v>
      </c>
      <c r="BN21">
        <v>0</v>
      </c>
      <c r="BO21">
        <v>2.8769999999999998</v>
      </c>
      <c r="BP21" s="3">
        <v>781335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25">
      <c r="C22" s="2"/>
      <c r="H22" s="3"/>
      <c r="Q22" s="2"/>
      <c r="V22" s="3"/>
      <c r="AE22" s="2"/>
      <c r="AS22" s="8"/>
      <c r="AT22" s="14"/>
      <c r="AU22" s="15"/>
      <c r="AW22" s="9"/>
      <c r="AX22" s="10"/>
      <c r="AZ22" s="11"/>
      <c r="BA22" s="12"/>
      <c r="BC22" s="14"/>
      <c r="BD22" s="15"/>
      <c r="BF22" s="14"/>
      <c r="BG22" s="15"/>
      <c r="BK22" s="2"/>
      <c r="BP22" s="3"/>
    </row>
    <row r="23" spans="1:73" x14ac:dyDescent="0.2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2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2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2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2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2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2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2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2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2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2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2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2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2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2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2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2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2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2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2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2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2026-05-22T15:27:57Z</dcterms:modified>
</cp:coreProperties>
</file>