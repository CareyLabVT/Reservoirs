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13_ncr:1_{45410560-5B00-4E66-8876-55D78B405BA3}" xr6:coauthVersionLast="47" xr6:coauthVersionMax="47" xr10:uidLastSave="{00000000-0000-0000-0000-000000000000}"/>
  <bookViews>
    <workbookView xWindow="15330" yWindow="1155" windowWidth="12495" windowHeight="135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<sst xmlns="http://schemas.openxmlformats.org/spreadsheetml/2006/main" count="846" uniqueCount="67">
  <si>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</si>
  <si>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</si>
  <si>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</si>
  <si>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</si>
  <si>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</si>
  <si>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</si>
  <si>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</si>
  <si>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</si>
  <si>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</si>
  <si>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</si>
  <si>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</si>
  <si>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</si>
  <si>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</si>
  <si>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</si>
  <si>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</si>
  <si>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</si>
  <si>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</si>
  <si>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</si>
  <si>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</si>
  <si>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</si>
  <si>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</si>
  <si>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</si>
  <si>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</si>
  <si>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</si>
  <si>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</si>
  <si>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</si>
  <si>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</si>
  <si>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</si>
  <si>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</si>
  <si>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</si>
  <si>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</si>
  <si>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</si>
  <si>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</si>
  <si>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</si>
  <si>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</si>
  <si>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FMI20260526_001.gcd</t>
  </si>
  <si>
    <t>FMI20260526_002.gcd</t>
  </si>
  <si>
    <t>FMI20260526_003.gcd</t>
  </si>
  <si>
    <t>FMI20260526_004.gcd</t>
  </si>
  <si>
    <t>FMI20260526_005.gcd</t>
  </si>
  <si>
    <t>FMI20260526_006.gcd</t>
  </si>
  <si>
    <t>FMI20260526_007.gcd</t>
  </si>
  <si>
    <t>FMI20260526_008.gcd</t>
  </si>
  <si>
    <t>FMI20260526_009.gcd</t>
  </si>
  <si>
    <t>FMI20260526_010.gcd</t>
  </si>
  <si>
    <t>FMI20260526_011.gcd</t>
  </si>
  <si>
    <t>FMI20260526_012.gcd</t>
  </si>
  <si>
    <t>FMI20260526_013.gcd</t>
  </si>
  <si>
    <t>FMI20260526_014.gcd</t>
  </si>
  <si>
    <t>FMI20260526_015.gcd</t>
  </si>
  <si>
    <t>FMI20260526_016.gcd</t>
  </si>
  <si>
    <t>FMI20260526_017.gcd</t>
  </si>
  <si>
    <t>FMI20260526_018.gcd</t>
  </si>
  <si>
    <t>FMI20260526_019.gcd</t>
  </si>
  <si>
    <t>FMI20260526_020.gcd</t>
  </si>
  <si>
    <t>FMI20260526_021.gcd</t>
  </si>
  <si>
    <t>FMI20260526_022.gcd</t>
  </si>
  <si>
    <t>FMI20260526_023.gcd</t>
  </si>
  <si>
    <t>FMI20260526_024.gcd</t>
  </si>
  <si>
    <t>FMI20260526_025.gcd</t>
  </si>
  <si>
    <t>FMI20260526_026.gcd</t>
  </si>
  <si>
    <t>FMI20260526_027.gcd</t>
  </si>
  <si>
    <t>FMI20260526_028.gcd</t>
  </si>
  <si>
    <t>FMI20260526_029.gcd</t>
  </si>
  <si>
    <t>reference tank- end of run</t>
  </si>
  <si>
    <t>from end of run</t>
  </si>
  <si>
    <t>don't use- has been sitting in drawer since october- concentrations are very different from dup!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</si>
</sst>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O1" workbookViewId="0">
      <selection activeCell="AQ13" sqref="AQ13"/>
    </sheetView>
  </sheetViews>
  <sheetFormatPr defaultRowHeight="15" x14ac:dyDescent="0.25"/>
  <cols>
    <col min="2" max="2" width="23.5703125" customWidth="1"/>
    <col min="3" max="3" width="17.85546875" customWidth="1"/>
    <col min="31" max="31" width="21.42578125" customWidth="1"/>
    <col min="43" max="43" width="9.7109375" customWidth="1"/>
    <col min="46" max="47" width="10.140625" customWidth="1"/>
    <col min="49" max="50" width="10.140625" customWidth="1"/>
    <col min="52" max="53" width="10.140625" customWidth="1"/>
    <col min="54" max="54" width="8.7109375" style="7"/>
    <col min="55" max="56" width="10.140625" customWidth="1"/>
    <col min="58" max="59" width="10.140625" customWidth="1"/>
  </cols>
  <sheetData>
    <row r="7" spans="1:73" x14ac:dyDescent="0.25">
      <c r="A7" t="s">
        <v>15</v>
      </c>
      <c r="O7" t="s">
        <v>16</v>
      </c>
      <c r="AC7" t="s">
        <v>17</v>
      </c>
      <c r="BI7" t="s">
        <v>21</v>
      </c>
    </row>
    <row r="8" spans="1:73" ht="135" x14ac:dyDescent="0.2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25">
      <c r="A9">
        <v>45</v>
      </c>
      <c r="B9" t="s">
        <v>35</v>
      </c>
      <c r="C9" s="2">
        <v>46168.553437499999</v>
      </c>
      <c r="D9" t="s">
        <v>31</v>
      </c>
      <c r="E9" t="s">
        <v>13</v>
      </c>
      <c r="F9">
        <v>0</v>
      </c>
      <c r="G9">
        <v>6.0860000000000003</v>
      </c>
      <c r="H9" s="3">
        <v>1359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46168.553437499999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46168.553437499999</v>
      </c>
      <c r="AF9" t="s">
        <v>31</v>
      </c>
      <c r="AG9" t="s">
        <v>13</v>
      </c>
      <c r="AH9">
        <v>0</v>
      </c>
      <c r="AI9">
        <v>12.353999999999999</v>
      </c>
      <c r="AJ9" s="3">
        <v>1979</v>
      </c>
      <c r="AK9">
        <v>0.43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9" si="0">IF($H9&lt;10000,(($H9^2*-0.000000003714)+($H9*0.002605)+(1.389)),(IF($H9&lt;200000,(($H9^2*-0.0000000003764)+($H9*0.00218)+(3.158)),(IF($H9&lt;8000000,(($H9^2*-0.000000000004719)+($H9*0.001816)+(146.1)),(($V9^2*0.000000002578)+($V9*0.2173)+(2294)))))))</f>
        <v>4.9223356839660006</v>
      </c>
      <c r="AU9" s="17">
        <f t="shared" ref="AU9:AU29" si="1">IF($AJ9&lt;45000,((0.00000003579*$AJ9^2)+(0.1857*$AJ9)+(44.75)),((0.0000000022829*$AJ9^2)+(0.1634*$AJ9)+(1620)))</f>
        <v>412.39046942338996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7.2416807400000005</v>
      </c>
      <c r="AX9" s="10">
        <f t="shared" ref="AX9:AX14" si="3">IF(AJ9&lt;45000,((-0.0000004561*AJ9^2)+(0.244*AJ9)+(-21.72)),((-0.0000000409*AJ9^2)+(0.2477*AJ9)+(-1777)))</f>
        <v>459.36971125989999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-0.37184221965999997</v>
      </c>
      <c r="BA9" s="12">
        <f t="shared" ref="BA9:BA14" si="5">IF(AJ9&lt;45000,((-0.0000000598*AJ9^2)+(0.205*AJ9)+(34.1)),((-0.00000002403*AJ9^2)+(0.2063*AJ9)+(-550.7)))</f>
        <v>439.56079682820001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1.478723560333</v>
      </c>
      <c r="BD9" s="15">
        <f t="shared" ref="BD9:BD14" si="7">IF(AJ9&lt;45000,((-0.00000004907*AJ9^2)+(0.2277*AJ9)+(-134)),((-0.00000001062*AJ9^2)+(0.2147*AJ9)+(590.6)))</f>
        <v>316.42612024013005</v>
      </c>
      <c r="BF9" s="16">
        <f t="shared" ref="BF9:BF29" si="8">IF($H9&lt;10000,(($H9^2*-0.000000003714)+($H9*0.002605)+(1.389)),(IF($H9&lt;200000,(($H9^2*-0.0000000003764)+($H9*0.00218)+(3.158)),(IF($H9&lt;8000000,(($H9^2*-0.000000000004719)+($H9*0.001816)+(146.1)),(($V9^2*0.000000002578)+($V9*0.2173)+(2294)))))))</f>
        <v>4.9223356839660006</v>
      </c>
      <c r="BG9" s="17">
        <f t="shared" ref="BG9:BG29" si="9">IF($AJ9&lt;45000,((0.00000003579*$AJ9^2)+(0.1857*$AJ9)+(44.75)),((0.0000000022829*$AJ9^2)+(0.1634*$AJ9)+(1620)))</f>
        <v>412.39046942338996</v>
      </c>
      <c r="BI9">
        <v>45</v>
      </c>
      <c r="BJ9" t="s">
        <v>35</v>
      </c>
      <c r="BK9" s="2">
        <v>46168.553437499999</v>
      </c>
      <c r="BL9" t="s">
        <v>31</v>
      </c>
      <c r="BM9" t="s">
        <v>13</v>
      </c>
      <c r="BN9">
        <v>0</v>
      </c>
      <c r="BO9">
        <v>2.7189999999999999</v>
      </c>
      <c r="BP9" s="3">
        <v>5031895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25">
      <c r="A10">
        <v>46</v>
      </c>
      <c r="B10" t="s">
        <v>36</v>
      </c>
      <c r="C10" s="2">
        <v>46168.574629629627</v>
      </c>
      <c r="D10" t="s">
        <v>32</v>
      </c>
      <c r="E10" t="s">
        <v>13</v>
      </c>
      <c r="F10">
        <v>0</v>
      </c>
      <c r="G10">
        <v>6.0369999999999999</v>
      </c>
      <c r="H10" s="3">
        <v>1123615</v>
      </c>
      <c r="I10">
        <v>2.286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46168.574629629627</v>
      </c>
      <c r="R10" t="s">
        <v>32</v>
      </c>
      <c r="S10" t="s">
        <v>13</v>
      </c>
      <c r="T10">
        <v>0</v>
      </c>
      <c r="U10">
        <v>5.992</v>
      </c>
      <c r="V10" s="3">
        <v>8601</v>
      </c>
      <c r="W10">
        <v>2.109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46168.574629629627</v>
      </c>
      <c r="AF10" t="s">
        <v>32</v>
      </c>
      <c r="AG10" t="s">
        <v>13</v>
      </c>
      <c r="AH10">
        <v>0</v>
      </c>
      <c r="AI10">
        <v>12.302</v>
      </c>
      <c r="AJ10" s="3">
        <v>7938</v>
      </c>
      <c r="AK10">
        <v>1.4490000000000001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2180.6270521566462</v>
      </c>
      <c r="AU10" s="17">
        <f t="shared" si="1"/>
        <v>1521.09179389676</v>
      </c>
      <c r="AW10" s="9">
        <f t="shared" si="2"/>
        <v>2310.4304015710154</v>
      </c>
      <c r="AX10" s="10">
        <f t="shared" si="3"/>
        <v>1886.4122979516001</v>
      </c>
      <c r="AZ10" s="11">
        <f t="shared" si="4"/>
        <v>2557.0793788570049</v>
      </c>
      <c r="BA10" s="12">
        <f t="shared" si="5"/>
        <v>1657.6218917287999</v>
      </c>
      <c r="BC10" s="14">
        <f t="shared" si="6"/>
        <v>2476.267668102721</v>
      </c>
      <c r="BD10" s="15">
        <f t="shared" si="7"/>
        <v>1670.3906088149201</v>
      </c>
      <c r="BF10" s="16">
        <f t="shared" si="8"/>
        <v>2180.6270521566462</v>
      </c>
      <c r="BG10" s="17">
        <f t="shared" si="9"/>
        <v>1521.09179389676</v>
      </c>
      <c r="BI10">
        <v>46</v>
      </c>
      <c r="BJ10" t="s">
        <v>36</v>
      </c>
      <c r="BK10" s="2">
        <v>46168.574629629627</v>
      </c>
      <c r="BL10" t="s">
        <v>32</v>
      </c>
      <c r="BM10" t="s">
        <v>13</v>
      </c>
      <c r="BN10">
        <v>0</v>
      </c>
      <c r="BO10">
        <v>2.72</v>
      </c>
      <c r="BP10" s="3">
        <v>4926096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25">
      <c r="A11">
        <v>47</v>
      </c>
      <c r="B11" t="s">
        <v>37</v>
      </c>
      <c r="C11" s="2">
        <v>46168.595856481479</v>
      </c>
      <c r="D11" t="s">
        <v>26</v>
      </c>
      <c r="E11" t="s">
        <v>13</v>
      </c>
      <c r="F11">
        <v>0</v>
      </c>
      <c r="G11">
        <v>6.0720000000000001</v>
      </c>
      <c r="H11" s="3">
        <v>2639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46168.595856481479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46168.595856481479</v>
      </c>
      <c r="AF11" t="s">
        <v>26</v>
      </c>
      <c r="AG11" t="s">
        <v>13</v>
      </c>
      <c r="AH11">
        <v>0</v>
      </c>
      <c r="AI11">
        <v>12.332000000000001</v>
      </c>
      <c r="AJ11" s="3">
        <v>1347</v>
      </c>
      <c r="AK11">
        <v>0.32200000000000001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8.2377295118060001</v>
      </c>
      <c r="AU11" s="17">
        <f t="shared" si="1"/>
        <v>294.95283769810999</v>
      </c>
      <c r="AW11" s="9">
        <f t="shared" si="2"/>
        <v>3.9058983400000002</v>
      </c>
      <c r="AX11" s="10">
        <f t="shared" si="3"/>
        <v>306.12044805510004</v>
      </c>
      <c r="AZ11" s="11">
        <f t="shared" si="4"/>
        <v>3.060408301939999</v>
      </c>
      <c r="BA11" s="12">
        <f t="shared" si="5"/>
        <v>310.12649834180002</v>
      </c>
      <c r="BC11" s="14">
        <f t="shared" si="6"/>
        <v>5.9791459782529994</v>
      </c>
      <c r="BD11" s="15">
        <f t="shared" si="7"/>
        <v>172.62286695037</v>
      </c>
      <c r="BF11" s="16">
        <f t="shared" si="8"/>
        <v>8.2377295118060001</v>
      </c>
      <c r="BG11" s="17">
        <f t="shared" si="9"/>
        <v>294.95283769810999</v>
      </c>
      <c r="BI11">
        <v>47</v>
      </c>
      <c r="BJ11" t="s">
        <v>37</v>
      </c>
      <c r="BK11" s="2">
        <v>46168.595856481479</v>
      </c>
      <c r="BL11" t="s">
        <v>26</v>
      </c>
      <c r="BM11" t="s">
        <v>13</v>
      </c>
      <c r="BN11">
        <v>0</v>
      </c>
      <c r="BO11">
        <v>2.7189999999999999</v>
      </c>
      <c r="BP11" s="3">
        <v>4998918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25">
      <c r="A12">
        <v>48</v>
      </c>
      <c r="B12" t="s">
        <v>38</v>
      </c>
      <c r="C12" s="2">
        <v>46168.617071759261</v>
      </c>
      <c r="D12">
        <v>99</v>
      </c>
      <c r="E12" t="s">
        <v>13</v>
      </c>
      <c r="F12">
        <v>0</v>
      </c>
      <c r="G12">
        <v>6.0519999999999996</v>
      </c>
      <c r="H12" s="3">
        <v>1947</v>
      </c>
      <c r="I12">
        <v>4.0000000000000001E-3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46168.617071759261</v>
      </c>
      <c r="R12">
        <v>99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46168.617071759261</v>
      </c>
      <c r="AF12">
        <v>99</v>
      </c>
      <c r="AG12" t="s">
        <v>13</v>
      </c>
      <c r="AH12">
        <v>0</v>
      </c>
      <c r="AI12">
        <v>12.218999999999999</v>
      </c>
      <c r="AJ12" s="3">
        <v>53432</v>
      </c>
      <c r="AK12">
        <v>9.2189999999999994</v>
      </c>
      <c r="AL12" t="s">
        <v>14</v>
      </c>
      <c r="AM12" t="s">
        <v>14</v>
      </c>
      <c r="AN12" t="s">
        <v>14</v>
      </c>
      <c r="AO12" t="s">
        <v>14</v>
      </c>
      <c r="AQ12">
        <v>3</v>
      </c>
      <c r="AR12" t="s">
        <v>66</v>
      </c>
      <c r="AS12" s="8">
        <v>48</v>
      </c>
      <c r="AT12" s="16">
        <f t="shared" si="0"/>
        <v>6.4468559353739998</v>
      </c>
      <c r="AU12" s="17">
        <f t="shared" si="1"/>
        <v>10357.30643070073</v>
      </c>
      <c r="AW12" s="9">
        <f t="shared" si="2"/>
        <v>5.4895818600000013</v>
      </c>
      <c r="AX12" s="10">
        <f t="shared" si="3"/>
        <v>11341.337774278401</v>
      </c>
      <c r="AZ12" s="11">
        <f t="shared" si="4"/>
        <v>1.1815978262599991</v>
      </c>
      <c r="BA12" s="12">
        <f t="shared" si="5"/>
        <v>10403.71646366528</v>
      </c>
      <c r="BC12" s="14">
        <f t="shared" si="6"/>
        <v>3.5426493408369994</v>
      </c>
      <c r="BD12" s="15">
        <f t="shared" si="7"/>
        <v>12032.13052701312</v>
      </c>
      <c r="BF12" s="16">
        <f t="shared" si="8"/>
        <v>6.4468559353739998</v>
      </c>
      <c r="BG12" s="17">
        <f t="shared" si="9"/>
        <v>10357.30643070073</v>
      </c>
      <c r="BI12">
        <v>48</v>
      </c>
      <c r="BJ12" t="s">
        <v>38</v>
      </c>
      <c r="BK12" s="2">
        <v>46168.617071759261</v>
      </c>
      <c r="BL12">
        <v>99</v>
      </c>
      <c r="BM12" t="s">
        <v>13</v>
      </c>
      <c r="BN12">
        <v>0</v>
      </c>
      <c r="BO12">
        <v>2.8849999999999998</v>
      </c>
      <c r="BP12" s="3">
        <v>585154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25">
      <c r="A13">
        <v>49</v>
      </c>
      <c r="B13" t="s">
        <v>39</v>
      </c>
      <c r="C13" s="2">
        <v>46168.638275462959</v>
      </c>
      <c r="D13">
        <v>167</v>
      </c>
      <c r="E13" t="s">
        <v>13</v>
      </c>
      <c r="F13">
        <v>0</v>
      </c>
      <c r="G13">
        <v>6.0620000000000003</v>
      </c>
      <c r="H13" s="3">
        <v>2610</v>
      </c>
      <c r="I13">
        <v>5.0000000000000001E-3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46168.638275462959</v>
      </c>
      <c r="R13">
        <v>167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46168.638275462959</v>
      </c>
      <c r="AF13">
        <v>167</v>
      </c>
      <c r="AG13" t="s">
        <v>13</v>
      </c>
      <c r="AH13">
        <v>0</v>
      </c>
      <c r="AI13">
        <v>12.191000000000001</v>
      </c>
      <c r="AJ13" s="3">
        <v>81595</v>
      </c>
      <c r="AK13">
        <v>14.028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8.1627498606</v>
      </c>
      <c r="AU13" s="17">
        <f t="shared" si="1"/>
        <v>14967.821963834673</v>
      </c>
      <c r="AW13" s="9">
        <f t="shared" si="2"/>
        <v>3.9618839999999995</v>
      </c>
      <c r="AX13" s="10">
        <f t="shared" si="3"/>
        <v>18161.779769377499</v>
      </c>
      <c r="AZ13" s="11">
        <f t="shared" si="4"/>
        <v>2.9805733940000003</v>
      </c>
      <c r="BA13" s="12">
        <f t="shared" si="5"/>
        <v>16122.36291107925</v>
      </c>
      <c r="BC13" s="14">
        <f t="shared" si="6"/>
        <v>5.8768751652999995</v>
      </c>
      <c r="BD13" s="15">
        <f t="shared" si="7"/>
        <v>18038.3412584545</v>
      </c>
      <c r="BF13" s="16">
        <f t="shared" si="8"/>
        <v>8.1627498606</v>
      </c>
      <c r="BG13" s="17">
        <f t="shared" si="9"/>
        <v>14967.821963834673</v>
      </c>
      <c r="BI13">
        <v>49</v>
      </c>
      <c r="BJ13" t="s">
        <v>39</v>
      </c>
      <c r="BK13" s="2">
        <v>46168.638275462959</v>
      </c>
      <c r="BL13">
        <v>167</v>
      </c>
      <c r="BM13" t="s">
        <v>13</v>
      </c>
      <c r="BN13">
        <v>0</v>
      </c>
      <c r="BO13">
        <v>2.88</v>
      </c>
      <c r="BP13" s="3">
        <v>705009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25">
      <c r="A14">
        <v>50</v>
      </c>
      <c r="B14" t="s">
        <v>40</v>
      </c>
      <c r="C14" s="2">
        <v>46168.659502314818</v>
      </c>
      <c r="D14">
        <v>258</v>
      </c>
      <c r="E14" t="s">
        <v>13</v>
      </c>
      <c r="F14">
        <v>0</v>
      </c>
      <c r="G14">
        <v>6.0350000000000001</v>
      </c>
      <c r="H14" s="3">
        <v>902293</v>
      </c>
      <c r="I14">
        <v>1.835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46168.659502314818</v>
      </c>
      <c r="R14">
        <v>258</v>
      </c>
      <c r="S14" t="s">
        <v>13</v>
      </c>
      <c r="T14">
        <v>0</v>
      </c>
      <c r="U14">
        <v>5.9889999999999999</v>
      </c>
      <c r="V14" s="3">
        <v>7336</v>
      </c>
      <c r="W14">
        <v>1.8220000000000001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46168.659502314818</v>
      </c>
      <c r="AF14">
        <v>258</v>
      </c>
      <c r="AG14" t="s">
        <v>13</v>
      </c>
      <c r="AH14">
        <v>0</v>
      </c>
      <c r="AI14">
        <v>12.225</v>
      </c>
      <c r="AJ14" s="3">
        <v>51019</v>
      </c>
      <c r="AK14">
        <v>8.8070000000000004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1780.8221959876103</v>
      </c>
      <c r="AU14" s="17">
        <f t="shared" si="1"/>
        <v>9962.4468479843272</v>
      </c>
      <c r="AW14" s="9">
        <f t="shared" si="2"/>
        <v>1889.4055525640088</v>
      </c>
      <c r="AX14" s="10">
        <f t="shared" si="3"/>
        <v>10753.9461210351</v>
      </c>
      <c r="AZ14" s="11">
        <f t="shared" si="4"/>
        <v>2085.5662765213365</v>
      </c>
      <c r="BA14" s="12">
        <f t="shared" si="5"/>
        <v>9911.9710911851707</v>
      </c>
      <c r="BC14" s="14">
        <f t="shared" si="6"/>
        <v>2023.9585595776277</v>
      </c>
      <c r="BD14" s="15">
        <f t="shared" si="7"/>
        <v>11516.73609460618</v>
      </c>
      <c r="BF14" s="16">
        <f t="shared" si="8"/>
        <v>1780.8221959876103</v>
      </c>
      <c r="BG14" s="17">
        <f t="shared" si="9"/>
        <v>9962.4468479843272</v>
      </c>
      <c r="BI14">
        <v>50</v>
      </c>
      <c r="BJ14" t="s">
        <v>40</v>
      </c>
      <c r="BK14" s="2">
        <v>46168.659502314818</v>
      </c>
      <c r="BL14">
        <v>258</v>
      </c>
      <c r="BM14" t="s">
        <v>13</v>
      </c>
      <c r="BN14">
        <v>0</v>
      </c>
      <c r="BO14">
        <v>2.8780000000000001</v>
      </c>
      <c r="BP14" s="3">
        <v>701440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25">
      <c r="A15">
        <v>51</v>
      </c>
      <c r="B15" t="s">
        <v>41</v>
      </c>
      <c r="C15" s="2">
        <v>46168.680694444447</v>
      </c>
      <c r="D15">
        <v>49</v>
      </c>
      <c r="E15" t="s">
        <v>13</v>
      </c>
      <c r="F15">
        <v>0</v>
      </c>
      <c r="G15">
        <v>6.0469999999999997</v>
      </c>
      <c r="H15" s="3">
        <v>6601</v>
      </c>
      <c r="I15">
        <v>1.2999999999999999E-2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46168.680694444447</v>
      </c>
      <c r="R15">
        <v>49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46168.680694444447</v>
      </c>
      <c r="AF15">
        <v>49</v>
      </c>
      <c r="AG15" t="s">
        <v>13</v>
      </c>
      <c r="AH15">
        <v>0</v>
      </c>
      <c r="AI15">
        <v>12.28</v>
      </c>
      <c r="AJ15" s="3">
        <v>6318</v>
      </c>
      <c r="AK15">
        <v>1.1719999999999999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18.422774131486001</v>
      </c>
      <c r="AU15" s="17">
        <f t="shared" si="1"/>
        <v>1219.4312338679599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4.7957635400000012</v>
      </c>
      <c r="AX15" s="10">
        <f t="shared" ref="AX15:AX16" si="11">IF(AJ15&lt;45000,((-0.0000004561*AJ15^2)+(0.244*AJ15)+(-21.72)),((-0.0000000409*AJ15^2)+(0.2477*AJ15)+(-1777)))</f>
        <v>1501.6657997435998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14.871025705139999</v>
      </c>
      <c r="BA15" s="12">
        <f t="shared" ref="BA15:BA16" si="13">IF(AJ15&lt;45000,((-0.0000000598*AJ15^2)+(0.205*AJ15)+(34.1)),((-0.00000002403*AJ15^2)+(0.2063*AJ15)+(-550.7)))</f>
        <v>1326.9029559847997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20.085749196092998</v>
      </c>
      <c r="BD15" s="15">
        <f t="shared" ref="BD15:BD16" si="15">IF(AJ15&lt;45000,((-0.00000004907*AJ15^2)+(0.2277*AJ15)+(-134)),((-0.00000001062*AJ15^2)+(0.2147*AJ15)+(590.6)))</f>
        <v>1302.64986672532</v>
      </c>
      <c r="BF15" s="16">
        <f t="shared" si="8"/>
        <v>18.422774131486001</v>
      </c>
      <c r="BG15" s="17">
        <f t="shared" si="9"/>
        <v>1219.4312338679599</v>
      </c>
      <c r="BI15">
        <v>51</v>
      </c>
      <c r="BJ15" t="s">
        <v>41</v>
      </c>
      <c r="BK15" s="2">
        <v>46168.680694444447</v>
      </c>
      <c r="BL15">
        <v>49</v>
      </c>
      <c r="BM15" t="s">
        <v>13</v>
      </c>
      <c r="BN15">
        <v>0</v>
      </c>
      <c r="BO15">
        <v>2.8879999999999999</v>
      </c>
      <c r="BP15" s="3">
        <v>594445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25">
      <c r="A16">
        <v>52</v>
      </c>
      <c r="B16" t="s">
        <v>42</v>
      </c>
      <c r="C16" s="2">
        <v>46168.701886574076</v>
      </c>
      <c r="D16">
        <v>225</v>
      </c>
      <c r="E16" t="s">
        <v>13</v>
      </c>
      <c r="F16">
        <v>0</v>
      </c>
      <c r="G16">
        <v>6.0439999999999996</v>
      </c>
      <c r="H16" s="3">
        <v>17301</v>
      </c>
      <c r="I16">
        <v>3.5000000000000003E-2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46168.701886574076</v>
      </c>
      <c r="R16">
        <v>225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46168.701886574076</v>
      </c>
      <c r="AF16">
        <v>225</v>
      </c>
      <c r="AG16" t="s">
        <v>13</v>
      </c>
      <c r="AH16">
        <v>0</v>
      </c>
      <c r="AI16">
        <v>12.278</v>
      </c>
      <c r="AJ16" s="3">
        <v>8509</v>
      </c>
      <c r="AK16">
        <v>1.546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40.761514220183599</v>
      </c>
      <c r="AU16" s="17">
        <f t="shared" si="1"/>
        <v>1627.4626062689899</v>
      </c>
      <c r="AW16" s="9">
        <f t="shared" si="10"/>
        <v>41.754908104222999</v>
      </c>
      <c r="AX16" s="10">
        <f t="shared" si="11"/>
        <v>2021.4529547558998</v>
      </c>
      <c r="AZ16" s="11">
        <f t="shared" si="12"/>
        <v>45.748154055231204</v>
      </c>
      <c r="BA16" s="12">
        <f t="shared" si="13"/>
        <v>1774.1152957561997</v>
      </c>
      <c r="BC16" s="14">
        <f t="shared" si="14"/>
        <v>49.501559629937006</v>
      </c>
      <c r="BD16" s="15">
        <f t="shared" si="15"/>
        <v>1799.9464808153302</v>
      </c>
      <c r="BF16" s="16">
        <f t="shared" si="8"/>
        <v>40.761514220183599</v>
      </c>
      <c r="BG16" s="17">
        <f t="shared" si="9"/>
        <v>1627.4626062689899</v>
      </c>
      <c r="BI16">
        <v>52</v>
      </c>
      <c r="BJ16" t="s">
        <v>42</v>
      </c>
      <c r="BK16" s="2">
        <v>46168.701886574076</v>
      </c>
      <c r="BL16">
        <v>225</v>
      </c>
      <c r="BM16" t="s">
        <v>13</v>
      </c>
      <c r="BN16">
        <v>0</v>
      </c>
      <c r="BO16">
        <v>2.8860000000000001</v>
      </c>
      <c r="BP16" s="3">
        <v>632140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25">
      <c r="A17">
        <v>53</v>
      </c>
      <c r="B17" t="s">
        <v>43</v>
      </c>
      <c r="C17" s="2">
        <v>46168.723101851851</v>
      </c>
      <c r="D17">
        <v>349</v>
      </c>
      <c r="E17" t="s">
        <v>13</v>
      </c>
      <c r="F17">
        <v>0</v>
      </c>
      <c r="G17">
        <v>6.0629999999999997</v>
      </c>
      <c r="H17" s="3">
        <v>2998</v>
      </c>
      <c r="I17">
        <v>6.0000000000000001E-3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46168.723101851851</v>
      </c>
      <c r="R17">
        <v>349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46168.723101851851</v>
      </c>
      <c r="AF17">
        <v>349</v>
      </c>
      <c r="AG17" t="s">
        <v>13</v>
      </c>
      <c r="AH17">
        <v>0</v>
      </c>
      <c r="AI17">
        <v>12.193</v>
      </c>
      <c r="AJ17" s="3">
        <v>79595</v>
      </c>
      <c r="AK17">
        <v>13.686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9.165408553144001</v>
      </c>
      <c r="AU17" s="17">
        <f t="shared" si="1"/>
        <v>14640.286002532672</v>
      </c>
      <c r="AW17" s="9">
        <f t="shared" ref="AW17:AW37" si="16">IF(H17&lt;10000,((H17^2*0.00000054)+(H17*-0.004765)+(12.72)),(IF(H17&lt;200000,((H17^2*-0.000000001577)+(H17*0.003043)+(-10.42)),(IF(H17&lt;8000000,((H17^2*-0.0000000000186)+(H17*0.00194)+(154.1)),((V17^2*-0.00000002)+(V17*0.2565)+(-1032)))))))</f>
        <v>3.2880521600000012</v>
      </c>
      <c r="AX17" s="10">
        <f t="shared" ref="AX17:AX37" si="17">IF(AJ17&lt;45000,((-0.0000004561*AJ17^2)+(0.244*AJ17)+(-21.72)),((-0.0000000409*AJ17^2)+(0.2477*AJ17)+(-1777)))</f>
        <v>17679.565111377498</v>
      </c>
      <c r="AZ17" s="11">
        <f t="shared" ref="AZ17:AZ37" si="18">IF(H17&lt;10000,((H17^2*0.00000005714)+(H17*0.002453)+(-3.811)),(IF(H17&lt;200000,((H17^2*-0.0000000002888)+(H17*0.002899)+(-4.321)),(IF(H17&lt;8000000,((H17^2*-0.0000000000062)+(H17*0.002143)+(157)),((V17^2*-0.000000031)+(V17*0.2771)+(-709.5)))))))</f>
        <v>4.0566685485600003</v>
      </c>
      <c r="BA17" s="12">
        <f t="shared" ref="BA17:BA37" si="19">IF(AJ17&lt;45000,((-0.0000000598*AJ17^2)+(0.205*AJ17)+(34.1)),((-0.00000002403*AJ17^2)+(0.2063*AJ17)+(-550.7)))</f>
        <v>15717.509702479252</v>
      </c>
      <c r="BC17" s="14">
        <f t="shared" ref="BC17:BC37" si="20">IF(H17&lt;10000,((H17^2*0.000000008493)+(H17*0.003482)+(-3.269)),(IF(H17&lt;200000,((H17^2*-0.000000000263)+(H17*0.002682)+(3.179)),(IF(H17&lt;8000000,((H17^2*-0.000000000005099)+(H17*0.002054)+(174.8)),((V17^2*-0.00000001014)+(V17*0.2415)+(1123)))))))</f>
        <v>7.2463711179720001</v>
      </c>
      <c r="BD17" s="15">
        <f t="shared" ref="BD17:BD37" si="21">IF(AJ17&lt;45000,((-0.00000004907*AJ17^2)+(0.2277*AJ17)+(-134)),((-0.00000001062*AJ17^2)+(0.2147*AJ17)+(590.6)))</f>
        <v>17612.364934054498</v>
      </c>
      <c r="BF17" s="16">
        <f t="shared" si="8"/>
        <v>9.165408553144001</v>
      </c>
      <c r="BG17" s="17">
        <f t="shared" si="9"/>
        <v>14640.286002532672</v>
      </c>
      <c r="BI17">
        <v>53</v>
      </c>
      <c r="BJ17" t="s">
        <v>43</v>
      </c>
      <c r="BK17" s="2">
        <v>46168.723101851851</v>
      </c>
      <c r="BL17">
        <v>349</v>
      </c>
      <c r="BM17" t="s">
        <v>13</v>
      </c>
      <c r="BN17">
        <v>0</v>
      </c>
      <c r="BO17">
        <v>2.879</v>
      </c>
      <c r="BP17" s="3">
        <v>721301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25">
      <c r="A18">
        <v>54</v>
      </c>
      <c r="B18" t="s">
        <v>44</v>
      </c>
      <c r="C18" s="2">
        <v>46168.744317129633</v>
      </c>
      <c r="D18">
        <v>127</v>
      </c>
      <c r="E18" t="s">
        <v>13</v>
      </c>
      <c r="F18">
        <v>0</v>
      </c>
      <c r="G18">
        <v>6.04</v>
      </c>
      <c r="H18" s="3">
        <v>175609</v>
      </c>
      <c r="I18">
        <v>0.35699999999999998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46168.744317129633</v>
      </c>
      <c r="R18">
        <v>127</v>
      </c>
      <c r="S18" t="s">
        <v>13</v>
      </c>
      <c r="T18">
        <v>0</v>
      </c>
      <c r="U18">
        <v>5.9829999999999997</v>
      </c>
      <c r="V18" s="3">
        <v>1397</v>
      </c>
      <c r="W18">
        <v>0.47399999999999998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46168.744317129633</v>
      </c>
      <c r="AF18">
        <v>127</v>
      </c>
      <c r="AG18" t="s">
        <v>13</v>
      </c>
      <c r="AH18">
        <v>0</v>
      </c>
      <c r="AI18">
        <v>12.282</v>
      </c>
      <c r="AJ18" s="3">
        <v>5562</v>
      </c>
      <c r="AK18">
        <v>1.0429999999999999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374.37800074039166</v>
      </c>
      <c r="AU18" s="17">
        <f t="shared" si="1"/>
        <v>1078.7205938567599</v>
      </c>
      <c r="AW18" s="9">
        <f t="shared" si="16"/>
        <v>475.32583957066299</v>
      </c>
      <c r="AX18" s="10">
        <f t="shared" si="17"/>
        <v>1321.2981615515998</v>
      </c>
      <c r="AZ18" s="11">
        <f t="shared" si="18"/>
        <v>495.86332616956724</v>
      </c>
      <c r="BA18" s="12">
        <f t="shared" si="19"/>
        <v>1172.4600365287999</v>
      </c>
      <c r="BC18" s="14">
        <f t="shared" si="20"/>
        <v>466.05180700829698</v>
      </c>
      <c r="BD18" s="15">
        <f t="shared" si="21"/>
        <v>1130.9493781349199</v>
      </c>
      <c r="BF18" s="16">
        <f t="shared" si="8"/>
        <v>374.37800074039166</v>
      </c>
      <c r="BG18" s="17">
        <f t="shared" si="9"/>
        <v>1078.7205938567599</v>
      </c>
      <c r="BI18">
        <v>54</v>
      </c>
      <c r="BJ18" t="s">
        <v>44</v>
      </c>
      <c r="BK18" s="2">
        <v>46168.744317129633</v>
      </c>
      <c r="BL18">
        <v>127</v>
      </c>
      <c r="BM18" t="s">
        <v>13</v>
      </c>
      <c r="BN18">
        <v>0</v>
      </c>
      <c r="BO18">
        <v>2.8839999999999999</v>
      </c>
      <c r="BP18" s="3">
        <v>676273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25">
      <c r="A19">
        <v>55</v>
      </c>
      <c r="B19" t="s">
        <v>45</v>
      </c>
      <c r="C19" s="2">
        <v>46168.765520833331</v>
      </c>
      <c r="D19">
        <v>411</v>
      </c>
      <c r="E19" t="s">
        <v>13</v>
      </c>
      <c r="F19">
        <v>0</v>
      </c>
      <c r="G19">
        <v>6.077</v>
      </c>
      <c r="H19" s="3">
        <v>1736</v>
      </c>
      <c r="I19">
        <v>4.0000000000000001E-3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46168.765520833331</v>
      </c>
      <c r="R19">
        <v>411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46168.765520833331</v>
      </c>
      <c r="AF19">
        <v>411</v>
      </c>
      <c r="AG19" t="s">
        <v>13</v>
      </c>
      <c r="AH19">
        <v>0</v>
      </c>
      <c r="AI19">
        <v>12.260999999999999</v>
      </c>
      <c r="AJ19" s="3">
        <v>24639</v>
      </c>
      <c r="AK19">
        <v>4.3019999999999996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5.900087133056001</v>
      </c>
      <c r="AU19" s="17">
        <f t="shared" si="1"/>
        <v>4641.9397046885897</v>
      </c>
      <c r="AW19" s="9">
        <f t="shared" si="16"/>
        <v>6.0753558400000003</v>
      </c>
      <c r="AX19" s="10">
        <f t="shared" si="17"/>
        <v>5713.3066655919001</v>
      </c>
      <c r="AZ19" s="11">
        <f t="shared" si="18"/>
        <v>0.61961058944000058</v>
      </c>
      <c r="BA19" s="12">
        <f t="shared" si="19"/>
        <v>5048.7915968041998</v>
      </c>
      <c r="BC19" s="14">
        <f t="shared" si="20"/>
        <v>2.8013473201279995</v>
      </c>
      <c r="BD19" s="15">
        <f t="shared" si="21"/>
        <v>5446.51086864853</v>
      </c>
      <c r="BF19" s="16">
        <f t="shared" si="8"/>
        <v>5.900087133056001</v>
      </c>
      <c r="BG19" s="17">
        <f t="shared" si="9"/>
        <v>4641.9397046885897</v>
      </c>
      <c r="BI19">
        <v>55</v>
      </c>
      <c r="BJ19" t="s">
        <v>45</v>
      </c>
      <c r="BK19" s="2">
        <v>46168.765520833331</v>
      </c>
      <c r="BL19">
        <v>411</v>
      </c>
      <c r="BM19" t="s">
        <v>13</v>
      </c>
      <c r="BN19">
        <v>0</v>
      </c>
      <c r="BO19">
        <v>2.8809999999999998</v>
      </c>
      <c r="BP19" s="3">
        <v>689462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25">
      <c r="A20">
        <v>56</v>
      </c>
      <c r="B20" t="s">
        <v>46</v>
      </c>
      <c r="C20" s="2">
        <v>46168.786736111113</v>
      </c>
      <c r="D20">
        <v>105</v>
      </c>
      <c r="E20" t="s">
        <v>13</v>
      </c>
      <c r="F20">
        <v>0</v>
      </c>
      <c r="G20">
        <v>6.05</v>
      </c>
      <c r="H20" s="3">
        <v>15664</v>
      </c>
      <c r="I20">
        <v>3.2000000000000001E-2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46168.786736111113</v>
      </c>
      <c r="R20">
        <v>105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46168.786736111113</v>
      </c>
      <c r="AF20">
        <v>105</v>
      </c>
      <c r="AG20" t="s">
        <v>13</v>
      </c>
      <c r="AH20">
        <v>0</v>
      </c>
      <c r="AI20">
        <v>12.269</v>
      </c>
      <c r="AJ20" s="3">
        <v>23000</v>
      </c>
      <c r="AK20">
        <v>4.0220000000000002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37.213166158745601</v>
      </c>
      <c r="AU20" s="17">
        <f t="shared" si="1"/>
        <v>4334.7829100000008</v>
      </c>
      <c r="AW20" s="9">
        <f t="shared" si="16"/>
        <v>36.858617867008</v>
      </c>
      <c r="AX20" s="10">
        <f t="shared" si="17"/>
        <v>5349.0030999999999</v>
      </c>
      <c r="AZ20" s="11">
        <f t="shared" si="18"/>
        <v>41.018075773235203</v>
      </c>
      <c r="BA20" s="12">
        <f t="shared" si="19"/>
        <v>4717.4657999999999</v>
      </c>
      <c r="BC20" s="14">
        <f t="shared" si="20"/>
        <v>45.125318084351996</v>
      </c>
      <c r="BD20" s="15">
        <f t="shared" si="21"/>
        <v>5077.1419700000006</v>
      </c>
      <c r="BF20" s="16">
        <f t="shared" si="8"/>
        <v>37.213166158745601</v>
      </c>
      <c r="BG20" s="17">
        <f t="shared" si="9"/>
        <v>4334.7829100000008</v>
      </c>
      <c r="BI20">
        <v>56</v>
      </c>
      <c r="BJ20" t="s">
        <v>46</v>
      </c>
      <c r="BK20" s="2">
        <v>46168.786736111113</v>
      </c>
      <c r="BL20">
        <v>105</v>
      </c>
      <c r="BM20" t="s">
        <v>13</v>
      </c>
      <c r="BN20">
        <v>0</v>
      </c>
      <c r="BO20">
        <v>2.8929999999999998</v>
      </c>
      <c r="BP20" s="3">
        <v>623850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25">
      <c r="A21">
        <v>57</v>
      </c>
      <c r="B21" t="s">
        <v>47</v>
      </c>
      <c r="C21" s="2">
        <v>46168.807951388888</v>
      </c>
      <c r="D21">
        <v>129</v>
      </c>
      <c r="E21" t="s">
        <v>13</v>
      </c>
      <c r="F21">
        <v>0</v>
      </c>
      <c r="G21">
        <v>6.0650000000000004</v>
      </c>
      <c r="H21" s="3">
        <v>3040</v>
      </c>
      <c r="I21">
        <v>6.0000000000000001E-3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46168.807951388888</v>
      </c>
      <c r="R21">
        <v>129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46168.807951388888</v>
      </c>
      <c r="AF21">
        <v>129</v>
      </c>
      <c r="AG21" t="s">
        <v>13</v>
      </c>
      <c r="AH21">
        <v>0</v>
      </c>
      <c r="AI21">
        <v>12.207000000000001</v>
      </c>
      <c r="AJ21" s="3">
        <v>79020</v>
      </c>
      <c r="AK21">
        <v>13.587999999999999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9.2738766976000004</v>
      </c>
      <c r="AU21" s="17">
        <f t="shared" si="1"/>
        <v>14546.122793777158</v>
      </c>
      <c r="AW21" s="9">
        <f t="shared" si="16"/>
        <v>3.224864000000002</v>
      </c>
      <c r="AX21" s="10">
        <f t="shared" si="17"/>
        <v>17540.867839639999</v>
      </c>
      <c r="AZ21" s="11">
        <f t="shared" si="18"/>
        <v>4.1741850239999998</v>
      </c>
      <c r="BA21" s="12">
        <f t="shared" si="19"/>
        <v>15601.078825588</v>
      </c>
      <c r="BC21" s="14">
        <f t="shared" si="20"/>
        <v>7.3947689087999997</v>
      </c>
      <c r="BD21" s="15">
        <f t="shared" si="21"/>
        <v>17489.881016552001</v>
      </c>
      <c r="BF21" s="16">
        <f t="shared" si="8"/>
        <v>9.2738766976000004</v>
      </c>
      <c r="BG21" s="17">
        <f t="shared" si="9"/>
        <v>14546.122793777158</v>
      </c>
      <c r="BI21">
        <v>57</v>
      </c>
      <c r="BJ21" t="s">
        <v>47</v>
      </c>
      <c r="BK21" s="2">
        <v>46168.807951388888</v>
      </c>
      <c r="BL21">
        <v>129</v>
      </c>
      <c r="BM21" t="s">
        <v>13</v>
      </c>
      <c r="BN21">
        <v>0</v>
      </c>
      <c r="BO21">
        <v>2.8780000000000001</v>
      </c>
      <c r="BP21" s="3">
        <v>897557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25">
      <c r="A22">
        <v>58</v>
      </c>
      <c r="B22" t="s">
        <v>48</v>
      </c>
      <c r="C22" s="2">
        <v>46168.82916666667</v>
      </c>
      <c r="D22">
        <v>255</v>
      </c>
      <c r="E22" t="s">
        <v>13</v>
      </c>
      <c r="F22">
        <v>0</v>
      </c>
      <c r="G22">
        <v>6.0389999999999997</v>
      </c>
      <c r="H22" s="3">
        <v>94445</v>
      </c>
      <c r="I22">
        <v>0.192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46168.82916666667</v>
      </c>
      <c r="R22">
        <v>255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46168.82916666667</v>
      </c>
      <c r="AF22">
        <v>255</v>
      </c>
      <c r="AG22" t="s">
        <v>13</v>
      </c>
      <c r="AH22">
        <v>0</v>
      </c>
      <c r="AI22">
        <v>12.352</v>
      </c>
      <c r="AJ22">
        <v>11</v>
      </c>
      <c r="AK22">
        <v>9.4E-2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205.69066543939002</v>
      </c>
      <c r="AU22" s="17">
        <f t="shared" si="1"/>
        <v>46.792704330589999</v>
      </c>
      <c r="AW22" s="9">
        <f t="shared" si="16"/>
        <v>262.909518894575</v>
      </c>
      <c r="AX22" s="10">
        <f t="shared" si="17"/>
        <v>-19.036055188100001</v>
      </c>
      <c r="AZ22" s="11">
        <f t="shared" si="18"/>
        <v>266.89900000237998</v>
      </c>
      <c r="BA22" s="12">
        <f t="shared" si="19"/>
        <v>36.354992764199999</v>
      </c>
      <c r="BC22" s="14">
        <f t="shared" si="20"/>
        <v>254.13456733942499</v>
      </c>
      <c r="BD22" s="15">
        <f t="shared" si="21"/>
        <v>-131.49530593746999</v>
      </c>
      <c r="BF22" s="16">
        <f t="shared" si="8"/>
        <v>205.69066543939002</v>
      </c>
      <c r="BG22" s="17">
        <f t="shared" si="9"/>
        <v>46.792704330589999</v>
      </c>
      <c r="BI22">
        <v>58</v>
      </c>
      <c r="BJ22" t="s">
        <v>48</v>
      </c>
      <c r="BK22" s="2">
        <v>46168.82916666667</v>
      </c>
      <c r="BL22">
        <v>255</v>
      </c>
      <c r="BM22" t="s">
        <v>13</v>
      </c>
      <c r="BN22">
        <v>0</v>
      </c>
      <c r="BO22">
        <v>2.879</v>
      </c>
      <c r="BP22" s="3">
        <v>748838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25">
      <c r="A23">
        <v>59</v>
      </c>
      <c r="B23" t="s">
        <v>49</v>
      </c>
      <c r="C23" s="2">
        <v>46168.850393518522</v>
      </c>
      <c r="D23">
        <v>339</v>
      </c>
      <c r="E23" t="s">
        <v>13</v>
      </c>
      <c r="F23">
        <v>0</v>
      </c>
      <c r="G23">
        <v>6.0419999999999998</v>
      </c>
      <c r="H23" s="3">
        <v>16523</v>
      </c>
      <c r="I23">
        <v>3.4000000000000002E-2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46168.850393518522</v>
      </c>
      <c r="R23">
        <v>339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46168.850393518522</v>
      </c>
      <c r="AF23">
        <v>339</v>
      </c>
      <c r="AG23" t="s">
        <v>13</v>
      </c>
      <c r="AH23">
        <v>0</v>
      </c>
      <c r="AI23">
        <v>12.259</v>
      </c>
      <c r="AJ23" s="3">
        <v>23223</v>
      </c>
      <c r="AK23">
        <v>4.0599999999999996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39.0753792132844</v>
      </c>
      <c r="AU23" s="17">
        <f t="shared" si="1"/>
        <v>4376.5629236209097</v>
      </c>
      <c r="AW23" s="9">
        <f t="shared" si="16"/>
        <v>39.428952972767</v>
      </c>
      <c r="AX23" s="10">
        <f t="shared" si="17"/>
        <v>5398.7137448030999</v>
      </c>
      <c r="AZ23" s="11">
        <f t="shared" si="18"/>
        <v>43.5003318480248</v>
      </c>
      <c r="BA23" s="12">
        <f t="shared" si="19"/>
        <v>4762.5643978058006</v>
      </c>
      <c r="BC23" s="14">
        <f t="shared" si="20"/>
        <v>47.421884493873002</v>
      </c>
      <c r="BD23" s="15">
        <f t="shared" si="21"/>
        <v>5127.4132697379709</v>
      </c>
      <c r="BF23" s="16">
        <f t="shared" si="8"/>
        <v>39.0753792132844</v>
      </c>
      <c r="BG23" s="17">
        <f t="shared" si="9"/>
        <v>4376.5629236209097</v>
      </c>
      <c r="BI23">
        <v>59</v>
      </c>
      <c r="BJ23" t="s">
        <v>49</v>
      </c>
      <c r="BK23" s="2">
        <v>46168.850393518522</v>
      </c>
      <c r="BL23">
        <v>339</v>
      </c>
      <c r="BM23" t="s">
        <v>13</v>
      </c>
      <c r="BN23">
        <v>0</v>
      </c>
      <c r="BO23">
        <v>2.883</v>
      </c>
      <c r="BP23" s="3">
        <v>669565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25">
      <c r="A24">
        <v>60</v>
      </c>
      <c r="B24" t="s">
        <v>50</v>
      </c>
      <c r="C24" s="2">
        <v>46168.871562499997</v>
      </c>
      <c r="D24">
        <v>27</v>
      </c>
      <c r="E24" t="s">
        <v>13</v>
      </c>
      <c r="F24">
        <v>0</v>
      </c>
      <c r="G24">
        <v>6.0670000000000002</v>
      </c>
      <c r="H24" s="3">
        <v>2423</v>
      </c>
      <c r="I24">
        <v>5.0000000000000001E-3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46168.871562499997</v>
      </c>
      <c r="R24">
        <v>27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46168.871562499997</v>
      </c>
      <c r="AF24">
        <v>27</v>
      </c>
      <c r="AG24" t="s">
        <v>13</v>
      </c>
      <c r="AH24">
        <v>0</v>
      </c>
      <c r="AI24">
        <v>12.212999999999999</v>
      </c>
      <c r="AJ24" s="3">
        <v>62883</v>
      </c>
      <c r="AK24">
        <v>10.833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7.6791103696940004</v>
      </c>
      <c r="AU24" s="17">
        <f t="shared" si="1"/>
        <v>11904.109406838817</v>
      </c>
      <c r="AW24" s="9">
        <f t="shared" si="16"/>
        <v>4.3447066599999999</v>
      </c>
      <c r="AX24" s="10">
        <f t="shared" si="17"/>
        <v>13637.3893879199</v>
      </c>
      <c r="AZ24" s="11">
        <f t="shared" si="18"/>
        <v>2.4680838830600003</v>
      </c>
      <c r="BA24" s="12">
        <f t="shared" si="19"/>
        <v>12327.041751313331</v>
      </c>
      <c r="BC24" s="14">
        <f t="shared" si="20"/>
        <v>5.2177477999969994</v>
      </c>
      <c r="BD24" s="15">
        <f t="shared" si="21"/>
        <v>14049.585734662822</v>
      </c>
      <c r="BF24" s="16">
        <f t="shared" si="8"/>
        <v>7.6791103696940004</v>
      </c>
      <c r="BG24" s="17">
        <f t="shared" si="9"/>
        <v>11904.109406838817</v>
      </c>
      <c r="BI24">
        <v>60</v>
      </c>
      <c r="BJ24" t="s">
        <v>50</v>
      </c>
      <c r="BK24" s="2">
        <v>46168.871562499997</v>
      </c>
      <c r="BL24">
        <v>27</v>
      </c>
      <c r="BM24" t="s">
        <v>13</v>
      </c>
      <c r="BN24">
        <v>0</v>
      </c>
      <c r="BO24">
        <v>2.8809999999999998</v>
      </c>
      <c r="BP24" s="3">
        <v>673355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25">
      <c r="A25">
        <v>61</v>
      </c>
      <c r="B25" t="s">
        <v>51</v>
      </c>
      <c r="C25" s="2">
        <v>46168.892777777779</v>
      </c>
      <c r="D25">
        <v>33</v>
      </c>
      <c r="E25" t="s">
        <v>13</v>
      </c>
      <c r="F25">
        <v>0</v>
      </c>
      <c r="G25">
        <v>6.0759999999999996</v>
      </c>
      <c r="H25" s="3">
        <v>1394</v>
      </c>
      <c r="I25">
        <v>3.0000000000000001E-3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46168.892777777779</v>
      </c>
      <c r="R25">
        <v>33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46168.892777777779</v>
      </c>
      <c r="AF25">
        <v>33</v>
      </c>
      <c r="AG25" t="s">
        <v>13</v>
      </c>
      <c r="AH25">
        <v>0</v>
      </c>
      <c r="AI25">
        <v>12.255000000000001</v>
      </c>
      <c r="AJ25" s="3">
        <v>26844</v>
      </c>
      <c r="AK25">
        <v>4.6779999999999999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5.0131528214959999</v>
      </c>
      <c r="AU25" s="17">
        <f t="shared" si="1"/>
        <v>5055.4710860254399</v>
      </c>
      <c r="AW25" s="9">
        <f t="shared" si="16"/>
        <v>7.1269374400000007</v>
      </c>
      <c r="AX25" s="10">
        <f t="shared" si="17"/>
        <v>6199.550186750399</v>
      </c>
      <c r="AZ25" s="11">
        <f t="shared" si="18"/>
        <v>-0.28048149496000008</v>
      </c>
      <c r="BA25" s="12">
        <f t="shared" si="19"/>
        <v>5494.0280999072002</v>
      </c>
      <c r="BC25" s="14">
        <f t="shared" si="20"/>
        <v>1.6014119033479997</v>
      </c>
      <c r="BD25" s="15">
        <f t="shared" si="21"/>
        <v>5943.0189415124805</v>
      </c>
      <c r="BF25" s="16">
        <f t="shared" si="8"/>
        <v>5.0131528214959999</v>
      </c>
      <c r="BG25" s="17">
        <f t="shared" si="9"/>
        <v>5055.4710860254399</v>
      </c>
      <c r="BI25">
        <v>61</v>
      </c>
      <c r="BJ25" t="s">
        <v>51</v>
      </c>
      <c r="BK25" s="2">
        <v>46168.892777777779</v>
      </c>
      <c r="BL25">
        <v>33</v>
      </c>
      <c r="BM25" t="s">
        <v>13</v>
      </c>
      <c r="BN25">
        <v>0</v>
      </c>
      <c r="BO25">
        <v>2.8809999999999998</v>
      </c>
      <c r="BP25" s="3">
        <v>687025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25">
      <c r="A26">
        <v>62</v>
      </c>
      <c r="B26" t="s">
        <v>52</v>
      </c>
      <c r="C26" s="2">
        <v>46168.913981481484</v>
      </c>
      <c r="D26">
        <v>218</v>
      </c>
      <c r="E26" t="s">
        <v>13</v>
      </c>
      <c r="F26">
        <v>0</v>
      </c>
      <c r="G26">
        <v>6.0579999999999998</v>
      </c>
      <c r="H26" s="3">
        <v>2896</v>
      </c>
      <c r="I26">
        <v>6.0000000000000001E-3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46168.913981481484</v>
      </c>
      <c r="R26">
        <v>218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46168.913981481484</v>
      </c>
      <c r="AF26">
        <v>218</v>
      </c>
      <c r="AG26" t="s">
        <v>13</v>
      </c>
      <c r="AH26">
        <v>0</v>
      </c>
      <c r="AI26">
        <v>12.195</v>
      </c>
      <c r="AJ26" s="3">
        <v>81584</v>
      </c>
      <c r="AK26">
        <v>14.026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8.9019313653759991</v>
      </c>
      <c r="AU26" s="17">
        <f t="shared" si="1"/>
        <v>14966.020466099941</v>
      </c>
      <c r="AW26" s="9">
        <f t="shared" si="16"/>
        <v>3.4494406400000006</v>
      </c>
      <c r="AX26" s="10">
        <f t="shared" si="17"/>
        <v>18159.128483609602</v>
      </c>
      <c r="AZ26" s="11">
        <f t="shared" si="18"/>
        <v>3.7721106662399997</v>
      </c>
      <c r="BA26" s="12">
        <f t="shared" si="19"/>
        <v>16120.136744184321</v>
      </c>
      <c r="BC26" s="14">
        <f t="shared" si="20"/>
        <v>6.8861012282880001</v>
      </c>
      <c r="BD26" s="15">
        <f t="shared" si="21"/>
        <v>18035.998621025279</v>
      </c>
      <c r="BF26" s="16">
        <f t="shared" si="8"/>
        <v>8.9019313653759991</v>
      </c>
      <c r="BG26" s="17">
        <f t="shared" si="9"/>
        <v>14966.020466099941</v>
      </c>
      <c r="BI26">
        <v>62</v>
      </c>
      <c r="BJ26" t="s">
        <v>52</v>
      </c>
      <c r="BK26" s="2">
        <v>46168.913981481484</v>
      </c>
      <c r="BL26">
        <v>218</v>
      </c>
      <c r="BM26" t="s">
        <v>13</v>
      </c>
      <c r="BN26">
        <v>0</v>
      </c>
      <c r="BO26">
        <v>2.87</v>
      </c>
      <c r="BP26" s="3">
        <v>897682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25">
      <c r="A27">
        <v>63</v>
      </c>
      <c r="B27" t="s">
        <v>53</v>
      </c>
      <c r="C27" s="2">
        <v>46168.935185185182</v>
      </c>
      <c r="D27">
        <v>346</v>
      </c>
      <c r="E27" t="s">
        <v>13</v>
      </c>
      <c r="F27">
        <v>0</v>
      </c>
      <c r="G27">
        <v>6.0439999999999996</v>
      </c>
      <c r="H27" s="3">
        <v>548773</v>
      </c>
      <c r="I27">
        <v>1.115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46168.935185185182</v>
      </c>
      <c r="R27">
        <v>346</v>
      </c>
      <c r="S27" t="s">
        <v>13</v>
      </c>
      <c r="T27">
        <v>0</v>
      </c>
      <c r="U27">
        <v>5.992</v>
      </c>
      <c r="V27" s="3">
        <v>4432</v>
      </c>
      <c r="W27">
        <v>1.163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46168.935185185182</v>
      </c>
      <c r="AF27">
        <v>346</v>
      </c>
      <c r="AG27" t="s">
        <v>13</v>
      </c>
      <c r="AH27">
        <v>0</v>
      </c>
      <c r="AI27">
        <v>12.225</v>
      </c>
      <c r="AJ27" s="3">
        <v>49676</v>
      </c>
      <c r="AK27">
        <v>8.5779999999999994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1141.2506326297084</v>
      </c>
      <c r="AU27" s="17">
        <f t="shared" si="1"/>
        <v>9742.6919236897102</v>
      </c>
      <c r="AW27" s="9">
        <f t="shared" si="16"/>
        <v>1213.1181964171608</v>
      </c>
      <c r="AX27" s="10">
        <f t="shared" si="17"/>
        <v>10426.816066481599</v>
      </c>
      <c r="AZ27" s="11">
        <f t="shared" si="18"/>
        <v>1331.15339780572</v>
      </c>
      <c r="BA27" s="12">
        <f t="shared" si="19"/>
        <v>9638.15984942672</v>
      </c>
      <c r="BC27" s="14">
        <f t="shared" si="20"/>
        <v>1300.4441689436073</v>
      </c>
      <c r="BD27" s="15">
        <f t="shared" si="21"/>
        <v>11229.83017315488</v>
      </c>
      <c r="BF27" s="16">
        <f t="shared" si="8"/>
        <v>1141.2506326297084</v>
      </c>
      <c r="BG27" s="17">
        <f t="shared" si="9"/>
        <v>9742.6919236897102</v>
      </c>
      <c r="BI27">
        <v>63</v>
      </c>
      <c r="BJ27" t="s">
        <v>53</v>
      </c>
      <c r="BK27" s="2">
        <v>46168.935185185182</v>
      </c>
      <c r="BL27">
        <v>346</v>
      </c>
      <c r="BM27" t="s">
        <v>13</v>
      </c>
      <c r="BN27">
        <v>0</v>
      </c>
      <c r="BO27">
        <v>2.8780000000000001</v>
      </c>
      <c r="BP27" s="3">
        <v>842917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25">
      <c r="A28">
        <v>64</v>
      </c>
      <c r="B28" t="s">
        <v>54</v>
      </c>
      <c r="C28" s="2">
        <v>46168.956388888888</v>
      </c>
      <c r="D28">
        <v>249</v>
      </c>
      <c r="E28" t="s">
        <v>13</v>
      </c>
      <c r="F28">
        <v>0</v>
      </c>
      <c r="G28">
        <v>6.0460000000000003</v>
      </c>
      <c r="H28" s="3">
        <v>178860</v>
      </c>
      <c r="I28">
        <v>0.36299999999999999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46168.956388888888</v>
      </c>
      <c r="R28">
        <v>249</v>
      </c>
      <c r="S28" t="s">
        <v>13</v>
      </c>
      <c r="T28">
        <v>0</v>
      </c>
      <c r="U28">
        <v>5.9989999999999997</v>
      </c>
      <c r="V28" s="3">
        <v>1534</v>
      </c>
      <c r="W28">
        <v>0.505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46168.956388888888</v>
      </c>
      <c r="AF28">
        <v>249</v>
      </c>
      <c r="AG28" t="s">
        <v>13</v>
      </c>
      <c r="AH28">
        <v>0</v>
      </c>
      <c r="AI28">
        <v>12.292999999999999</v>
      </c>
      <c r="AJ28" s="3">
        <v>5506</v>
      </c>
      <c r="AK28">
        <v>1.0329999999999999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381.03142539056</v>
      </c>
      <c r="AU28" s="17">
        <f t="shared" si="1"/>
        <v>1068.2992109284401</v>
      </c>
      <c r="AW28" s="9">
        <f t="shared" si="16"/>
        <v>483.40133133080002</v>
      </c>
      <c r="AX28" s="10">
        <f t="shared" si="17"/>
        <v>1307.9168559804</v>
      </c>
      <c r="AZ28" s="11">
        <f t="shared" si="18"/>
        <v>504.95516819551995</v>
      </c>
      <c r="BA28" s="12">
        <f t="shared" si="19"/>
        <v>1161.0171010472</v>
      </c>
      <c r="BC28" s="14">
        <f t="shared" si="20"/>
        <v>474.46791340519997</v>
      </c>
      <c r="BD28" s="15">
        <f t="shared" si="21"/>
        <v>1118.2285921134801</v>
      </c>
      <c r="BF28" s="16">
        <f t="shared" si="8"/>
        <v>381.03142539056</v>
      </c>
      <c r="BG28" s="17">
        <f t="shared" si="9"/>
        <v>1068.2992109284401</v>
      </c>
      <c r="BI28">
        <v>64</v>
      </c>
      <c r="BJ28" t="s">
        <v>54</v>
      </c>
      <c r="BK28" s="2">
        <v>46168.956388888888</v>
      </c>
      <c r="BL28">
        <v>249</v>
      </c>
      <c r="BM28" t="s">
        <v>13</v>
      </c>
      <c r="BN28">
        <v>0</v>
      </c>
      <c r="BO28">
        <v>2.887</v>
      </c>
      <c r="BP28" s="3">
        <v>741146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25">
      <c r="A29">
        <v>65</v>
      </c>
      <c r="B29" t="s">
        <v>55</v>
      </c>
      <c r="C29" s="2">
        <v>46168.977592592593</v>
      </c>
      <c r="D29">
        <v>357</v>
      </c>
      <c r="E29" t="s">
        <v>13</v>
      </c>
      <c r="F29">
        <v>0</v>
      </c>
      <c r="G29">
        <v>6.0570000000000004</v>
      </c>
      <c r="H29" s="3">
        <v>3044</v>
      </c>
      <c r="I29">
        <v>6.0000000000000001E-3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46168.977592592593</v>
      </c>
      <c r="R29">
        <v>357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46168.977592592593</v>
      </c>
      <c r="AF29">
        <v>357</v>
      </c>
      <c r="AG29" t="s">
        <v>13</v>
      </c>
      <c r="AH29">
        <v>0</v>
      </c>
      <c r="AI29">
        <v>12.196999999999999</v>
      </c>
      <c r="AJ29" s="3">
        <v>81959</v>
      </c>
      <c r="AK29" s="13">
        <v>14.09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9.284206313696</v>
      </c>
      <c r="AU29" s="17">
        <f t="shared" si="1"/>
        <v>15027.435473217954</v>
      </c>
      <c r="AW29" s="9">
        <f t="shared" si="16"/>
        <v>3.2189454400000006</v>
      </c>
      <c r="AX29" s="10">
        <f t="shared" si="17"/>
        <v>18249.5076428471</v>
      </c>
      <c r="AZ29" s="11">
        <f t="shared" si="18"/>
        <v>4.1853875830399998</v>
      </c>
      <c r="BA29" s="12">
        <f t="shared" si="19"/>
        <v>16196.025517325568</v>
      </c>
      <c r="BC29" s="14">
        <f t="shared" si="20"/>
        <v>7.4089035944479988</v>
      </c>
      <c r="BD29" s="15">
        <f t="shared" si="21"/>
        <v>18115.859811027778</v>
      </c>
      <c r="BF29" s="16">
        <f t="shared" si="8"/>
        <v>9.284206313696</v>
      </c>
      <c r="BG29" s="17">
        <f t="shared" si="9"/>
        <v>15027.435473217954</v>
      </c>
      <c r="BI29">
        <v>65</v>
      </c>
      <c r="BJ29" t="s">
        <v>55</v>
      </c>
      <c r="BK29" s="2">
        <v>46168.977592592593</v>
      </c>
      <c r="BL29">
        <v>357</v>
      </c>
      <c r="BM29" t="s">
        <v>13</v>
      </c>
      <c r="BN29">
        <v>0</v>
      </c>
      <c r="BO29">
        <v>2.8719999999999999</v>
      </c>
      <c r="BP29" s="3">
        <v>857395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25">
      <c r="A30">
        <v>66</v>
      </c>
      <c r="B30" t="s">
        <v>56</v>
      </c>
      <c r="C30" s="2">
        <v>46168.998819444445</v>
      </c>
      <c r="D30">
        <v>196</v>
      </c>
      <c r="E30" t="s">
        <v>13</v>
      </c>
      <c r="F30">
        <v>0</v>
      </c>
      <c r="G30">
        <v>6.0410000000000004</v>
      </c>
      <c r="H30" s="3">
        <v>30485</v>
      </c>
      <c r="I30">
        <v>6.2E-2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46168.998819444445</v>
      </c>
      <c r="R30">
        <v>196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46168.998819444445</v>
      </c>
      <c r="AF30">
        <v>196</v>
      </c>
      <c r="AG30" t="s">
        <v>13</v>
      </c>
      <c r="AH30">
        <v>0</v>
      </c>
      <c r="AI30">
        <v>12.265000000000001</v>
      </c>
      <c r="AJ30" s="3">
        <v>19013</v>
      </c>
      <c r="AK30">
        <v>3.3410000000000002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ref="AT30:AT37" si="22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69.265498221310011</v>
      </c>
      <c r="AU30" s="17">
        <f t="shared" ref="AU30:AU37" si="23">IF($AJ30&lt;45000,((0.00000003579*$AJ30^2)+(0.1857*$AJ30)+(44.75)),((0.0000000022829*$AJ30^2)+(0.1634*$AJ30)+(1620)))</f>
        <v>3588.4019763085103</v>
      </c>
      <c r="AW30" s="9">
        <f t="shared" si="16"/>
        <v>80.880293350174995</v>
      </c>
      <c r="AX30" s="10">
        <f t="shared" si="17"/>
        <v>4452.5745095190996</v>
      </c>
      <c r="AZ30" s="11">
        <f t="shared" si="18"/>
        <v>83.78662298702001</v>
      </c>
      <c r="BA30" s="12">
        <f t="shared" si="19"/>
        <v>3910.1476486938</v>
      </c>
      <c r="BC30" s="14">
        <f t="shared" si="20"/>
        <v>84.695354835825</v>
      </c>
      <c r="BD30" s="15">
        <f t="shared" si="21"/>
        <v>4177.5215811271701</v>
      </c>
      <c r="BF30" s="16">
        <f t="shared" ref="BF30:BF37" si="24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69.265498221310011</v>
      </c>
      <c r="BG30" s="17">
        <f t="shared" ref="BG30:BG37" si="25">IF($AJ30&lt;45000,((0.00000003579*$AJ30^2)+(0.1857*$AJ30)+(44.75)),((0.0000000022829*$AJ30^2)+(0.1634*$AJ30)+(1620)))</f>
        <v>3588.4019763085103</v>
      </c>
      <c r="BI30">
        <v>66</v>
      </c>
      <c r="BJ30" t="s">
        <v>56</v>
      </c>
      <c r="BK30" s="2">
        <v>46168.998819444445</v>
      </c>
      <c r="BL30">
        <v>196</v>
      </c>
      <c r="BM30" t="s">
        <v>13</v>
      </c>
      <c r="BN30">
        <v>0</v>
      </c>
      <c r="BO30">
        <v>2.8780000000000001</v>
      </c>
      <c r="BP30" s="3">
        <v>755691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25">
      <c r="A31">
        <v>67</v>
      </c>
      <c r="B31" t="s">
        <v>57</v>
      </c>
      <c r="C31" s="2">
        <v>46169.020011574074</v>
      </c>
      <c r="D31">
        <v>396</v>
      </c>
      <c r="E31" t="s">
        <v>13</v>
      </c>
      <c r="F31">
        <v>0</v>
      </c>
      <c r="G31">
        <v>6.0469999999999997</v>
      </c>
      <c r="H31" s="3">
        <v>92541</v>
      </c>
      <c r="I31">
        <v>0.188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46169.020011574074</v>
      </c>
      <c r="R31">
        <v>396</v>
      </c>
      <c r="S31" t="s">
        <v>13</v>
      </c>
      <c r="T31">
        <v>0</v>
      </c>
      <c r="U31">
        <v>5.9989999999999997</v>
      </c>
      <c r="V31">
        <v>740</v>
      </c>
      <c r="W31">
        <v>0.32400000000000001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46169.020011574074</v>
      </c>
      <c r="AF31">
        <v>396</v>
      </c>
      <c r="AG31" t="s">
        <v>13</v>
      </c>
      <c r="AH31">
        <v>0</v>
      </c>
      <c r="AI31">
        <v>12.557</v>
      </c>
      <c r="AJ31" s="3">
        <v>75</v>
      </c>
      <c r="AK31">
        <v>0.105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22"/>
        <v>201.67395187327159</v>
      </c>
      <c r="AU31" s="17">
        <f t="shared" si="23"/>
        <v>58.677701318749996</v>
      </c>
      <c r="AW31" s="9">
        <f t="shared" si="16"/>
        <v>257.67709255406299</v>
      </c>
      <c r="AX31" s="10">
        <f t="shared" si="17"/>
        <v>-3.4225655624999973</v>
      </c>
      <c r="AZ31" s="11">
        <f t="shared" si="18"/>
        <v>261.48212296652719</v>
      </c>
      <c r="BA31" s="12">
        <f t="shared" si="19"/>
        <v>49.474663624999998</v>
      </c>
      <c r="BC31" s="14">
        <f t="shared" si="20"/>
        <v>249.121672952897</v>
      </c>
      <c r="BD31" s="15">
        <f t="shared" si="21"/>
        <v>-116.92277601875</v>
      </c>
      <c r="BF31" s="16">
        <f t="shared" si="24"/>
        <v>201.67395187327159</v>
      </c>
      <c r="BG31" s="17">
        <f t="shared" si="25"/>
        <v>58.677701318749996</v>
      </c>
      <c r="BI31">
        <v>67</v>
      </c>
      <c r="BJ31" t="s">
        <v>57</v>
      </c>
      <c r="BK31" s="2">
        <v>46169.020011574074</v>
      </c>
      <c r="BL31">
        <v>396</v>
      </c>
      <c r="BM31" t="s">
        <v>13</v>
      </c>
      <c r="BN31">
        <v>0</v>
      </c>
      <c r="BO31">
        <v>2.8879999999999999</v>
      </c>
      <c r="BP31" s="3">
        <v>732010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25">
      <c r="A32">
        <v>68</v>
      </c>
      <c r="B32" t="s">
        <v>58</v>
      </c>
      <c r="C32" s="2">
        <v>46169.041215277779</v>
      </c>
      <c r="D32">
        <v>154</v>
      </c>
      <c r="E32" t="s">
        <v>13</v>
      </c>
      <c r="F32">
        <v>0</v>
      </c>
      <c r="G32">
        <v>6.0419999999999998</v>
      </c>
      <c r="H32" s="3">
        <v>88894</v>
      </c>
      <c r="I32">
        <v>0.18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46169.041215277779</v>
      </c>
      <c r="R32">
        <v>154</v>
      </c>
      <c r="S32" t="s">
        <v>13</v>
      </c>
      <c r="T32">
        <v>0</v>
      </c>
      <c r="U32">
        <v>5.9880000000000004</v>
      </c>
      <c r="V32" s="3">
        <v>492</v>
      </c>
      <c r="W32">
        <v>0.26800000000000002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46169.041215277779</v>
      </c>
      <c r="AF32">
        <v>154</v>
      </c>
      <c r="AG32" t="s">
        <v>13</v>
      </c>
      <c r="AH32">
        <v>0</v>
      </c>
      <c r="AI32">
        <v>12.339</v>
      </c>
      <c r="AJ32" s="3">
        <v>29</v>
      </c>
      <c r="AK32">
        <v>9.7000000000000003E-2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22"/>
        <v>193.97255328596961</v>
      </c>
      <c r="AU32" s="17">
        <f t="shared" si="23"/>
        <v>50.135330099390004</v>
      </c>
      <c r="AW32" s="9">
        <f t="shared" si="16"/>
        <v>247.62276211682806</v>
      </c>
      <c r="AX32" s="10">
        <f t="shared" si="17"/>
        <v>-14.6443835801</v>
      </c>
      <c r="AZ32" s="11">
        <f t="shared" si="18"/>
        <v>251.10056703344321</v>
      </c>
      <c r="BA32" s="12">
        <f t="shared" si="19"/>
        <v>40.044949708200001</v>
      </c>
      <c r="BC32" s="14">
        <f t="shared" si="20"/>
        <v>239.514444328932</v>
      </c>
      <c r="BD32" s="15">
        <f t="shared" si="21"/>
        <v>-127.39674126787</v>
      </c>
      <c r="BF32" s="16">
        <f t="shared" si="24"/>
        <v>193.97255328596961</v>
      </c>
      <c r="BG32" s="17">
        <f t="shared" si="25"/>
        <v>50.135330099390004</v>
      </c>
      <c r="BI32">
        <v>68</v>
      </c>
      <c r="BJ32" t="s">
        <v>58</v>
      </c>
      <c r="BK32" s="2">
        <v>46169.041215277779</v>
      </c>
      <c r="BL32">
        <v>154</v>
      </c>
      <c r="BM32" t="s">
        <v>13</v>
      </c>
      <c r="BN32">
        <v>0</v>
      </c>
      <c r="BO32">
        <v>2.8780000000000001</v>
      </c>
      <c r="BP32" s="3">
        <v>811783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25">
      <c r="A33">
        <v>69</v>
      </c>
      <c r="B33" t="s">
        <v>59</v>
      </c>
      <c r="C33" s="2">
        <v>46169.0624537037</v>
      </c>
      <c r="D33">
        <v>265</v>
      </c>
      <c r="E33" t="s">
        <v>13</v>
      </c>
      <c r="F33">
        <v>0</v>
      </c>
      <c r="G33">
        <v>6.0380000000000003</v>
      </c>
      <c r="H33" s="3">
        <v>84948</v>
      </c>
      <c r="I33">
        <v>0.17199999999999999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46169.0624537037</v>
      </c>
      <c r="R33">
        <v>265</v>
      </c>
      <c r="S33" t="s">
        <v>13</v>
      </c>
      <c r="T33">
        <v>0</v>
      </c>
      <c r="U33">
        <v>5.99</v>
      </c>
      <c r="V33" s="3">
        <v>636</v>
      </c>
      <c r="W33">
        <v>0.30099999999999999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46169.0624537037</v>
      </c>
      <c r="AF33">
        <v>265</v>
      </c>
      <c r="AG33" t="s">
        <v>13</v>
      </c>
      <c r="AH33">
        <v>0</v>
      </c>
      <c r="AI33">
        <v>12.343</v>
      </c>
      <c r="AJ33" s="3">
        <v>338</v>
      </c>
      <c r="AK33">
        <v>0.15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22"/>
        <v>185.62847635821439</v>
      </c>
      <c r="AU33" s="17">
        <f t="shared" si="23"/>
        <v>107.52068879276001</v>
      </c>
      <c r="AW33" s="9">
        <f t="shared" si="16"/>
        <v>236.69687541579199</v>
      </c>
      <c r="AX33" s="10">
        <f t="shared" si="17"/>
        <v>60.699893311599993</v>
      </c>
      <c r="AZ33" s="11">
        <f t="shared" si="18"/>
        <v>239.85922421108481</v>
      </c>
      <c r="BA33" s="12">
        <f t="shared" si="19"/>
        <v>103.38316820879999</v>
      </c>
      <c r="BC33" s="14">
        <f t="shared" si="20"/>
        <v>229.111685208848</v>
      </c>
      <c r="BD33" s="15">
        <f t="shared" si="21"/>
        <v>-57.043005953079998</v>
      </c>
      <c r="BF33" s="16">
        <f t="shared" si="24"/>
        <v>185.62847635821439</v>
      </c>
      <c r="BG33" s="17">
        <f t="shared" si="25"/>
        <v>107.52068879276001</v>
      </c>
      <c r="BI33">
        <v>69</v>
      </c>
      <c r="BJ33" t="s">
        <v>59</v>
      </c>
      <c r="BK33" s="2">
        <v>46169.0624537037</v>
      </c>
      <c r="BL33">
        <v>265</v>
      </c>
      <c r="BM33" t="s">
        <v>13</v>
      </c>
      <c r="BN33">
        <v>0</v>
      </c>
      <c r="BO33">
        <v>2.8769999999999998</v>
      </c>
      <c r="BP33" s="3">
        <v>774339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25">
      <c r="A34">
        <v>70</v>
      </c>
      <c r="B34" t="s">
        <v>60</v>
      </c>
      <c r="C34" s="2">
        <v>46169.083668981482</v>
      </c>
      <c r="D34">
        <v>174</v>
      </c>
      <c r="E34" t="s">
        <v>13</v>
      </c>
      <c r="F34">
        <v>0</v>
      </c>
      <c r="G34">
        <v>6.0620000000000003</v>
      </c>
      <c r="H34" s="3">
        <v>3024</v>
      </c>
      <c r="I34">
        <v>6.0000000000000001E-3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46169.083668981482</v>
      </c>
      <c r="R34">
        <v>174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46169.083668981482</v>
      </c>
      <c r="AF34">
        <v>174</v>
      </c>
      <c r="AG34" t="s">
        <v>13</v>
      </c>
      <c r="AH34">
        <v>0</v>
      </c>
      <c r="AI34">
        <v>12.137</v>
      </c>
      <c r="AJ34" s="3">
        <v>74794</v>
      </c>
      <c r="AK34">
        <v>12.867000000000001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22"/>
        <v>9.2325570447359997</v>
      </c>
      <c r="AU34" s="17">
        <f t="shared" si="23"/>
        <v>13854.110467767143</v>
      </c>
      <c r="AW34" s="9">
        <f t="shared" si="16"/>
        <v>3.2487110399999999</v>
      </c>
      <c r="AX34" s="10">
        <f t="shared" si="17"/>
        <v>16520.673374367601</v>
      </c>
      <c r="AZ34" s="11">
        <f t="shared" si="18"/>
        <v>4.1293930726400001</v>
      </c>
      <c r="BA34" s="12">
        <f t="shared" si="19"/>
        <v>14744.87495726292</v>
      </c>
      <c r="BC34" s="14">
        <f t="shared" si="20"/>
        <v>7.3382328839679989</v>
      </c>
      <c r="BD34" s="15">
        <f t="shared" si="21"/>
        <v>16589.462007329679</v>
      </c>
      <c r="BF34" s="16">
        <f t="shared" si="24"/>
        <v>9.2325570447359997</v>
      </c>
      <c r="BG34" s="17">
        <f t="shared" si="25"/>
        <v>13854.110467767143</v>
      </c>
      <c r="BI34">
        <v>70</v>
      </c>
      <c r="BJ34" t="s">
        <v>60</v>
      </c>
      <c r="BK34" s="2">
        <v>46169.083668981482</v>
      </c>
      <c r="BL34">
        <v>174</v>
      </c>
      <c r="BM34" t="s">
        <v>13</v>
      </c>
      <c r="BN34">
        <v>0</v>
      </c>
      <c r="BO34">
        <v>2.8759999999999999</v>
      </c>
      <c r="BP34" s="3">
        <v>926425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25">
      <c r="A35">
        <v>71</v>
      </c>
      <c r="B35" t="s">
        <v>61</v>
      </c>
      <c r="C35" s="2">
        <v>46169.104884259257</v>
      </c>
      <c r="D35">
        <v>379</v>
      </c>
      <c r="E35" t="s">
        <v>13</v>
      </c>
      <c r="F35">
        <v>0</v>
      </c>
      <c r="G35">
        <v>6.0679999999999996</v>
      </c>
      <c r="H35" s="3">
        <v>1986</v>
      </c>
      <c r="I35">
        <v>4.0000000000000001E-3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46169.104884259257</v>
      </c>
      <c r="R35">
        <v>379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46169.104884259257</v>
      </c>
      <c r="AF35">
        <v>379</v>
      </c>
      <c r="AG35" t="s">
        <v>13</v>
      </c>
      <c r="AH35">
        <v>0</v>
      </c>
      <c r="AI35">
        <v>12.169</v>
      </c>
      <c r="AJ35" s="3">
        <v>64386</v>
      </c>
      <c r="AK35">
        <v>11.09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22"/>
        <v>6.5478812560560007</v>
      </c>
      <c r="AU35" s="17">
        <f t="shared" si="23"/>
        <v>12150.136292066169</v>
      </c>
      <c r="AW35" s="9">
        <f t="shared" si="16"/>
        <v>5.3865758399999999</v>
      </c>
      <c r="AX35" s="10">
        <f t="shared" si="17"/>
        <v>14001.858918863602</v>
      </c>
      <c r="AZ35" s="11">
        <f t="shared" si="18"/>
        <v>1.2860293594400005</v>
      </c>
      <c r="BA35" s="12">
        <f t="shared" si="19"/>
        <v>12632.51406538612</v>
      </c>
      <c r="BC35" s="14">
        <f t="shared" si="20"/>
        <v>3.6797500566279995</v>
      </c>
      <c r="BD35" s="15">
        <f t="shared" si="21"/>
        <v>14370.24838470248</v>
      </c>
      <c r="BF35" s="16">
        <f t="shared" si="24"/>
        <v>6.5478812560560007</v>
      </c>
      <c r="BG35" s="17">
        <f t="shared" si="25"/>
        <v>12150.136292066169</v>
      </c>
      <c r="BI35">
        <v>71</v>
      </c>
      <c r="BJ35" t="s">
        <v>61</v>
      </c>
      <c r="BK35" s="2">
        <v>46169.104884259257</v>
      </c>
      <c r="BL35">
        <v>379</v>
      </c>
      <c r="BM35" t="s">
        <v>13</v>
      </c>
      <c r="BN35">
        <v>0</v>
      </c>
      <c r="BO35">
        <v>2.8769999999999998</v>
      </c>
      <c r="BP35" s="3">
        <v>754276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25">
      <c r="A36">
        <v>72</v>
      </c>
      <c r="B36" t="s">
        <v>62</v>
      </c>
      <c r="C36" s="2">
        <v>46169.126087962963</v>
      </c>
      <c r="D36">
        <v>370</v>
      </c>
      <c r="E36" t="s">
        <v>13</v>
      </c>
      <c r="F36">
        <v>0</v>
      </c>
      <c r="G36">
        <v>6.04</v>
      </c>
      <c r="H36" s="3">
        <v>30027</v>
      </c>
      <c r="I36">
        <v>6.0999999999999999E-2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46169.126087962963</v>
      </c>
      <c r="R36">
        <v>370</v>
      </c>
      <c r="S36" t="s">
        <v>13</v>
      </c>
      <c r="T36">
        <v>0</v>
      </c>
      <c r="U36" t="s">
        <v>14</v>
      </c>
      <c r="V36" s="3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46169.126087962963</v>
      </c>
      <c r="AF36">
        <v>370</v>
      </c>
      <c r="AG36" t="s">
        <v>13</v>
      </c>
      <c r="AH36">
        <v>0</v>
      </c>
      <c r="AI36">
        <v>12.252000000000001</v>
      </c>
      <c r="AJ36" s="3">
        <v>20565</v>
      </c>
      <c r="AK36">
        <v>3.6059999999999999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8">
        <v>72</v>
      </c>
      <c r="AT36" s="16">
        <f t="shared" si="22"/>
        <v>68.277489957604402</v>
      </c>
      <c r="AU36" s="17">
        <f t="shared" si="23"/>
        <v>3878.8067790627501</v>
      </c>
      <c r="AW36" s="9">
        <f t="shared" si="16"/>
        <v>79.53030511036701</v>
      </c>
      <c r="AX36" s="10">
        <f t="shared" si="17"/>
        <v>4803.2465414774997</v>
      </c>
      <c r="AZ36" s="11">
        <f t="shared" si="18"/>
        <v>82.466884933464812</v>
      </c>
      <c r="BA36" s="12">
        <f t="shared" si="19"/>
        <v>4224.6344303450005</v>
      </c>
      <c r="BC36" s="14">
        <f t="shared" si="20"/>
        <v>83.474287748272999</v>
      </c>
      <c r="BD36" s="15">
        <f t="shared" si="21"/>
        <v>4527.8978536292507</v>
      </c>
      <c r="BF36" s="16">
        <f t="shared" si="24"/>
        <v>68.277489957604402</v>
      </c>
      <c r="BG36" s="17">
        <f t="shared" si="25"/>
        <v>3878.8067790627501</v>
      </c>
      <c r="BI36">
        <v>72</v>
      </c>
      <c r="BJ36" t="s">
        <v>62</v>
      </c>
      <c r="BK36" s="2">
        <v>46169.126087962963</v>
      </c>
      <c r="BL36">
        <v>370</v>
      </c>
      <c r="BM36" t="s">
        <v>13</v>
      </c>
      <c r="BN36">
        <v>0</v>
      </c>
      <c r="BO36">
        <v>2.8780000000000001</v>
      </c>
      <c r="BP36" s="3">
        <v>737254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25">
      <c r="A37">
        <v>73</v>
      </c>
      <c r="B37" t="s">
        <v>63</v>
      </c>
      <c r="C37" s="2">
        <v>46169.147291666668</v>
      </c>
      <c r="D37" t="s">
        <v>64</v>
      </c>
      <c r="E37" t="s">
        <v>13</v>
      </c>
      <c r="F37">
        <v>0</v>
      </c>
      <c r="G37">
        <v>6.0670000000000002</v>
      </c>
      <c r="H37" s="3">
        <v>2899</v>
      </c>
      <c r="I37">
        <v>6.0000000000000001E-3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46169.147291666668</v>
      </c>
      <c r="R37" t="s">
        <v>64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46169.147291666668</v>
      </c>
      <c r="AF37" t="s">
        <v>64</v>
      </c>
      <c r="AG37" t="s">
        <v>13</v>
      </c>
      <c r="AH37">
        <v>0</v>
      </c>
      <c r="AI37">
        <v>12.318</v>
      </c>
      <c r="AJ37" s="3">
        <v>1572</v>
      </c>
      <c r="AK37">
        <v>0.36099999999999999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R37" t="s">
        <v>65</v>
      </c>
      <c r="AS37" s="8">
        <v>73</v>
      </c>
      <c r="AT37" s="16">
        <f t="shared" si="22"/>
        <v>8.9096817974859999</v>
      </c>
      <c r="AU37" s="17">
        <f t="shared" si="23"/>
        <v>336.75884367536003</v>
      </c>
      <c r="AW37" s="9">
        <f t="shared" si="16"/>
        <v>3.4445335400000001</v>
      </c>
      <c r="AX37" s="10">
        <f t="shared" si="17"/>
        <v>360.72089297759999</v>
      </c>
      <c r="AZ37" s="11">
        <f t="shared" si="18"/>
        <v>3.7804630451399994</v>
      </c>
      <c r="BA37" s="12">
        <f t="shared" si="19"/>
        <v>356.21222319680004</v>
      </c>
      <c r="BC37" s="14">
        <f t="shared" si="20"/>
        <v>6.8966948790929994</v>
      </c>
      <c r="BD37" s="15">
        <f t="shared" si="21"/>
        <v>223.82313900112001</v>
      </c>
      <c r="BF37" s="16">
        <f t="shared" si="24"/>
        <v>8.9096817974859999</v>
      </c>
      <c r="BG37" s="17">
        <f t="shared" si="25"/>
        <v>336.75884367536003</v>
      </c>
      <c r="BI37">
        <v>73</v>
      </c>
      <c r="BJ37" t="s">
        <v>63</v>
      </c>
      <c r="BK37" s="2">
        <v>46169.147291666668</v>
      </c>
      <c r="BL37" t="s">
        <v>64</v>
      </c>
      <c r="BM37" t="s">
        <v>13</v>
      </c>
      <c r="BN37">
        <v>0</v>
      </c>
      <c r="BO37">
        <v>2.72</v>
      </c>
      <c r="BP37" s="3">
        <v>4987771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2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1:73" x14ac:dyDescent="0.2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2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2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2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2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2026-06-01T20:38:54Z</dcterms:modified>
</cp:coreProperties>
</file>