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82A982D1-B5E8-4FBD-9C6F-F4A3FB3C79E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8" i="1" l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9" i="1"/>
  <c r="AU9" i="1"/>
  <c r="AW9" i="1"/>
  <c r="AX9" i="1"/>
  <c r="AZ9" i="1"/>
  <c r="BA9" i="1"/>
  <c r="BC9" i="1"/>
  <c r="BD9" i="1"/>
  <c r="BF9" i="1"/>
  <c r="BG9" i="1"/>
  <c r="BG17" i="1"/>
  <c r="BF17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T17" i="1"/>
  <c r="AU17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AW17" i="1"/>
  <c r="AX17" i="1"/>
  <c r="AZ17" i="1"/>
  <c r="BA17" i="1"/>
  <c r="BC16" i="1"/>
  <c r="BD16" i="1"/>
  <c r="BC17" i="1"/>
  <c r="BD17" i="1"/>
  <c r="BC10" i="1" l="1"/>
  <c r="BD10" i="1"/>
  <c r="BC11" i="1"/>
  <c r="BD11" i="1"/>
  <c r="BC12" i="1"/>
  <c r="BD12" i="1"/>
  <c r="BC13" i="1"/>
  <c r="BD13" i="1"/>
  <c r="BC14" i="1"/>
  <c r="BD14" i="1"/>
  <c r="BC15" i="1"/>
  <c r="BD15" i="1"/>
</calcChain>
</file>

<file path=xl/sharedStrings.xml><?xml version="1.0" encoding="utf-8"?>
<sst xmlns="http://schemas.openxmlformats.org/spreadsheetml/2006/main" count="457" uniqueCount="49">
  <si>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</si>
  <si>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</si>
  <si>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</si>
  <si>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</si>
  <si>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</si>
  <si>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</si>
  <si>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</si>
  <si>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</si>
  <si>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</si>
  <si>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</si>
  <si>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</si>
  <si>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</si>
  <si>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</si>
  <si>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</si>
  <si>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</si>
  <si>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</si>
  <si>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</si>
  <si>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</si>
  <si>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</si>
  <si>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</si>
  <si>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</si>
  <si>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</si>
  <si>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</si>
  <si>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</si>
  <si>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</si>
  <si>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</si>
  <si>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</si>
  <si>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</si>
  <si>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</si>
  <si>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</si>
  <si>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</si>
  <si>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</si>
  <si>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</si>
  <si>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</si>
  <si>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</si>
  <si>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FMI20260521_002.gcd</t>
  </si>
  <si>
    <t>FMI20260521_003.gcd</t>
  </si>
  <si>
    <t>FMI20260521_004.gcd</t>
  </si>
  <si>
    <t>FMI20260521_005.gcd</t>
  </si>
  <si>
    <t>FMI20260521_006.gcd</t>
  </si>
  <si>
    <t>FMI20260521_007.gcd</t>
  </si>
  <si>
    <t>FMI20260521_008.gcd</t>
  </si>
  <si>
    <t>FMI20260521_009.gcd</t>
  </si>
  <si>
    <t>FMI20260521_010.gcd</t>
  </si>
  <si>
    <t>FMI20260521_011.gcd</t>
  </si>
  <si>
    <t>FMI20260521_012.gcd</t>
  </si>
  <si>
    <t>FMI20260521_013.gcd</t>
  </si>
  <si>
    <t>FMI20260521_014.gcd</t>
  </si>
  <si>
    <t>FMI20260528_001.gcd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</si>
</sst>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B1" workbookViewId="0">
      <selection activeCell="AB11" sqref="A11:XFD1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58</v>
      </c>
      <c r="B9" t="s">
        <v>48</v>
      </c>
      <c r="C9" s="2">
        <v>46170.7341087963</v>
      </c>
      <c r="D9" t="s">
        <v>31</v>
      </c>
      <c r="E9" t="s">
        <v>13</v>
      </c>
      <c r="F9">
        <v>0</v>
      </c>
      <c r="G9">
        <v>6.09</v>
      </c>
      <c r="H9" s="3">
        <v>1657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58</v>
      </c>
      <c r="P9" t="s">
        <v>48</v>
      </c>
      <c r="Q9" s="2">
        <v>46170.7341087963</v>
      </c>
      <c r="R9" t="s">
        <v>31</v>
      </c>
      <c r="S9" t="s">
        <v>13</v>
      </c>
      <c r="T9">
        <v>0</v>
      </c>
      <c r="U9" t="s">
        <v>14</v>
      </c>
      <c r="V9" s="3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58</v>
      </c>
      <c r="AD9" t="s">
        <v>48</v>
      </c>
      <c r="AE9" s="2">
        <v>46170.7341087963</v>
      </c>
      <c r="AF9" t="s">
        <v>31</v>
      </c>
      <c r="AG9" t="s">
        <v>13</v>
      </c>
      <c r="AH9">
        <v>0</v>
      </c>
      <c r="AI9">
        <v>12.378</v>
      </c>
      <c r="AJ9" s="3">
        <v>1999</v>
      </c>
      <c r="AK9">
        <v>0.434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>IF($H9&lt;10000,(($H9^2*-0.000000003714)+($H9*0.002605)+(1.389)),(IF($H9&lt;200000,(($H9^2*-0.0000000003764)+($H9*0.00218)+(3.158)),(IF($H9&lt;8000000,(($H9^2*-0.000000000004719)+($H9*0.001816)+(146.1)),(($V9^2*0.000000002578)+($V9*0.2173)+(2294)))))))</f>
        <v>5.6952876596140003</v>
      </c>
      <c r="AU9" s="17">
        <f>IF($AJ9&lt;45000,((0.00000003579*$AJ9^2)+(0.1857*$AJ9)+(44.75)),((0.0000000022829*$AJ9^2)+(0.1634*$AJ9)+(1620)))</f>
        <v>416.10731687578999</v>
      </c>
      <c r="AW9" s="9">
        <f>IF(H9&lt;10000,((H9^2*0.00000054)+(H9*-0.004765)+(12.72)),(IF(H9&lt;200000,((H9^2*-0.000000001577)+(H9*0.003043)+(-10.42)),(IF(H9&lt;8000000,((H9^2*-0.0000000000186)+(H9*0.00194)+(154.1)),((V9^2*-0.00000002)+(V9*0.2565)+(-1032)))))))</f>
        <v>6.3070454600000003</v>
      </c>
      <c r="AX9" s="10">
        <f>IF(AJ9&lt;45000,((-0.0000004561*AJ9^2)+(0.244*AJ9)+(-21.72)),((-0.0000000409*AJ9^2)+(0.2477*AJ9)+(-1777)))</f>
        <v>464.21342394390001</v>
      </c>
      <c r="AZ9" s="11">
        <f>IF(H9&lt;10000,((H9^2*0.00000005714)+(H9*0.002453)+(-3.811)),(IF(H9&lt;200000,((H9^2*-0.0000000002888)+(H9*0.002899)+(-4.321)),(IF(H9&lt;8000000,((H9^2*-0.0000000000062)+(H9*0.002143)+(157)),((V9^2*-0.000000031)+(V9*0.2771)+(-709.5)))))))</f>
        <v>0.41050738385999974</v>
      </c>
      <c r="BA9" s="12">
        <f>IF(AJ9&lt;45000,((-0.0000000598*AJ9^2)+(0.205*AJ9)+(34.1)),((-0.00000002403*AJ9^2)+(0.2063*AJ9)+(-550.7)))</f>
        <v>443.65603914019999</v>
      </c>
      <c r="BC9" s="14">
        <f>IF(H9&lt;10000,((H9^2*0.000000008493)+(H9*0.003482)+(-3.269)),(IF(H9&lt;200000,((H9^2*-0.000000000263)+(H9*0.002682)+(3.179)),(IF(H9&lt;8000000,((H9^2*-0.000000000005099)+(H9*0.002054)+(174.8)),((V9^2*-0.00000001014)+(V9*0.2415)+(1123)))))))</f>
        <v>2.5239927969569997</v>
      </c>
      <c r="BD9" s="15">
        <f>IF(AJ9&lt;45000,((-0.00000004907*AJ9^2)+(0.2277*AJ9)+(-134)),((-0.00000001062*AJ9^2)+(0.2147*AJ9)+(590.6)))</f>
        <v>320.97621623092999</v>
      </c>
      <c r="BF9" s="16">
        <f>IF($H9&lt;10000,(($H9^2*-0.000000003714)+($H9*0.002605)+(1.389)),(IF($H9&lt;200000,(($H9^2*-0.0000000003764)+($H9*0.00218)+(3.158)),(IF($H9&lt;8000000,(($H9^2*-0.000000000004719)+($H9*0.001816)+(146.1)),(($V9^2*0.000000002578)+($V9*0.2173)+(2294)))))))</f>
        <v>5.6952876596140003</v>
      </c>
      <c r="BG9" s="17">
        <f>IF($AJ9&lt;45000,((0.00000003579*$AJ9^2)+(0.1857*$AJ9)+(44.75)),((0.0000000022829*$AJ9^2)+(0.1634*$AJ9)+(1620)))</f>
        <v>416.10731687578999</v>
      </c>
      <c r="BI9">
        <v>58</v>
      </c>
      <c r="BJ9" t="s">
        <v>48</v>
      </c>
      <c r="BK9" s="2">
        <v>46170.7341087963</v>
      </c>
      <c r="BL9" t="s">
        <v>31</v>
      </c>
      <c r="BM9" t="s">
        <v>13</v>
      </c>
      <c r="BN9">
        <v>0</v>
      </c>
      <c r="BO9">
        <v>2.7349999999999999</v>
      </c>
      <c r="BP9" s="3">
        <v>4772550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45</v>
      </c>
      <c r="B10" t="s">
        <v>35</v>
      </c>
      <c r="C10" s="2">
        <v>46170.755277777775</v>
      </c>
      <c r="D10" t="s">
        <v>32</v>
      </c>
      <c r="E10" t="s">
        <v>13</v>
      </c>
      <c r="F10">
        <v>0</v>
      </c>
      <c r="G10">
        <v>6.0449999999999999</v>
      </c>
      <c r="H10" s="3">
        <v>1195085</v>
      </c>
      <c r="I10">
        <v>2.4319999999999999</v>
      </c>
      <c r="J10" t="s">
        <v>14</v>
      </c>
      <c r="K10" t="s">
        <v>14</v>
      </c>
      <c r="L10" t="s">
        <v>14</v>
      </c>
      <c r="M10" t="s">
        <v>14</v>
      </c>
      <c r="O10">
        <v>45</v>
      </c>
      <c r="P10" t="s">
        <v>35</v>
      </c>
      <c r="Q10" s="2">
        <v>46170.755277777775</v>
      </c>
      <c r="R10" t="s">
        <v>32</v>
      </c>
      <c r="S10" t="s">
        <v>13</v>
      </c>
      <c r="T10">
        <v>0</v>
      </c>
      <c r="U10">
        <v>5.9980000000000002</v>
      </c>
      <c r="V10" s="3">
        <v>9559</v>
      </c>
      <c r="W10">
        <v>2.327</v>
      </c>
      <c r="X10" t="s">
        <v>14</v>
      </c>
      <c r="Y10" t="s">
        <v>14</v>
      </c>
      <c r="Z10" t="s">
        <v>14</v>
      </c>
      <c r="AA10" t="s">
        <v>14</v>
      </c>
      <c r="AC10">
        <v>45</v>
      </c>
      <c r="AD10" t="s">
        <v>35</v>
      </c>
      <c r="AE10" s="2">
        <v>46170.755277777775</v>
      </c>
      <c r="AF10" t="s">
        <v>32</v>
      </c>
      <c r="AG10" t="s">
        <v>13</v>
      </c>
      <c r="AH10">
        <v>0</v>
      </c>
      <c r="AI10">
        <v>12.33</v>
      </c>
      <c r="AJ10" s="3">
        <v>7786</v>
      </c>
      <c r="AK10">
        <v>1.423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ref="AT10:AT22" si="0">IF($H10&lt;10000,(($H10^2*-0.000000003714)+($H10*0.002605)+(1.389)),(IF($H10&lt;200000,(($H10^2*-0.0000000003764)+($H10*0.00218)+(3.158)),(IF($H10&lt;8000000,(($H10^2*-0.000000000004719)+($H10*0.001816)+(146.1)),(($V10^2*0.000000002578)+($V10*0.2173)+(2294)))))))</f>
        <v>2309.6345513260549</v>
      </c>
      <c r="AU10" s="17">
        <f t="shared" ref="AU10:AU22" si="1">IF($AJ10&lt;45000,((0.00000003579*$AJ10^2)+(0.1857*$AJ10)+(44.75)),((0.0000000022829*$AJ10^2)+(0.1634*$AJ10)+(1620)))</f>
        <v>1492.7798540788401</v>
      </c>
      <c r="AW10" s="9">
        <f t="shared" ref="AW10:AW15" si="2">IF(H10&lt;10000,((H10^2*0.00000054)+(H10*-0.004765)+(12.72)),(IF(H10&lt;200000,((H10^2*-0.000000001577)+(H10*0.003043)+(-10.42)),(IF(H10&lt;8000000,((H10^2*-0.0000000000186)+(H10*0.00194)+(154.1)),((V10^2*-0.00000002)+(V10*0.2565)+(-1032)))))))</f>
        <v>2445.999856275615</v>
      </c>
      <c r="AX10" s="10">
        <f t="shared" ref="AX10:AX15" si="3">IF(AJ10&lt;45000,((-0.0000004561*AJ10^2)+(0.244*AJ10)+(-21.72)),((-0.0000000409*AJ10^2)+(0.2477*AJ10)+(-1777)))</f>
        <v>1850.4143988443998</v>
      </c>
      <c r="AZ10" s="11">
        <f t="shared" ref="AZ10:AZ15" si="4">IF(H10&lt;10000,((H10^2*0.00000005714)+(H10*0.002453)+(-3.811)),(IF(H10&lt;200000,((H10^2*-0.0000000002888)+(H10*0.002899)+(-4.321)),(IF(H10&lt;8000000,((H10^2*-0.0000000000062)+(H10*0.002143)+(157)),((V10^2*-0.000000031)+(V10*0.2771)+(-709.5)))))))</f>
        <v>2709.2121404252048</v>
      </c>
      <c r="BA10" s="12">
        <f t="shared" ref="BA10:BA15" si="5">IF(AJ10&lt;45000,((-0.0000000598*AJ10^2)+(0.205*AJ10)+(34.1)),((-0.00000002403*AJ10^2)+(0.2063*AJ10)+(-550.7)))</f>
        <v>1626.6048165991997</v>
      </c>
      <c r="BC10" s="14">
        <f t="shared" ref="BC10:BC15" si="6">IF(H10&lt;10000,((H10^2*0.000000008493)+(H10*0.003482)+(-3.269)),(IF(H10&lt;200000,((H10^2*-0.000000000263)+(H10*0.002682)+(3.179)),(IF(H10&lt;8000000,((H10^2*-0.000000000005099)+(H10*0.002054)+(174.8)),((V10^2*-0.00000001014)+(V10*0.2415)+(1123)))))))</f>
        <v>2622.2220546263097</v>
      </c>
      <c r="BD10" s="15">
        <f t="shared" ref="BD10:BD15" si="7">IF(AJ10&lt;45000,((-0.00000004907*AJ10^2)+(0.2277*AJ10)+(-134)),((-0.00000001062*AJ10^2)+(0.2147*AJ10)+(590.6)))</f>
        <v>1635.89748847028</v>
      </c>
      <c r="BF10" s="16">
        <f t="shared" ref="BF10:BF22" si="8">IF($H10&lt;10000,(($H10^2*-0.000000003714)+($H10*0.002605)+(1.389)),(IF($H10&lt;200000,(($H10^2*-0.0000000003764)+($H10*0.00218)+(3.158)),(IF($H10&lt;8000000,(($H10^2*-0.000000000004719)+($H10*0.001816)+(146.1)),(($V10^2*0.000000002578)+($V10*0.2173)+(2294)))))))</f>
        <v>2309.6345513260549</v>
      </c>
      <c r="BG10" s="17">
        <f t="shared" ref="BG10:BG22" si="9">IF($AJ10&lt;45000,((0.00000003579*$AJ10^2)+(0.1857*$AJ10)+(44.75)),((0.0000000022829*$AJ10^2)+(0.1634*$AJ10)+(1620)))</f>
        <v>1492.7798540788401</v>
      </c>
      <c r="BI10">
        <v>45</v>
      </c>
      <c r="BJ10" t="s">
        <v>35</v>
      </c>
      <c r="BK10" s="2">
        <v>46170.755277777775</v>
      </c>
      <c r="BL10" t="s">
        <v>32</v>
      </c>
      <c r="BM10" t="s">
        <v>13</v>
      </c>
      <c r="BN10">
        <v>0</v>
      </c>
      <c r="BO10">
        <v>2.7229999999999999</v>
      </c>
      <c r="BP10" s="3">
        <v>5023061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46</v>
      </c>
      <c r="B11" t="s">
        <v>36</v>
      </c>
      <c r="C11" s="2">
        <v>46170.776458333334</v>
      </c>
      <c r="D11" t="s">
        <v>26</v>
      </c>
      <c r="E11" t="s">
        <v>13</v>
      </c>
      <c r="F11">
        <v>0</v>
      </c>
      <c r="G11">
        <v>6.0739999999999998</v>
      </c>
      <c r="H11" s="3">
        <v>2888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46</v>
      </c>
      <c r="P11" t="s">
        <v>36</v>
      </c>
      <c r="Q11" s="2">
        <v>46170.776458333334</v>
      </c>
      <c r="R11" t="s">
        <v>26</v>
      </c>
      <c r="S11" t="s">
        <v>13</v>
      </c>
      <c r="T11">
        <v>0</v>
      </c>
      <c r="U11" t="s">
        <v>14</v>
      </c>
      <c r="V11" s="3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46</v>
      </c>
      <c r="AD11" t="s">
        <v>36</v>
      </c>
      <c r="AE11" s="2">
        <v>46170.776458333334</v>
      </c>
      <c r="AF11" t="s">
        <v>26</v>
      </c>
      <c r="AG11" t="s">
        <v>13</v>
      </c>
      <c r="AH11">
        <v>0</v>
      </c>
      <c r="AI11">
        <v>12.337999999999999</v>
      </c>
      <c r="AJ11" s="3">
        <v>1688</v>
      </c>
      <c r="AK11">
        <v>0.38100000000000001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8.8812632195839996</v>
      </c>
      <c r="AU11" s="17">
        <f t="shared" si="1"/>
        <v>358.31357802176001</v>
      </c>
      <c r="AW11" s="9">
        <f t="shared" si="2"/>
        <v>3.4625737600000015</v>
      </c>
      <c r="AX11" s="10">
        <f t="shared" si="3"/>
        <v>388.85241420160003</v>
      </c>
      <c r="AZ11" s="11">
        <f t="shared" si="4"/>
        <v>3.749842684159999</v>
      </c>
      <c r="BA11" s="12">
        <f t="shared" si="5"/>
        <v>379.96960922879998</v>
      </c>
      <c r="BC11" s="14">
        <f t="shared" si="6"/>
        <v>6.857852240191999</v>
      </c>
      <c r="BD11" s="15">
        <f t="shared" si="7"/>
        <v>250.21778268992006</v>
      </c>
      <c r="BF11" s="16">
        <f t="shared" si="8"/>
        <v>8.8812632195839996</v>
      </c>
      <c r="BG11" s="17">
        <f t="shared" si="9"/>
        <v>358.31357802176001</v>
      </c>
      <c r="BI11">
        <v>46</v>
      </c>
      <c r="BJ11" t="s">
        <v>36</v>
      </c>
      <c r="BK11" s="2">
        <v>46170.776458333334</v>
      </c>
      <c r="BL11" t="s">
        <v>26</v>
      </c>
      <c r="BM11" t="s">
        <v>13</v>
      </c>
      <c r="BN11">
        <v>0</v>
      </c>
      <c r="BO11">
        <v>2.7240000000000002</v>
      </c>
      <c r="BP11" s="3">
        <v>5062860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47</v>
      </c>
      <c r="B12" t="s">
        <v>37</v>
      </c>
      <c r="C12" s="2">
        <v>46170.797627314816</v>
      </c>
      <c r="D12" t="s">
        <v>32</v>
      </c>
      <c r="E12" t="s">
        <v>13</v>
      </c>
      <c r="F12">
        <v>0</v>
      </c>
      <c r="G12">
        <v>6.0469999999999997</v>
      </c>
      <c r="H12" s="3">
        <v>1123721</v>
      </c>
      <c r="I12">
        <v>2.286</v>
      </c>
      <c r="J12" t="s">
        <v>14</v>
      </c>
      <c r="K12" t="s">
        <v>14</v>
      </c>
      <c r="L12" t="s">
        <v>14</v>
      </c>
      <c r="M12" t="s">
        <v>14</v>
      </c>
      <c r="O12">
        <v>47</v>
      </c>
      <c r="P12" t="s">
        <v>37</v>
      </c>
      <c r="Q12" s="2">
        <v>46170.797627314816</v>
      </c>
      <c r="R12" t="s">
        <v>32</v>
      </c>
      <c r="S12" t="s">
        <v>13</v>
      </c>
      <c r="T12">
        <v>0</v>
      </c>
      <c r="U12">
        <v>6</v>
      </c>
      <c r="V12" s="3">
        <v>8713</v>
      </c>
      <c r="W12">
        <v>2.1349999999999998</v>
      </c>
      <c r="X12" t="s">
        <v>14</v>
      </c>
      <c r="Y12" t="s">
        <v>14</v>
      </c>
      <c r="Z12" t="s">
        <v>14</v>
      </c>
      <c r="AA12" t="s">
        <v>14</v>
      </c>
      <c r="AC12">
        <v>47</v>
      </c>
      <c r="AD12" t="s">
        <v>37</v>
      </c>
      <c r="AE12" s="2">
        <v>46170.797627314816</v>
      </c>
      <c r="AF12" t="s">
        <v>32</v>
      </c>
      <c r="AG12" t="s">
        <v>13</v>
      </c>
      <c r="AH12">
        <v>0</v>
      </c>
      <c r="AI12">
        <v>12.331</v>
      </c>
      <c r="AJ12" s="3">
        <v>8689</v>
      </c>
      <c r="AK12">
        <v>1.577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2180.8184240077162</v>
      </c>
      <c r="AU12" s="17">
        <f t="shared" si="1"/>
        <v>1660.99939922459</v>
      </c>
      <c r="AW12" s="9">
        <f t="shared" si="2"/>
        <v>2310.6316107233574</v>
      </c>
      <c r="AX12" s="10">
        <f t="shared" si="3"/>
        <v>2063.9610333519004</v>
      </c>
      <c r="AZ12" s="11">
        <f t="shared" si="4"/>
        <v>2557.3050599077856</v>
      </c>
      <c r="BA12" s="12">
        <f t="shared" si="5"/>
        <v>1810.8301764841999</v>
      </c>
      <c r="BC12" s="14">
        <f t="shared" si="6"/>
        <v>2476.4841774310971</v>
      </c>
      <c r="BD12" s="15">
        <f t="shared" si="7"/>
        <v>1840.7805777605302</v>
      </c>
      <c r="BF12" s="16">
        <f t="shared" si="8"/>
        <v>2180.8184240077162</v>
      </c>
      <c r="BG12" s="17">
        <f t="shared" si="9"/>
        <v>1660.99939922459</v>
      </c>
      <c r="BI12">
        <v>47</v>
      </c>
      <c r="BJ12" t="s">
        <v>37</v>
      </c>
      <c r="BK12" s="2">
        <v>46170.797627314816</v>
      </c>
      <c r="BL12" t="s">
        <v>32</v>
      </c>
      <c r="BM12" t="s">
        <v>13</v>
      </c>
      <c r="BN12">
        <v>0</v>
      </c>
      <c r="BO12">
        <v>2.7229999999999999</v>
      </c>
      <c r="BP12" s="3">
        <v>5113950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48</v>
      </c>
      <c r="B13" t="s">
        <v>38</v>
      </c>
      <c r="C13" s="2">
        <v>46170.818819444445</v>
      </c>
      <c r="D13">
        <v>327</v>
      </c>
      <c r="E13" t="s">
        <v>13</v>
      </c>
      <c r="F13">
        <v>0</v>
      </c>
      <c r="G13">
        <v>6.0579999999999998</v>
      </c>
      <c r="H13" s="3">
        <v>6210</v>
      </c>
      <c r="I13">
        <v>1.2999999999999999E-2</v>
      </c>
      <c r="J13" t="s">
        <v>14</v>
      </c>
      <c r="K13" t="s">
        <v>14</v>
      </c>
      <c r="L13" t="s">
        <v>14</v>
      </c>
      <c r="M13" t="s">
        <v>14</v>
      </c>
      <c r="O13">
        <v>48</v>
      </c>
      <c r="P13" t="s">
        <v>38</v>
      </c>
      <c r="Q13" s="2">
        <v>46170.818819444445</v>
      </c>
      <c r="R13">
        <v>327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48</v>
      </c>
      <c r="AD13" t="s">
        <v>38</v>
      </c>
      <c r="AE13" s="2">
        <v>46170.818819444445</v>
      </c>
      <c r="AF13">
        <v>327</v>
      </c>
      <c r="AG13" t="s">
        <v>13</v>
      </c>
      <c r="AH13">
        <v>0</v>
      </c>
      <c r="AI13">
        <v>12.2</v>
      </c>
      <c r="AJ13" s="3">
        <v>91021</v>
      </c>
      <c r="AK13">
        <v>15.637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17.422822932599999</v>
      </c>
      <c r="AU13" s="17">
        <f t="shared" si="1"/>
        <v>16511.744821150558</v>
      </c>
      <c r="AW13" s="9">
        <f t="shared" si="2"/>
        <v>3.9539640000000009</v>
      </c>
      <c r="AX13" s="10">
        <f t="shared" si="3"/>
        <v>20430.052462163098</v>
      </c>
      <c r="AZ13" s="11">
        <f t="shared" si="4"/>
        <v>13.625682674</v>
      </c>
      <c r="BA13" s="12">
        <f t="shared" si="5"/>
        <v>18027.84801674277</v>
      </c>
      <c r="BC13" s="14">
        <f t="shared" si="6"/>
        <v>18.6817449013</v>
      </c>
      <c r="BD13" s="15">
        <f t="shared" si="7"/>
        <v>20044.823885676578</v>
      </c>
      <c r="BF13" s="16">
        <f t="shared" si="8"/>
        <v>17.422822932599999</v>
      </c>
      <c r="BG13" s="17">
        <f t="shared" si="9"/>
        <v>16511.744821150558</v>
      </c>
      <c r="BI13">
        <v>48</v>
      </c>
      <c r="BJ13" t="s">
        <v>38</v>
      </c>
      <c r="BK13" s="2">
        <v>46170.818819444445</v>
      </c>
      <c r="BL13">
        <v>327</v>
      </c>
      <c r="BM13" t="s">
        <v>13</v>
      </c>
      <c r="BN13">
        <v>0</v>
      </c>
      <c r="BO13">
        <v>2.88</v>
      </c>
      <c r="BP13" s="3">
        <v>796242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49</v>
      </c>
      <c r="B14" t="s">
        <v>39</v>
      </c>
      <c r="C14" s="2">
        <v>46170.83997685185</v>
      </c>
      <c r="D14">
        <v>175</v>
      </c>
      <c r="E14" t="s">
        <v>13</v>
      </c>
      <c r="F14">
        <v>0</v>
      </c>
      <c r="G14">
        <v>6.0579999999999998</v>
      </c>
      <c r="H14" s="3">
        <v>14189</v>
      </c>
      <c r="I14">
        <v>2.9000000000000001E-2</v>
      </c>
      <c r="J14" t="s">
        <v>14</v>
      </c>
      <c r="K14" t="s">
        <v>14</v>
      </c>
      <c r="L14" t="s">
        <v>14</v>
      </c>
      <c r="M14" t="s">
        <v>14</v>
      </c>
      <c r="O14">
        <v>49</v>
      </c>
      <c r="P14" t="s">
        <v>39</v>
      </c>
      <c r="Q14" s="2">
        <v>46170.83997685185</v>
      </c>
      <c r="R14">
        <v>175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49</v>
      </c>
      <c r="AD14" t="s">
        <v>39</v>
      </c>
      <c r="AE14" s="2">
        <v>46170.83997685185</v>
      </c>
      <c r="AF14">
        <v>175</v>
      </c>
      <c r="AG14" t="s">
        <v>13</v>
      </c>
      <c r="AH14">
        <v>0</v>
      </c>
      <c r="AI14">
        <v>12.316000000000001</v>
      </c>
      <c r="AJ14" s="3">
        <v>3544</v>
      </c>
      <c r="AK14">
        <v>0.69799999999999995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34.0142402458156</v>
      </c>
      <c r="AU14" s="17">
        <f t="shared" si="1"/>
        <v>703.32032010943999</v>
      </c>
      <c r="AW14" s="9">
        <f t="shared" si="2"/>
        <v>32.439633183982998</v>
      </c>
      <c r="AX14" s="10">
        <f t="shared" si="3"/>
        <v>837.2874131904</v>
      </c>
      <c r="AZ14" s="11">
        <f t="shared" si="4"/>
        <v>36.75476755417521</v>
      </c>
      <c r="BA14" s="12">
        <f t="shared" si="5"/>
        <v>759.8689158272</v>
      </c>
      <c r="BC14" s="14">
        <f t="shared" si="6"/>
        <v>41.180948809377</v>
      </c>
      <c r="BD14" s="15">
        <f t="shared" si="7"/>
        <v>672.35248394048006</v>
      </c>
      <c r="BF14" s="16">
        <f t="shared" si="8"/>
        <v>34.0142402458156</v>
      </c>
      <c r="BG14" s="17">
        <f t="shared" si="9"/>
        <v>703.32032010943999</v>
      </c>
      <c r="BI14">
        <v>49</v>
      </c>
      <c r="BJ14" t="s">
        <v>39</v>
      </c>
      <c r="BK14" s="2">
        <v>46170.83997685185</v>
      </c>
      <c r="BL14">
        <v>175</v>
      </c>
      <c r="BM14" t="s">
        <v>13</v>
      </c>
      <c r="BN14">
        <v>0</v>
      </c>
      <c r="BO14">
        <v>2.8929999999999998</v>
      </c>
      <c r="BP14" s="3">
        <v>669091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50</v>
      </c>
      <c r="B15" t="s">
        <v>40</v>
      </c>
      <c r="C15" s="2">
        <v>46170.861157407409</v>
      </c>
      <c r="D15">
        <v>372</v>
      </c>
      <c r="E15" t="s">
        <v>13</v>
      </c>
      <c r="F15">
        <v>0</v>
      </c>
      <c r="G15">
        <v>6.0540000000000003</v>
      </c>
      <c r="H15" s="3">
        <v>13646</v>
      </c>
      <c r="I15">
        <v>2.8000000000000001E-2</v>
      </c>
      <c r="J15" t="s">
        <v>14</v>
      </c>
      <c r="K15" t="s">
        <v>14</v>
      </c>
      <c r="L15" t="s">
        <v>14</v>
      </c>
      <c r="M15" t="s">
        <v>14</v>
      </c>
      <c r="O15">
        <v>50</v>
      </c>
      <c r="P15" t="s">
        <v>40</v>
      </c>
      <c r="Q15" s="2">
        <v>46170.861157407409</v>
      </c>
      <c r="R15">
        <v>372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50</v>
      </c>
      <c r="AD15" t="s">
        <v>40</v>
      </c>
      <c r="AE15" s="2">
        <v>46170.861157407409</v>
      </c>
      <c r="AF15">
        <v>372</v>
      </c>
      <c r="AG15" t="s">
        <v>13</v>
      </c>
      <c r="AH15">
        <v>0</v>
      </c>
      <c r="AI15">
        <v>12.317</v>
      </c>
      <c r="AJ15" s="3">
        <v>3202</v>
      </c>
      <c r="AK15">
        <v>0.63900000000000001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32.836189307857602</v>
      </c>
      <c r="AU15" s="17">
        <f t="shared" si="1"/>
        <v>639.72834785516</v>
      </c>
      <c r="AW15" s="9">
        <f t="shared" si="2"/>
        <v>30.811119600668</v>
      </c>
      <c r="AX15" s="10">
        <f t="shared" si="3"/>
        <v>754.89169609559997</v>
      </c>
      <c r="AZ15" s="11">
        <f t="shared" si="4"/>
        <v>35.1849755943392</v>
      </c>
      <c r="BA15" s="12">
        <f t="shared" si="5"/>
        <v>689.89688232080005</v>
      </c>
      <c r="BC15" s="14">
        <f t="shared" si="6"/>
        <v>39.728597897892001</v>
      </c>
      <c r="BD15" s="15">
        <f t="shared" si="7"/>
        <v>594.59229490772009</v>
      </c>
      <c r="BF15" s="16">
        <f t="shared" si="8"/>
        <v>32.836189307857602</v>
      </c>
      <c r="BG15" s="17">
        <f t="shared" si="9"/>
        <v>639.72834785516</v>
      </c>
      <c r="BI15">
        <v>50</v>
      </c>
      <c r="BJ15" t="s">
        <v>40</v>
      </c>
      <c r="BK15" s="2">
        <v>46170.861157407409</v>
      </c>
      <c r="BL15">
        <v>372</v>
      </c>
      <c r="BM15" t="s">
        <v>13</v>
      </c>
      <c r="BN15">
        <v>0</v>
      </c>
      <c r="BO15">
        <v>2.8839999999999999</v>
      </c>
      <c r="BP15" s="3">
        <v>724601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51</v>
      </c>
      <c r="B16" t="s">
        <v>41</v>
      </c>
      <c r="C16" s="2">
        <v>46170.882314814815</v>
      </c>
      <c r="D16">
        <v>340</v>
      </c>
      <c r="E16" t="s">
        <v>13</v>
      </c>
      <c r="F16">
        <v>0</v>
      </c>
      <c r="G16">
        <v>6.0510000000000002</v>
      </c>
      <c r="H16" s="3">
        <v>13164</v>
      </c>
      <c r="I16">
        <v>2.7E-2</v>
      </c>
      <c r="J16" t="s">
        <v>14</v>
      </c>
      <c r="K16" t="s">
        <v>14</v>
      </c>
      <c r="L16" t="s">
        <v>14</v>
      </c>
      <c r="M16" t="s">
        <v>14</v>
      </c>
      <c r="O16">
        <v>51</v>
      </c>
      <c r="P16" t="s">
        <v>41</v>
      </c>
      <c r="Q16" s="2">
        <v>46170.882314814815</v>
      </c>
      <c r="R16">
        <v>340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51</v>
      </c>
      <c r="AD16" t="s">
        <v>41</v>
      </c>
      <c r="AE16" s="2">
        <v>46170.882314814815</v>
      </c>
      <c r="AF16">
        <v>340</v>
      </c>
      <c r="AG16" t="s">
        <v>13</v>
      </c>
      <c r="AH16">
        <v>0</v>
      </c>
      <c r="AI16">
        <v>12.315</v>
      </c>
      <c r="AJ16" s="3">
        <v>3481</v>
      </c>
      <c r="AK16">
        <v>0.68700000000000006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31.790293306745603</v>
      </c>
      <c r="AU16" s="17">
        <f t="shared" si="1"/>
        <v>691.60538035018999</v>
      </c>
      <c r="AW16" s="9">
        <f t="shared" ref="AW16:AW17" si="10">IF(H16&lt;10000,((H16^2*0.00000054)+(H16*-0.004765)+(12.72)),(IF(H16&lt;200000,((H16^2*-0.000000001577)+(H16*0.003043)+(-10.42)),(IF(H16&lt;8000000,((H16^2*-0.0000000000186)+(H16*0.00194)+(154.1)),((V16^2*-0.00000002)+(V16*0.2565)+(-1032)))))))</f>
        <v>29.364772257007999</v>
      </c>
      <c r="AX16" s="10">
        <f t="shared" ref="AX16:AX17" si="11">IF(AJ16&lt;45000,((-0.0000004561*AJ16^2)+(0.244*AJ16)+(-21.72)),((-0.0000000409*AJ16^2)+(0.2477*AJ16)+(-1777)))</f>
        <v>822.1172716479</v>
      </c>
      <c r="AZ16" s="11">
        <f t="shared" ref="AZ16:AZ17" si="12">IF(H16&lt;10000,((H16^2*0.00000005714)+(H16*0.002453)+(-3.811)),(IF(H16&lt;200000,((H16^2*-0.0000000002888)+(H16*0.002899)+(-4.321)),(IF(H16&lt;8000000,((H16^2*-0.0000000000062)+(H16*0.002143)+(157)),((V16^2*-0.000000031)+(V16*0.2771)+(-709.5)))))))</f>
        <v>33.791389589235202</v>
      </c>
      <c r="BA16" s="12">
        <f t="shared" ref="BA16:BA17" si="13">IF(AJ16&lt;45000,((-0.0000000598*AJ16^2)+(0.205*AJ16)+(34.1)),((-0.00000002403*AJ16^2)+(0.2063*AJ16)+(-550.7)))</f>
        <v>746.98038181219988</v>
      </c>
      <c r="BC16" s="14">
        <f t="shared" ref="BC16:BC17" si="14">IF(H16&lt;10000,((H16^2*0.000000008493)+(H16*0.003482)+(-3.269)),(IF(H16&lt;200000,((H16^2*-0.000000000263)+(H16*0.002682)+(3.179)),(IF(H16&lt;8000000,((H16^2*-0.000000000005099)+(H16*0.002054)+(174.8)),((V16^2*-0.00000001014)+(V16*0.2415)+(1123)))))))</f>
        <v>38.439272494351997</v>
      </c>
      <c r="BD16" s="15">
        <f t="shared" ref="BD16:BD17" si="15">IF(AJ16&lt;45000,((-0.00000004907*AJ16^2)+(0.2277*AJ16)+(-134)),((-0.00000001062*AJ16^2)+(0.2147*AJ16)+(590.6)))</f>
        <v>658.02910109573008</v>
      </c>
      <c r="BF16" s="16">
        <f t="shared" si="8"/>
        <v>31.790293306745603</v>
      </c>
      <c r="BG16" s="17">
        <f t="shared" si="9"/>
        <v>691.60538035018999</v>
      </c>
      <c r="BI16">
        <v>51</v>
      </c>
      <c r="BJ16" t="s">
        <v>41</v>
      </c>
      <c r="BK16" s="2">
        <v>46170.882314814815</v>
      </c>
      <c r="BL16">
        <v>340</v>
      </c>
      <c r="BM16" t="s">
        <v>13</v>
      </c>
      <c r="BN16">
        <v>0</v>
      </c>
      <c r="BO16">
        <v>2.8860000000000001</v>
      </c>
      <c r="BP16" s="3">
        <v>695112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52</v>
      </c>
      <c r="B17" t="s">
        <v>42</v>
      </c>
      <c r="C17" s="2">
        <v>46170.903483796297</v>
      </c>
      <c r="D17">
        <v>26</v>
      </c>
      <c r="E17" t="s">
        <v>13</v>
      </c>
      <c r="F17">
        <v>0</v>
      </c>
      <c r="G17">
        <v>6.0579999999999998</v>
      </c>
      <c r="H17" s="3">
        <v>13994</v>
      </c>
      <c r="I17">
        <v>2.8000000000000001E-2</v>
      </c>
      <c r="J17" t="s">
        <v>14</v>
      </c>
      <c r="K17" t="s">
        <v>14</v>
      </c>
      <c r="L17" t="s">
        <v>14</v>
      </c>
      <c r="M17" t="s">
        <v>14</v>
      </c>
      <c r="O17">
        <v>52</v>
      </c>
      <c r="P17" t="s">
        <v>42</v>
      </c>
      <c r="Q17" s="2">
        <v>46170.903483796297</v>
      </c>
      <c r="R17">
        <v>26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52</v>
      </c>
      <c r="AD17" t="s">
        <v>42</v>
      </c>
      <c r="AE17" s="2">
        <v>46170.903483796297</v>
      </c>
      <c r="AF17">
        <v>26</v>
      </c>
      <c r="AG17" t="s">
        <v>13</v>
      </c>
      <c r="AH17">
        <v>0</v>
      </c>
      <c r="AI17">
        <v>12.273999999999999</v>
      </c>
      <c r="AJ17" s="3">
        <v>40562</v>
      </c>
      <c r="AK17">
        <v>7.0209999999999999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33.591208821649602</v>
      </c>
      <c r="AU17" s="17">
        <f t="shared" si="1"/>
        <v>7635.9978224567603</v>
      </c>
      <c r="AW17" s="9">
        <f t="shared" si="10"/>
        <v>31.854914879227998</v>
      </c>
      <c r="AX17" s="10">
        <f t="shared" si="11"/>
        <v>9124.9976875516004</v>
      </c>
      <c r="AZ17" s="11">
        <f t="shared" si="12"/>
        <v>36.191049708003206</v>
      </c>
      <c r="BA17" s="12">
        <f t="shared" si="13"/>
        <v>8250.9225045288003</v>
      </c>
      <c r="BC17" s="14">
        <f t="shared" si="14"/>
        <v>40.659404174532007</v>
      </c>
      <c r="BD17" s="15">
        <f t="shared" si="15"/>
        <v>9021.2337143349214</v>
      </c>
      <c r="BF17" s="16">
        <f t="shared" si="8"/>
        <v>33.591208821649602</v>
      </c>
      <c r="BG17" s="17">
        <f t="shared" si="9"/>
        <v>7635.9978224567603</v>
      </c>
      <c r="BI17">
        <v>52</v>
      </c>
      <c r="BJ17" t="s">
        <v>42</v>
      </c>
      <c r="BK17" s="2">
        <v>46170.903483796297</v>
      </c>
      <c r="BL17">
        <v>26</v>
      </c>
      <c r="BM17" t="s">
        <v>13</v>
      </c>
      <c r="BN17">
        <v>0</v>
      </c>
      <c r="BO17">
        <v>2.8809999999999998</v>
      </c>
      <c r="BP17" s="3">
        <v>871324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53</v>
      </c>
      <c r="B18" t="s">
        <v>43</v>
      </c>
      <c r="C18" s="2">
        <v>46170.92465277778</v>
      </c>
      <c r="D18">
        <v>414</v>
      </c>
      <c r="E18" t="s">
        <v>13</v>
      </c>
      <c r="F18">
        <v>0</v>
      </c>
      <c r="G18">
        <v>6.0549999999999997</v>
      </c>
      <c r="H18" s="3">
        <v>9803</v>
      </c>
      <c r="I18">
        <v>0.02</v>
      </c>
      <c r="J18" t="s">
        <v>14</v>
      </c>
      <c r="K18" t="s">
        <v>14</v>
      </c>
      <c r="L18" t="s">
        <v>14</v>
      </c>
      <c r="M18" t="s">
        <v>14</v>
      </c>
      <c r="O18">
        <v>53</v>
      </c>
      <c r="P18" t="s">
        <v>43</v>
      </c>
      <c r="Q18" s="2">
        <v>46170.92465277778</v>
      </c>
      <c r="R18">
        <v>414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53</v>
      </c>
      <c r="AD18" t="s">
        <v>43</v>
      </c>
      <c r="AE18" s="2">
        <v>46170.92465277778</v>
      </c>
      <c r="AF18">
        <v>414</v>
      </c>
      <c r="AG18" t="s">
        <v>13</v>
      </c>
      <c r="AH18">
        <v>0</v>
      </c>
      <c r="AI18">
        <v>12.292</v>
      </c>
      <c r="AJ18" s="3">
        <v>19224</v>
      </c>
      <c r="AK18">
        <v>3.3769999999999998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26.568904023373999</v>
      </c>
      <c r="AU18" s="17">
        <f t="shared" si="1"/>
        <v>3627.8734302790399</v>
      </c>
      <c r="AW18" s="9">
        <f t="shared" ref="AW18:AW22" si="16">IF(H18&lt;10000,((H18^2*0.00000054)+(H18*-0.004765)+(12.72)),(IF(H18&lt;200000,((H18^2*-0.000000001577)+(H18*0.003043)+(-10.42)),(IF(H18&lt;8000000,((H18^2*-0.0000000000186)+(H18*0.00194)+(154.1)),((V18^2*-0.00000002)+(V18*0.2565)+(-1032)))))))</f>
        <v>17.902061860000003</v>
      </c>
      <c r="AX18" s="10">
        <f t="shared" ref="AX18:AX22" si="17">IF(AJ18&lt;45000,((-0.0000004561*AJ18^2)+(0.244*AJ18)+(-21.72)),((-0.0000000409*AJ18^2)+(0.2477*AJ18)+(-1777)))</f>
        <v>4500.3786915264</v>
      </c>
      <c r="AZ18" s="11">
        <f t="shared" ref="AZ18:AZ22" si="18">IF(H18&lt;10000,((H18^2*0.00000005714)+(H18*0.002453)+(-3.811)),(IF(H18&lt;200000,((H18^2*-0.0000000002888)+(H18*0.002899)+(-4.321)),(IF(H18&lt;8000000,((H18^2*-0.0000000000062)+(H18*0.002143)+(157)),((V18^2*-0.000000031)+(V18*0.2771)+(-709.5)))))))</f>
        <v>25.726844946259998</v>
      </c>
      <c r="BA18" s="12">
        <f t="shared" ref="BA18:BA22" si="19">IF(AJ18&lt;45000,((-0.0000000598*AJ18^2)+(0.205*AJ18)+(34.1)),((-0.00000002403*AJ18^2)+(0.2063*AJ18)+(-550.7)))</f>
        <v>3952.9201818751994</v>
      </c>
      <c r="BC18" s="14">
        <f t="shared" ref="BC18:BC22" si="20">IF(H18&lt;10000,((H18^2*0.000000008493)+(H18*0.003482)+(-3.269)),(IF(H18&lt;200000,((H18^2*-0.000000000263)+(H18*0.002682)+(3.179)),(IF(H18&lt;8000000,((H18^2*-0.000000000005099)+(H18*0.002054)+(174.8)),((V18^2*-0.00000001014)+(V18*0.2415)+(1123)))))))</f>
        <v>31.681213184836999</v>
      </c>
      <c r="BD18" s="15">
        <f t="shared" ref="BD18:BD22" si="21">IF(AJ18&lt;45000,((-0.00000004907*AJ18^2)+(0.2277*AJ18)+(-134)),((-0.00000001062*AJ18^2)+(0.2147*AJ18)+(590.6)))</f>
        <v>4225.1703840236796</v>
      </c>
      <c r="BF18" s="16">
        <f t="shared" si="8"/>
        <v>26.568904023373999</v>
      </c>
      <c r="BG18" s="17">
        <f t="shared" si="9"/>
        <v>3627.8734302790399</v>
      </c>
      <c r="BI18">
        <v>53</v>
      </c>
      <c r="BJ18" t="s">
        <v>43</v>
      </c>
      <c r="BK18" s="2">
        <v>46170.92465277778</v>
      </c>
      <c r="BL18">
        <v>414</v>
      </c>
      <c r="BM18" t="s">
        <v>13</v>
      </c>
      <c r="BN18">
        <v>0</v>
      </c>
      <c r="BO18">
        <v>2.8820000000000001</v>
      </c>
      <c r="BP18" s="3">
        <v>771714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54</v>
      </c>
      <c r="B19" t="s">
        <v>44</v>
      </c>
      <c r="C19" s="2">
        <v>46170.945821759262</v>
      </c>
      <c r="D19">
        <v>237</v>
      </c>
      <c r="E19" t="s">
        <v>13</v>
      </c>
      <c r="F19">
        <v>0</v>
      </c>
      <c r="G19">
        <v>6.06</v>
      </c>
      <c r="H19" s="3">
        <v>14615</v>
      </c>
      <c r="I19">
        <v>0.03</v>
      </c>
      <c r="J19" t="s">
        <v>14</v>
      </c>
      <c r="K19" t="s">
        <v>14</v>
      </c>
      <c r="L19" t="s">
        <v>14</v>
      </c>
      <c r="M19" t="s">
        <v>14</v>
      </c>
      <c r="O19">
        <v>54</v>
      </c>
      <c r="P19" t="s">
        <v>44</v>
      </c>
      <c r="Q19" s="2">
        <v>46170.945821759262</v>
      </c>
      <c r="R19">
        <v>237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54</v>
      </c>
      <c r="AD19" t="s">
        <v>44</v>
      </c>
      <c r="AE19" s="2">
        <v>46170.945821759262</v>
      </c>
      <c r="AF19">
        <v>237</v>
      </c>
      <c r="AG19" t="s">
        <v>13</v>
      </c>
      <c r="AH19">
        <v>0</v>
      </c>
      <c r="AI19">
        <v>12.279</v>
      </c>
      <c r="AJ19" s="3">
        <v>41888</v>
      </c>
      <c r="AK19">
        <v>7.2480000000000002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34.938301628110004</v>
      </c>
      <c r="AU19" s="17">
        <f t="shared" si="1"/>
        <v>7886.1488966297602</v>
      </c>
      <c r="AW19" s="9">
        <f t="shared" si="16"/>
        <v>33.716600599175003</v>
      </c>
      <c r="AX19" s="10">
        <f t="shared" si="17"/>
        <v>9398.6768674816012</v>
      </c>
      <c r="AZ19" s="11">
        <f t="shared" si="18"/>
        <v>37.98619783262</v>
      </c>
      <c r="BA19" s="12">
        <f t="shared" si="19"/>
        <v>8516.2146482687986</v>
      </c>
      <c r="BC19" s="14">
        <f t="shared" si="20"/>
        <v>42.320253666824996</v>
      </c>
      <c r="BD19" s="15">
        <f t="shared" si="21"/>
        <v>9317.7991550259194</v>
      </c>
      <c r="BF19" s="16">
        <f t="shared" si="8"/>
        <v>34.938301628110004</v>
      </c>
      <c r="BG19" s="17">
        <f t="shared" si="9"/>
        <v>7886.1488966297602</v>
      </c>
      <c r="BI19">
        <v>54</v>
      </c>
      <c r="BJ19" t="s">
        <v>44</v>
      </c>
      <c r="BK19" s="2">
        <v>46170.945821759262</v>
      </c>
      <c r="BL19">
        <v>237</v>
      </c>
      <c r="BM19" t="s">
        <v>13</v>
      </c>
      <c r="BN19">
        <v>0</v>
      </c>
      <c r="BO19">
        <v>2.8849999999999998</v>
      </c>
      <c r="BP19" s="3">
        <v>815733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55</v>
      </c>
      <c r="B20" t="s">
        <v>45</v>
      </c>
      <c r="C20" s="2">
        <v>46170.967002314814</v>
      </c>
      <c r="D20">
        <v>82</v>
      </c>
      <c r="E20" t="s">
        <v>13</v>
      </c>
      <c r="F20">
        <v>0</v>
      </c>
      <c r="G20">
        <v>6.0609999999999999</v>
      </c>
      <c r="H20" s="3">
        <v>9598</v>
      </c>
      <c r="I20">
        <v>0.02</v>
      </c>
      <c r="J20" t="s">
        <v>14</v>
      </c>
      <c r="K20" t="s">
        <v>14</v>
      </c>
      <c r="L20" t="s">
        <v>14</v>
      </c>
      <c r="M20" t="s">
        <v>14</v>
      </c>
      <c r="O20">
        <v>55</v>
      </c>
      <c r="P20" t="s">
        <v>45</v>
      </c>
      <c r="Q20" s="2">
        <v>46170.967002314814</v>
      </c>
      <c r="R20">
        <v>82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55</v>
      </c>
      <c r="AD20" t="s">
        <v>45</v>
      </c>
      <c r="AE20" s="2">
        <v>46170.967002314814</v>
      </c>
      <c r="AF20">
        <v>82</v>
      </c>
      <c r="AG20" t="s">
        <v>13</v>
      </c>
      <c r="AH20">
        <v>0</v>
      </c>
      <c r="AI20">
        <v>12.301</v>
      </c>
      <c r="AJ20" s="3">
        <v>18733</v>
      </c>
      <c r="AK20">
        <v>3.2930000000000001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26.049650362744</v>
      </c>
      <c r="AU20" s="17">
        <f t="shared" si="1"/>
        <v>3536.0277160933101</v>
      </c>
      <c r="AW20" s="9">
        <f t="shared" si="16"/>
        <v>16.731196159999996</v>
      </c>
      <c r="AX20" s="10">
        <f t="shared" si="17"/>
        <v>4389.0749756871</v>
      </c>
      <c r="AZ20" s="11">
        <f t="shared" si="18"/>
        <v>24.99672245256</v>
      </c>
      <c r="BA20" s="12">
        <f t="shared" si="19"/>
        <v>3853.3796677177997</v>
      </c>
      <c r="BC20" s="14">
        <f t="shared" si="20"/>
        <v>30.933624782772</v>
      </c>
      <c r="BD20" s="15">
        <f t="shared" si="21"/>
        <v>4114.2841960687701</v>
      </c>
      <c r="BF20" s="16">
        <f t="shared" si="8"/>
        <v>26.049650362744</v>
      </c>
      <c r="BG20" s="17">
        <f t="shared" si="9"/>
        <v>3536.0277160933101</v>
      </c>
      <c r="BI20">
        <v>55</v>
      </c>
      <c r="BJ20" t="s">
        <v>45</v>
      </c>
      <c r="BK20" s="2">
        <v>46170.967002314814</v>
      </c>
      <c r="BL20">
        <v>82</v>
      </c>
      <c r="BM20" t="s">
        <v>13</v>
      </c>
      <c r="BN20">
        <v>0</v>
      </c>
      <c r="BO20">
        <v>2.8889999999999998</v>
      </c>
      <c r="BP20" s="3">
        <v>759817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56</v>
      </c>
      <c r="B21" t="s">
        <v>46</v>
      </c>
      <c r="C21" s="2">
        <v>46170.988182870373</v>
      </c>
      <c r="D21">
        <v>334</v>
      </c>
      <c r="E21" t="s">
        <v>13</v>
      </c>
      <c r="F21">
        <v>0</v>
      </c>
      <c r="G21">
        <v>6.0519999999999996</v>
      </c>
      <c r="H21" s="3">
        <v>15905</v>
      </c>
      <c r="I21">
        <v>3.2000000000000001E-2</v>
      </c>
      <c r="J21" t="s">
        <v>14</v>
      </c>
      <c r="K21" t="s">
        <v>14</v>
      </c>
      <c r="L21" t="s">
        <v>14</v>
      </c>
      <c r="M21" t="s">
        <v>14</v>
      </c>
      <c r="O21">
        <v>56</v>
      </c>
      <c r="P21" t="s">
        <v>46</v>
      </c>
      <c r="Q21" s="2">
        <v>46170.988182870373</v>
      </c>
      <c r="R21">
        <v>334</v>
      </c>
      <c r="S21" t="s">
        <v>13</v>
      </c>
      <c r="T21">
        <v>0</v>
      </c>
      <c r="U21" t="s">
        <v>14</v>
      </c>
      <c r="V21" s="3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56</v>
      </c>
      <c r="AD21" t="s">
        <v>46</v>
      </c>
      <c r="AE21" s="2">
        <v>46170.988182870373</v>
      </c>
      <c r="AF21">
        <v>334</v>
      </c>
      <c r="AG21" t="s">
        <v>13</v>
      </c>
      <c r="AH21">
        <v>0</v>
      </c>
      <c r="AI21">
        <v>12.32</v>
      </c>
      <c r="AJ21" s="3">
        <v>3588</v>
      </c>
      <c r="AK21">
        <v>0.70499999999999996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37.735682458989999</v>
      </c>
      <c r="AU21" s="17">
        <f t="shared" si="1"/>
        <v>711.50235129776001</v>
      </c>
      <c r="AW21" s="9">
        <f t="shared" si="16"/>
        <v>37.579982847575003</v>
      </c>
      <c r="AX21" s="10">
        <f t="shared" si="17"/>
        <v>847.88028536159993</v>
      </c>
      <c r="AZ21" s="11">
        <f t="shared" si="18"/>
        <v>41.714537545580001</v>
      </c>
      <c r="BA21" s="12">
        <f t="shared" si="19"/>
        <v>768.87015010879998</v>
      </c>
      <c r="BC21" s="14">
        <f t="shared" si="20"/>
        <v>45.769679146424998</v>
      </c>
      <c r="BD21" s="15">
        <f t="shared" si="21"/>
        <v>682.35588538192007</v>
      </c>
      <c r="BF21" s="16">
        <f t="shared" si="8"/>
        <v>37.735682458989999</v>
      </c>
      <c r="BG21" s="17">
        <f t="shared" si="9"/>
        <v>711.50235129776001</v>
      </c>
      <c r="BI21">
        <v>56</v>
      </c>
      <c r="BJ21" t="s">
        <v>46</v>
      </c>
      <c r="BK21" s="2">
        <v>46170.988182870373</v>
      </c>
      <c r="BL21">
        <v>334</v>
      </c>
      <c r="BM21" t="s">
        <v>13</v>
      </c>
      <c r="BN21">
        <v>0</v>
      </c>
      <c r="BO21">
        <v>2.883</v>
      </c>
      <c r="BP21" s="3">
        <v>755883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57</v>
      </c>
      <c r="B22" t="s">
        <v>47</v>
      </c>
      <c r="C22" s="2">
        <v>46171.009375000001</v>
      </c>
      <c r="D22">
        <v>282</v>
      </c>
      <c r="E22" t="s">
        <v>13</v>
      </c>
      <c r="F22">
        <v>0</v>
      </c>
      <c r="G22">
        <v>6.0579999999999998</v>
      </c>
      <c r="H22" s="3">
        <v>6466</v>
      </c>
      <c r="I22">
        <v>1.2999999999999999E-2</v>
      </c>
      <c r="J22" t="s">
        <v>14</v>
      </c>
      <c r="K22" t="s">
        <v>14</v>
      </c>
      <c r="L22" t="s">
        <v>14</v>
      </c>
      <c r="M22" t="s">
        <v>14</v>
      </c>
      <c r="O22">
        <v>57</v>
      </c>
      <c r="P22" t="s">
        <v>47</v>
      </c>
      <c r="Q22" s="2">
        <v>46171.009375000001</v>
      </c>
      <c r="R22">
        <v>282</v>
      </c>
      <c r="S22" t="s">
        <v>13</v>
      </c>
      <c r="T22">
        <v>0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57</v>
      </c>
      <c r="AD22" t="s">
        <v>47</v>
      </c>
      <c r="AE22" s="2">
        <v>46171.009375000001</v>
      </c>
      <c r="AF22">
        <v>282</v>
      </c>
      <c r="AG22" t="s">
        <v>13</v>
      </c>
      <c r="AH22">
        <v>0</v>
      </c>
      <c r="AI22">
        <v>12.275</v>
      </c>
      <c r="AJ22" s="3">
        <v>36226</v>
      </c>
      <c r="AK22">
        <v>6.2809999999999997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18.077650794615998</v>
      </c>
      <c r="AU22" s="17">
        <f t="shared" si="1"/>
        <v>6818.8862428900402</v>
      </c>
      <c r="AW22" s="9">
        <f t="shared" si="16"/>
        <v>4.4864542399999987</v>
      </c>
      <c r="AX22" s="10">
        <f t="shared" si="17"/>
        <v>8218.8734450364009</v>
      </c>
      <c r="AZ22" s="11">
        <f t="shared" si="18"/>
        <v>14.439073173840001</v>
      </c>
      <c r="BA22" s="12">
        <f t="shared" si="19"/>
        <v>7381.9530800552002</v>
      </c>
      <c r="BC22" s="14">
        <f t="shared" si="20"/>
        <v>19.600697161908002</v>
      </c>
      <c r="BD22" s="15">
        <f t="shared" si="21"/>
        <v>8050.2645066606801</v>
      </c>
      <c r="BF22" s="16">
        <f t="shared" si="8"/>
        <v>18.077650794615998</v>
      </c>
      <c r="BG22" s="17">
        <f t="shared" si="9"/>
        <v>6818.8862428900402</v>
      </c>
      <c r="BI22">
        <v>57</v>
      </c>
      <c r="BJ22" t="s">
        <v>47</v>
      </c>
      <c r="BK22" s="2">
        <v>46171.009375000001</v>
      </c>
      <c r="BL22">
        <v>282</v>
      </c>
      <c r="BM22" t="s">
        <v>13</v>
      </c>
      <c r="BN22">
        <v>0</v>
      </c>
      <c r="BO22">
        <v>2.8660000000000001</v>
      </c>
      <c r="BP22" s="3">
        <v>1042316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2026-06-01T16:54:51Z</dcterms:modified>
</cp:coreProperties>
</file>