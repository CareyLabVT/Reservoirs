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2A7D5A84-A9DD-4D79-B70A-D37AC2F7276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<sst xmlns="http://schemas.openxmlformats.org/spreadsheetml/2006/main" count="798" uniqueCount="64">
  <si>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</si>
  <si>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</si>
  <si>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</si>
  <si>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</si>
  <si>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</si>
  <si>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</si>
  <si>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</si>
  <si>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</si>
  <si>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</si>
  <si>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</si>
  <si>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</si>
  <si>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</si>
  <si>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</si>
  <si>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</si>
  <si>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</si>
  <si>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</si>
  <si>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</si>
  <si>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</si>
  <si>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</si>
  <si>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</si>
  <si>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</si>
  <si>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</si>
  <si>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</si>
  <si>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</si>
  <si>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</si>
  <si>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</si>
  <si>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</si>
  <si>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</si>
  <si>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</si>
  <si>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</si>
  <si>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</si>
  <si>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</si>
  <si>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</si>
  <si>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</si>
  <si>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</si>
  <si>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FMI20260601_001.gcd</t>
  </si>
  <si>
    <t>FMI20260601_002.gcd</t>
  </si>
  <si>
    <t>FMI20260601_003.gcd</t>
  </si>
  <si>
    <t>FMI20260601_004.gcd</t>
  </si>
  <si>
    <t>FMI20260601_005.gcd</t>
  </si>
  <si>
    <t>FMI20260601_006.gcd</t>
  </si>
  <si>
    <t>FMI20260601_007.gcd</t>
  </si>
  <si>
    <t>FMI20260601_008.gcd</t>
  </si>
  <si>
    <t>FMI20260601_009.gcd</t>
  </si>
  <si>
    <t>FMI20260601_010.gcd</t>
  </si>
  <si>
    <t>FMI20260601_011.gcd</t>
  </si>
  <si>
    <t>FMI20260601_012.gcd</t>
  </si>
  <si>
    <t>FMI20260601_013.gcd</t>
  </si>
  <si>
    <t>FMI20260601_014.gcd</t>
  </si>
  <si>
    <t>FMI20260601_015.gcd</t>
  </si>
  <si>
    <t>FMI20260601_016.gcd</t>
  </si>
  <si>
    <t>FMI20260601_017.gcd</t>
  </si>
  <si>
    <t>FMI20260601_018.gcd</t>
  </si>
  <si>
    <t>FMI20260601_019.gcd</t>
  </si>
  <si>
    <t>FMI20260601_020.gcd</t>
  </si>
  <si>
    <t>FMI20260601_021.gcd</t>
  </si>
  <si>
    <t>FMI20260601_022.gcd</t>
  </si>
  <si>
    <t>FMI20260601_023.gcd</t>
  </si>
  <si>
    <t>FMI20260601_024.gcd</t>
  </si>
  <si>
    <t>FMI20260601_025.gcd</t>
  </si>
  <si>
    <t>FMI20260601_026.gcd</t>
  </si>
  <si>
    <t>FMI20260601_027.gcd</t>
  </si>
  <si>
    <t>small bubble and loose cap- recrimped vial</t>
  </si>
  <si>
    <t>leaked when creating headspace- discard if dups don't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</si>
</sst>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E1" workbookViewId="0">
      <selection activeCell="AQ16" sqref="AQ16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46174.696666666663</v>
      </c>
      <c r="D9" t="s">
        <v>31</v>
      </c>
      <c r="E9" t="s">
        <v>13</v>
      </c>
      <c r="F9">
        <v>0</v>
      </c>
      <c r="G9">
        <v>6.0970000000000004</v>
      </c>
      <c r="H9" s="3">
        <v>1647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46174.696666666663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46174.696666666663</v>
      </c>
      <c r="AF9" t="s">
        <v>31</v>
      </c>
      <c r="AG9" t="s">
        <v>13</v>
      </c>
      <c r="AH9">
        <v>0</v>
      </c>
      <c r="AI9">
        <v>12.37</v>
      </c>
      <c r="AJ9" s="3">
        <v>2029</v>
      </c>
      <c r="AK9">
        <v>0.439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5" si="0">IF($H9&lt;10000,(($H9^2*-0.000000003714)+($H9*0.002605)+(1.389)),(IF($H9&lt;200000,(($H9^2*-0.0000000003764)+($H9*0.00218)+(3.158)),(IF($H9&lt;8000000,(($H9^2*-0.000000000004719)+($H9*0.001816)+(146.1)),(($V9^2*0.000000002578)+($V9*0.2173)+(2294)))))))</f>
        <v>5.669360370174001</v>
      </c>
      <c r="AU9" s="17">
        <f t="shared" ref="AU9:AU35" si="1">IF($AJ9&lt;45000,((0.00000003579*$AJ9^2)+(0.1857*$AJ9)+(44.75)),((0.0000000022829*$AJ9^2)+(0.1634*$AJ9)+(1620)))</f>
        <v>421.68264173939002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6.3368538600000006</v>
      </c>
      <c r="AX9" s="10">
        <f t="shared" ref="AX9:AX14" si="3">IF(AJ9&lt;45000,((-0.0000004561*AJ9^2)+(0.244*AJ9)+(-21.72)),((-0.0000000409*AJ9^2)+(0.2477*AJ9)+(-1777)))</f>
        <v>471.47830881990001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0.38408947825999906</v>
      </c>
      <c r="BA9" s="12">
        <f t="shared" ref="BA9:BA14" si="5">IF(AJ9&lt;45000,((-0.0000000598*AJ9^2)+(0.205*AJ9)+(34.1)),((-0.00000002403*AJ9^2)+(0.2063*AJ9)+(-550.7)))</f>
        <v>449.79881290820003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2.4888921882369992</v>
      </c>
      <c r="BD9" s="15">
        <f t="shared" ref="BD9:BD14" si="7">IF(AJ9&lt;45000,((-0.00000004907*AJ9^2)+(0.2277*AJ9)+(-134)),((-0.00000001062*AJ9^2)+(0.2147*AJ9)+(590.6)))</f>
        <v>327.80128661213001</v>
      </c>
      <c r="BF9" s="16">
        <f t="shared" ref="BF9:BF35" si="8">IF($H9&lt;10000,(($H9^2*-0.000000003714)+($H9*0.002605)+(1.389)),(IF($H9&lt;200000,(($H9^2*-0.0000000003764)+($H9*0.00218)+(3.158)),(IF($H9&lt;8000000,(($H9^2*-0.000000000004719)+($H9*0.001816)+(146.1)),(($V9^2*0.000000002578)+($V9*0.2173)+(2294)))))))</f>
        <v>5.669360370174001</v>
      </c>
      <c r="BG9" s="17">
        <f t="shared" ref="BG9:BG35" si="9">IF($AJ9&lt;45000,((0.00000003579*$AJ9^2)+(0.1857*$AJ9)+(44.75)),((0.0000000022829*$AJ9^2)+(0.1634*$AJ9)+(1620)))</f>
        <v>421.68264173939002</v>
      </c>
      <c r="BI9">
        <v>45</v>
      </c>
      <c r="BJ9" t="s">
        <v>35</v>
      </c>
      <c r="BK9" s="2">
        <v>46174.696666666663</v>
      </c>
      <c r="BL9" t="s">
        <v>31</v>
      </c>
      <c r="BM9" t="s">
        <v>13</v>
      </c>
      <c r="BN9">
        <v>0</v>
      </c>
      <c r="BO9">
        <v>2.7389999999999999</v>
      </c>
      <c r="BP9" s="3">
        <v>4791465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46174.717824074076</v>
      </c>
      <c r="D10" t="s">
        <v>32</v>
      </c>
      <c r="E10" t="s">
        <v>13</v>
      </c>
      <c r="F10">
        <v>0</v>
      </c>
      <c r="G10">
        <v>6.0549999999999997</v>
      </c>
      <c r="H10" s="3">
        <v>936642</v>
      </c>
      <c r="I10">
        <v>1.905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46174.717824074076</v>
      </c>
      <c r="R10" t="s">
        <v>32</v>
      </c>
      <c r="S10" t="s">
        <v>13</v>
      </c>
      <c r="T10">
        <v>0</v>
      </c>
      <c r="U10">
        <v>6.0049999999999999</v>
      </c>
      <c r="V10" s="3">
        <v>7484</v>
      </c>
      <c r="W10">
        <v>1.8560000000000001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46174.717824074076</v>
      </c>
      <c r="AF10" t="s">
        <v>32</v>
      </c>
      <c r="AG10" t="s">
        <v>13</v>
      </c>
      <c r="AH10">
        <v>0</v>
      </c>
      <c r="AI10">
        <v>12.333</v>
      </c>
      <c r="AJ10" s="3">
        <v>6990</v>
      </c>
      <c r="AK10">
        <v>1.2869999999999999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1842.9019016235418</v>
      </c>
      <c r="AU10" s="17">
        <f t="shared" si="1"/>
        <v>1344.5417029790001</v>
      </c>
      <c r="AW10" s="9">
        <f t="shared" si="2"/>
        <v>1954.8677328073497</v>
      </c>
      <c r="AX10" s="10">
        <f t="shared" si="3"/>
        <v>1661.5549083899998</v>
      </c>
      <c r="AZ10" s="11">
        <f t="shared" si="4"/>
        <v>2158.7845569357833</v>
      </c>
      <c r="BA10" s="12">
        <f t="shared" si="5"/>
        <v>1464.1281660199998</v>
      </c>
      <c r="BC10" s="14">
        <f t="shared" si="6"/>
        <v>2094.1893242937995</v>
      </c>
      <c r="BD10" s="15">
        <f t="shared" si="7"/>
        <v>1455.2254348930001</v>
      </c>
      <c r="BF10" s="16">
        <f t="shared" si="8"/>
        <v>1842.9019016235418</v>
      </c>
      <c r="BG10" s="17">
        <f t="shared" si="9"/>
        <v>1344.5417029790001</v>
      </c>
      <c r="BI10">
        <v>46</v>
      </c>
      <c r="BJ10" t="s">
        <v>36</v>
      </c>
      <c r="BK10" s="2">
        <v>46174.717824074076</v>
      </c>
      <c r="BL10" t="s">
        <v>32</v>
      </c>
      <c r="BM10" t="s">
        <v>13</v>
      </c>
      <c r="BN10">
        <v>0</v>
      </c>
      <c r="BO10">
        <v>2.7349999999999999</v>
      </c>
      <c r="BP10" s="3">
        <v>4923691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46174.738993055558</v>
      </c>
      <c r="D11" t="s">
        <v>26</v>
      </c>
      <c r="E11" t="s">
        <v>13</v>
      </c>
      <c r="F11">
        <v>0</v>
      </c>
      <c r="G11">
        <v>6.0730000000000004</v>
      </c>
      <c r="H11" s="3">
        <v>2978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46174.738993055558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46174.738993055558</v>
      </c>
      <c r="AF11" t="s">
        <v>26</v>
      </c>
      <c r="AG11" t="s">
        <v>13</v>
      </c>
      <c r="AH11">
        <v>0</v>
      </c>
      <c r="AI11">
        <v>12.361000000000001</v>
      </c>
      <c r="AJ11" s="3">
        <v>1741</v>
      </c>
      <c r="AK11">
        <v>0.39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9.1137524504240002</v>
      </c>
      <c r="AU11" s="17">
        <f t="shared" si="1"/>
        <v>368.16218238899</v>
      </c>
      <c r="AW11" s="9">
        <f t="shared" si="2"/>
        <v>3.3188113599999998</v>
      </c>
      <c r="AX11" s="10">
        <f t="shared" si="3"/>
        <v>401.70152395590003</v>
      </c>
      <c r="AZ11" s="11">
        <f t="shared" si="4"/>
        <v>4.00077917576</v>
      </c>
      <c r="BA11" s="12">
        <f t="shared" si="5"/>
        <v>390.8237413562</v>
      </c>
      <c r="BC11" s="14">
        <f t="shared" si="6"/>
        <v>7.1757160346119999</v>
      </c>
      <c r="BD11" s="15">
        <f t="shared" si="7"/>
        <v>262.27696485532999</v>
      </c>
      <c r="BF11" s="16">
        <f t="shared" si="8"/>
        <v>9.1137524504240002</v>
      </c>
      <c r="BG11" s="17">
        <f t="shared" si="9"/>
        <v>368.16218238899</v>
      </c>
      <c r="BI11">
        <v>47</v>
      </c>
      <c r="BJ11" t="s">
        <v>37</v>
      </c>
      <c r="BK11" s="2">
        <v>46174.738993055558</v>
      </c>
      <c r="BL11" t="s">
        <v>26</v>
      </c>
      <c r="BM11" t="s">
        <v>13</v>
      </c>
      <c r="BN11">
        <v>0</v>
      </c>
      <c r="BO11">
        <v>2.73</v>
      </c>
      <c r="BP11" s="3">
        <v>4851517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46174.760162037041</v>
      </c>
      <c r="D12">
        <v>236</v>
      </c>
      <c r="E12" t="s">
        <v>13</v>
      </c>
      <c r="F12">
        <v>0</v>
      </c>
      <c r="G12">
        <v>6.0590000000000002</v>
      </c>
      <c r="H12" s="3">
        <v>28359</v>
      </c>
      <c r="I12">
        <v>5.8000000000000003E-2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46174.760162037041</v>
      </c>
      <c r="R12">
        <v>236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46174.760162037041</v>
      </c>
      <c r="AF12">
        <v>236</v>
      </c>
      <c r="AG12" t="s">
        <v>13</v>
      </c>
      <c r="AH12">
        <v>0</v>
      </c>
      <c r="AI12">
        <v>12.31</v>
      </c>
      <c r="AJ12" s="3">
        <v>10158</v>
      </c>
      <c r="AK12">
        <v>1.8280000000000001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64.677906743591592</v>
      </c>
      <c r="AU12" s="17">
        <f t="shared" si="1"/>
        <v>1934.7835898615599</v>
      </c>
      <c r="AW12" s="9">
        <f t="shared" si="2"/>
        <v>74.608161746663001</v>
      </c>
      <c r="AX12" s="10">
        <f t="shared" si="3"/>
        <v>2409.7693379196003</v>
      </c>
      <c r="AZ12" s="11">
        <f t="shared" si="4"/>
        <v>77.659478543967211</v>
      </c>
      <c r="BA12" s="12">
        <f t="shared" si="5"/>
        <v>2110.3195391527997</v>
      </c>
      <c r="BC12" s="14">
        <f t="shared" si="6"/>
        <v>79.026324752297</v>
      </c>
      <c r="BD12" s="15">
        <f t="shared" si="7"/>
        <v>2173.9133138165198</v>
      </c>
      <c r="BF12" s="16">
        <f t="shared" si="8"/>
        <v>64.677906743591592</v>
      </c>
      <c r="BG12" s="17">
        <f t="shared" si="9"/>
        <v>1934.7835898615599</v>
      </c>
      <c r="BI12">
        <v>48</v>
      </c>
      <c r="BJ12" t="s">
        <v>38</v>
      </c>
      <c r="BK12" s="2">
        <v>46174.760162037041</v>
      </c>
      <c r="BL12">
        <v>236</v>
      </c>
      <c r="BM12" t="s">
        <v>13</v>
      </c>
      <c r="BN12">
        <v>0</v>
      </c>
      <c r="BO12">
        <v>2.8980000000000001</v>
      </c>
      <c r="BP12" s="3">
        <v>630274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46174.781331018516</v>
      </c>
      <c r="D13">
        <v>140</v>
      </c>
      <c r="E13" t="s">
        <v>13</v>
      </c>
      <c r="F13">
        <v>0</v>
      </c>
      <c r="G13">
        <v>6.0510000000000002</v>
      </c>
      <c r="H13" s="3">
        <v>91218</v>
      </c>
      <c r="I13">
        <v>0.185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46174.781331018516</v>
      </c>
      <c r="R13">
        <v>140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46174.781331018516</v>
      </c>
      <c r="AF13">
        <v>140</v>
      </c>
      <c r="AG13" t="s">
        <v>13</v>
      </c>
      <c r="AH13">
        <v>0</v>
      </c>
      <c r="AI13">
        <v>12.311999999999999</v>
      </c>
      <c r="AJ13" s="3">
        <v>2314</v>
      </c>
      <c r="AK13">
        <v>0.48799999999999999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198.88131966556639</v>
      </c>
      <c r="AU13" s="17">
        <f t="shared" si="1"/>
        <v>474.65144099084006</v>
      </c>
      <c r="AW13" s="9">
        <f t="shared" si="2"/>
        <v>254.03459300265197</v>
      </c>
      <c r="AX13" s="10">
        <f t="shared" si="3"/>
        <v>540.45376876439991</v>
      </c>
      <c r="AZ13" s="11">
        <f t="shared" si="4"/>
        <v>257.71695704626882</v>
      </c>
      <c r="BA13" s="12">
        <f t="shared" si="5"/>
        <v>508.14979515919998</v>
      </c>
      <c r="BC13" s="14">
        <f t="shared" si="6"/>
        <v>245.63732571318798</v>
      </c>
      <c r="BD13" s="15">
        <f t="shared" si="7"/>
        <v>392.63504997428004</v>
      </c>
      <c r="BF13" s="16">
        <f t="shared" si="8"/>
        <v>198.88131966556639</v>
      </c>
      <c r="BG13" s="17">
        <f t="shared" si="9"/>
        <v>474.65144099084006</v>
      </c>
      <c r="BI13">
        <v>49</v>
      </c>
      <c r="BJ13" t="s">
        <v>39</v>
      </c>
      <c r="BK13" s="2">
        <v>46174.781331018516</v>
      </c>
      <c r="BL13">
        <v>140</v>
      </c>
      <c r="BM13" t="s">
        <v>13</v>
      </c>
      <c r="BN13">
        <v>0</v>
      </c>
      <c r="BO13">
        <v>2.89</v>
      </c>
      <c r="BP13" s="3">
        <v>660410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46174.802488425928</v>
      </c>
      <c r="D14">
        <v>292</v>
      </c>
      <c r="E14" t="s">
        <v>13</v>
      </c>
      <c r="F14">
        <v>0</v>
      </c>
      <c r="G14">
        <v>6.0529999999999999</v>
      </c>
      <c r="H14" s="3">
        <v>49945</v>
      </c>
      <c r="I14">
        <v>0.10100000000000001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46174.802488425928</v>
      </c>
      <c r="R14">
        <v>292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46174.802488425928</v>
      </c>
      <c r="AF14">
        <v>292</v>
      </c>
      <c r="AG14" t="s">
        <v>13</v>
      </c>
      <c r="AH14">
        <v>0</v>
      </c>
      <c r="AI14">
        <v>12.234</v>
      </c>
      <c r="AJ14" s="3">
        <v>31</v>
      </c>
      <c r="AK14">
        <v>9.8000000000000004E-2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111.09916906139</v>
      </c>
      <c r="AU14" s="17">
        <f t="shared" si="1"/>
        <v>50.506734394189998</v>
      </c>
      <c r="AW14" s="9">
        <f t="shared" si="2"/>
        <v>137.62880372957503</v>
      </c>
      <c r="AX14" s="10">
        <f t="shared" si="3"/>
        <v>-14.156438312099999</v>
      </c>
      <c r="AZ14" s="11">
        <f t="shared" si="4"/>
        <v>139.74914252638001</v>
      </c>
      <c r="BA14" s="12">
        <f t="shared" si="5"/>
        <v>40.4549425322</v>
      </c>
      <c r="BC14" s="14">
        <f t="shared" si="6"/>
        <v>136.475435704425</v>
      </c>
      <c r="BD14" s="15">
        <f t="shared" si="7"/>
        <v>-126.94134715627</v>
      </c>
      <c r="BF14" s="16">
        <f t="shared" si="8"/>
        <v>111.09916906139</v>
      </c>
      <c r="BG14" s="17">
        <f t="shared" si="9"/>
        <v>50.506734394189998</v>
      </c>
      <c r="BI14">
        <v>50</v>
      </c>
      <c r="BJ14" t="s">
        <v>40</v>
      </c>
      <c r="BK14" s="2">
        <v>46174.802488425928</v>
      </c>
      <c r="BL14">
        <v>292</v>
      </c>
      <c r="BM14" t="s">
        <v>13</v>
      </c>
      <c r="BN14">
        <v>0</v>
      </c>
      <c r="BO14">
        <v>2.891</v>
      </c>
      <c r="BP14" s="3">
        <v>651362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46174.823645833334</v>
      </c>
      <c r="D15">
        <v>261</v>
      </c>
      <c r="E15" t="s">
        <v>13</v>
      </c>
      <c r="F15">
        <v>0</v>
      </c>
      <c r="G15">
        <v>6.0490000000000004</v>
      </c>
      <c r="H15" s="3">
        <v>1017987</v>
      </c>
      <c r="I15">
        <v>2.0699999999999998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46174.823645833334</v>
      </c>
      <c r="R15">
        <v>261</v>
      </c>
      <c r="S15" t="s">
        <v>13</v>
      </c>
      <c r="T15">
        <v>0</v>
      </c>
      <c r="U15">
        <v>6.0030000000000001</v>
      </c>
      <c r="V15" s="3">
        <v>8213</v>
      </c>
      <c r="W15">
        <v>2.0209999999999999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46174.823645833334</v>
      </c>
      <c r="AF15">
        <v>261</v>
      </c>
      <c r="AG15" t="s">
        <v>13</v>
      </c>
      <c r="AH15">
        <v>0</v>
      </c>
      <c r="AI15">
        <v>12.272</v>
      </c>
      <c r="AJ15" s="3">
        <v>38913</v>
      </c>
      <c r="AK15">
        <v>6.74</v>
      </c>
      <c r="AL15" t="s">
        <v>14</v>
      </c>
      <c r="AM15" t="s">
        <v>14</v>
      </c>
      <c r="AN15" t="s">
        <v>14</v>
      </c>
      <c r="AO15" t="s">
        <v>14</v>
      </c>
      <c r="AQ15">
        <v>2</v>
      </c>
      <c r="AR15" t="s">
        <v>63</v>
      </c>
      <c r="AS15" s="8">
        <v>51</v>
      </c>
      <c r="AT15" s="16">
        <f t="shared" si="0"/>
        <v>1989.8741039456943</v>
      </c>
      <c r="AU15" s="17">
        <f t="shared" si="1"/>
        <v>7325.08808995451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2109.7196459016568</v>
      </c>
      <c r="AX15" s="10">
        <f t="shared" ref="AX15:AX16" si="11">IF(AJ15&lt;45000,((-0.0000004561*AJ15^2)+(0.244*AJ15)+(-21.72)),((-0.0000000409*AJ15^2)+(0.2477*AJ15)+(-1777)))</f>
        <v>8782.4155423790999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2332.1210963005519</v>
      </c>
      <c r="BA15" s="12">
        <f t="shared" ref="BA15:BA16" si="13">IF(AJ15&lt;45000,((-0.0000000598*AJ15^2)+(0.205*AJ15)+(34.1)),((-0.00000002403*AJ15^2)+(0.2063*AJ15)+(-550.7)))</f>
        <v>7920.7145501738005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2260.4612168834701</v>
      </c>
      <c r="BD15" s="15">
        <f t="shared" ref="BD15:BD16" si="15">IF(AJ15&lt;45000,((-0.00000004907*AJ15^2)+(0.2277*AJ15)+(-134)),((-0.00000001062*AJ15^2)+(0.2147*AJ15)+(590.6)))</f>
        <v>8652.1872476091703</v>
      </c>
      <c r="BF15" s="16">
        <f t="shared" si="8"/>
        <v>1989.8741039456943</v>
      </c>
      <c r="BG15" s="17">
        <f t="shared" si="9"/>
        <v>7325.08808995451</v>
      </c>
      <c r="BI15">
        <v>51</v>
      </c>
      <c r="BJ15" t="s">
        <v>41</v>
      </c>
      <c r="BK15" s="2">
        <v>46174.823645833334</v>
      </c>
      <c r="BL15">
        <v>261</v>
      </c>
      <c r="BM15" t="s">
        <v>13</v>
      </c>
      <c r="BN15">
        <v>0</v>
      </c>
      <c r="BO15">
        <v>2.8809999999999998</v>
      </c>
      <c r="BP15" s="3">
        <v>788264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46174.844826388886</v>
      </c>
      <c r="D16">
        <v>276</v>
      </c>
      <c r="E16" t="s">
        <v>13</v>
      </c>
      <c r="F16">
        <v>0</v>
      </c>
      <c r="G16">
        <v>6.0439999999999996</v>
      </c>
      <c r="H16" s="3">
        <v>2665493</v>
      </c>
      <c r="I16">
        <v>5.4420000000000002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46174.844826388886</v>
      </c>
      <c r="R16">
        <v>276</v>
      </c>
      <c r="S16" t="s">
        <v>13</v>
      </c>
      <c r="T16">
        <v>0</v>
      </c>
      <c r="U16">
        <v>5.9969999999999999</v>
      </c>
      <c r="V16" s="3">
        <v>20008</v>
      </c>
      <c r="W16">
        <v>4.6989999999999998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46174.844826388886</v>
      </c>
      <c r="AF16">
        <v>276</v>
      </c>
      <c r="AG16" t="s">
        <v>13</v>
      </c>
      <c r="AH16">
        <v>0</v>
      </c>
      <c r="AI16">
        <v>12.262</v>
      </c>
      <c r="AJ16" s="3">
        <v>46691</v>
      </c>
      <c r="AK16">
        <v>8.0679999999999996</v>
      </c>
      <c r="AL16" t="s">
        <v>14</v>
      </c>
      <c r="AM16" t="s">
        <v>14</v>
      </c>
      <c r="AN16" t="s">
        <v>14</v>
      </c>
      <c r="AO16" t="s">
        <v>14</v>
      </c>
      <c r="AQ16">
        <v>2</v>
      </c>
      <c r="AR16" t="s">
        <v>62</v>
      </c>
      <c r="AS16" s="8">
        <v>52</v>
      </c>
      <c r="AT16" s="16">
        <f t="shared" si="0"/>
        <v>4953.1074870089424</v>
      </c>
      <c r="AU16" s="17">
        <f t="shared" si="1"/>
        <v>9254.2862349601746</v>
      </c>
      <c r="AW16" s="9">
        <f t="shared" si="10"/>
        <v>5193.0061554452886</v>
      </c>
      <c r="AX16" s="10">
        <f t="shared" si="11"/>
        <v>9699.1966762270986</v>
      </c>
      <c r="AZ16" s="11">
        <f t="shared" si="12"/>
        <v>5825.1014108150957</v>
      </c>
      <c r="BA16" s="12">
        <f t="shared" si="13"/>
        <v>9029.2667109715694</v>
      </c>
      <c r="BC16" s="14">
        <f t="shared" si="14"/>
        <v>5613.4949768943825</v>
      </c>
      <c r="BD16" s="15">
        <f t="shared" si="15"/>
        <v>10592.005574511781</v>
      </c>
      <c r="BF16" s="16">
        <f t="shared" si="8"/>
        <v>4953.1074870089424</v>
      </c>
      <c r="BG16" s="17">
        <f t="shared" si="9"/>
        <v>9254.2862349601746</v>
      </c>
      <c r="BI16">
        <v>52</v>
      </c>
      <c r="BJ16" t="s">
        <v>42</v>
      </c>
      <c r="BK16" s="2">
        <v>46174.844826388886</v>
      </c>
      <c r="BL16">
        <v>276</v>
      </c>
      <c r="BM16" t="s">
        <v>13</v>
      </c>
      <c r="BN16">
        <v>0</v>
      </c>
      <c r="BO16">
        <v>2.879</v>
      </c>
      <c r="BP16" s="3">
        <v>815426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46174.865995370368</v>
      </c>
      <c r="D17">
        <v>147</v>
      </c>
      <c r="E17" t="s">
        <v>13</v>
      </c>
      <c r="F17">
        <v>0</v>
      </c>
      <c r="G17">
        <v>6.0609999999999999</v>
      </c>
      <c r="H17" s="3">
        <v>6863</v>
      </c>
      <c r="I17">
        <v>1.4E-2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46174.865995370368</v>
      </c>
      <c r="R17">
        <v>147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46174.865995370368</v>
      </c>
      <c r="AF17">
        <v>147</v>
      </c>
      <c r="AG17" t="s">
        <v>13</v>
      </c>
      <c r="AH17">
        <v>0</v>
      </c>
      <c r="AI17">
        <v>12.228999999999999</v>
      </c>
      <c r="AJ17" s="3">
        <v>72489</v>
      </c>
      <c r="AK17">
        <v>12.473000000000001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19.092182743934</v>
      </c>
      <c r="AU17" s="17">
        <f t="shared" si="1"/>
        <v>13476.698452175729</v>
      </c>
      <c r="AW17" s="9">
        <f t="shared" ref="AW17:AW35" si="16">IF(H17&lt;10000,((H17^2*0.00000054)+(H17*-0.004765)+(12.72)),(IF(H17&lt;200000,((H17^2*-0.000000001577)+(H17*0.003043)+(-10.42)),(IF(H17&lt;8000000,((H17^2*-0.0000000000186)+(H17*0.00194)+(154.1)),((V17^2*-0.00000002)+(V17*0.2565)+(-1032)))))))</f>
        <v>5.4522202599999989</v>
      </c>
      <c r="AX17" s="10">
        <f t="shared" ref="AX17:AX35" si="17">IF(AJ17&lt;45000,((-0.0000004561*AJ17^2)+(0.244*AJ17)+(-21.72)),((-0.0000000409*AJ17^2)+(0.2477*AJ17)+(-1777)))</f>
        <v>15963.6099055511</v>
      </c>
      <c r="AZ17" s="11">
        <f t="shared" ref="AZ17:AZ35" si="18">IF(H17&lt;10000,((H17^2*0.00000005714)+(H17*0.002453)+(-3.811)),(IF(H17&lt;200000,((H17^2*-0.0000000002888)+(H17*0.002899)+(-4.321)),(IF(H17&lt;8000000,((H17^2*-0.0000000000062)+(H17*0.002143)+(157)),((V17^2*-0.000000031)+(V17*0.2771)+(-709.5)))))))</f>
        <v>15.715276940659997</v>
      </c>
      <c r="BA17" s="12">
        <f t="shared" ref="BA17:BA35" si="19">IF(AJ17&lt;45000,((-0.0000000598*AJ17^2)+(0.205*AJ17)+(34.1)),((-0.00000002403*AJ17^2)+(0.2063*AJ17)+(-550.7)))</f>
        <v>14277.511337442369</v>
      </c>
      <c r="BC17" s="14">
        <f t="shared" ref="BC17:BC35" si="20">IF(H17&lt;10000,((H17^2*0.000000008493)+(H17*0.003482)+(-3.269)),(IF(H17&lt;200000,((H17^2*-0.000000000263)+(H17*0.002682)+(3.179)),(IF(H17&lt;8000000,((H17^2*-0.000000000005099)+(H17*0.002054)+(174.8)),((V17^2*-0.00000001014)+(V17*0.2415)+(1123)))))))</f>
        <v>21.027992831116997</v>
      </c>
      <c r="BD17" s="15">
        <f t="shared" ref="BD17:BD35" si="21">IF(AJ17&lt;45000,((-0.00000004907*AJ17^2)+(0.2277*AJ17)+(-134)),((-0.00000001062*AJ17^2)+(0.2147*AJ17)+(590.6)))</f>
        <v>16098.18386261498</v>
      </c>
      <c r="BF17" s="16">
        <f t="shared" si="8"/>
        <v>19.092182743934</v>
      </c>
      <c r="BG17" s="17">
        <f t="shared" si="9"/>
        <v>13476.698452175729</v>
      </c>
      <c r="BI17">
        <v>53</v>
      </c>
      <c r="BJ17" t="s">
        <v>43</v>
      </c>
      <c r="BK17" s="2">
        <v>46174.865995370368</v>
      </c>
      <c r="BL17">
        <v>147</v>
      </c>
      <c r="BM17" t="s">
        <v>13</v>
      </c>
      <c r="BN17">
        <v>0</v>
      </c>
      <c r="BO17">
        <v>2.8860000000000001</v>
      </c>
      <c r="BP17" s="3">
        <v>712368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46174.887175925927</v>
      </c>
      <c r="D18">
        <v>382</v>
      </c>
      <c r="E18" t="s">
        <v>13</v>
      </c>
      <c r="F18">
        <v>0</v>
      </c>
      <c r="G18">
        <v>6.0540000000000003</v>
      </c>
      <c r="H18" s="3">
        <v>33835</v>
      </c>
      <c r="I18">
        <v>6.9000000000000006E-2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46174.887175925927</v>
      </c>
      <c r="R18">
        <v>382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46174.887175925927</v>
      </c>
      <c r="AF18">
        <v>382</v>
      </c>
      <c r="AG18" t="s">
        <v>13</v>
      </c>
      <c r="AH18">
        <v>0</v>
      </c>
      <c r="AI18">
        <v>12.303000000000001</v>
      </c>
      <c r="AJ18" s="3">
        <v>10364</v>
      </c>
      <c r="AK18">
        <v>1.863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76.487394560509998</v>
      </c>
      <c r="AU18" s="17">
        <f t="shared" si="1"/>
        <v>1973.1890932318402</v>
      </c>
      <c r="AW18" s="9">
        <f t="shared" si="16"/>
        <v>90.734544006175</v>
      </c>
      <c r="AX18" s="10">
        <f t="shared" si="17"/>
        <v>2458.1051605744001</v>
      </c>
      <c r="AZ18" s="11">
        <f t="shared" si="18"/>
        <v>93.43604467342</v>
      </c>
      <c r="BA18" s="12">
        <f t="shared" si="19"/>
        <v>2152.2967327391998</v>
      </c>
      <c r="BC18" s="14">
        <f t="shared" si="20"/>
        <v>93.623385699824993</v>
      </c>
      <c r="BD18" s="15">
        <f t="shared" si="21"/>
        <v>2220.6120688212804</v>
      </c>
      <c r="BF18" s="16">
        <f t="shared" si="8"/>
        <v>76.487394560509998</v>
      </c>
      <c r="BG18" s="17">
        <f t="shared" si="9"/>
        <v>1973.1890932318402</v>
      </c>
      <c r="BI18">
        <v>54</v>
      </c>
      <c r="BJ18" t="s">
        <v>44</v>
      </c>
      <c r="BK18" s="2">
        <v>46174.887175925927</v>
      </c>
      <c r="BL18">
        <v>382</v>
      </c>
      <c r="BM18" t="s">
        <v>13</v>
      </c>
      <c r="BN18">
        <v>0</v>
      </c>
      <c r="BO18">
        <v>2.891</v>
      </c>
      <c r="BP18" s="3">
        <v>648822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46174.908356481479</v>
      </c>
      <c r="D19">
        <v>90</v>
      </c>
      <c r="E19" t="s">
        <v>13</v>
      </c>
      <c r="F19">
        <v>0</v>
      </c>
      <c r="G19">
        <v>6.0609999999999999</v>
      </c>
      <c r="H19" s="3">
        <v>5421</v>
      </c>
      <c r="I19">
        <v>1.0999999999999999E-2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46174.908356481479</v>
      </c>
      <c r="R19">
        <v>90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46174.908356481479</v>
      </c>
      <c r="AF19">
        <v>90</v>
      </c>
      <c r="AG19" t="s">
        <v>13</v>
      </c>
      <c r="AH19">
        <v>0</v>
      </c>
      <c r="AI19">
        <v>12.218999999999999</v>
      </c>
      <c r="AJ19" s="3">
        <v>84167</v>
      </c>
      <c r="AK19">
        <v>14.467000000000001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15.401560786926</v>
      </c>
      <c r="AU19" s="17">
        <f t="shared" si="1"/>
        <v>15389.060055110196</v>
      </c>
      <c r="AW19" s="9">
        <f t="shared" si="16"/>
        <v>2.7580451399999983</v>
      </c>
      <c r="AX19" s="10">
        <f t="shared" si="17"/>
        <v>18781.4268689399</v>
      </c>
      <c r="AZ19" s="11">
        <f t="shared" si="18"/>
        <v>11.16589995074</v>
      </c>
      <c r="BA19" s="12">
        <f t="shared" si="19"/>
        <v>16642.72156414733</v>
      </c>
      <c r="BC19" s="14">
        <f t="shared" si="20"/>
        <v>15.856507837813</v>
      </c>
      <c r="BD19" s="15">
        <f t="shared" si="21"/>
        <v>18586.021929098821</v>
      </c>
      <c r="BF19" s="16">
        <f t="shared" si="8"/>
        <v>15.401560786926</v>
      </c>
      <c r="BG19" s="17">
        <f t="shared" si="9"/>
        <v>15389.060055110196</v>
      </c>
      <c r="BI19">
        <v>55</v>
      </c>
      <c r="BJ19" t="s">
        <v>45</v>
      </c>
      <c r="BK19" s="2">
        <v>46174.908356481479</v>
      </c>
      <c r="BL19">
        <v>90</v>
      </c>
      <c r="BM19" t="s">
        <v>13</v>
      </c>
      <c r="BN19">
        <v>0</v>
      </c>
      <c r="BO19">
        <v>2.879</v>
      </c>
      <c r="BP19" s="3">
        <v>837715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46174.929513888892</v>
      </c>
      <c r="D20">
        <v>164</v>
      </c>
      <c r="E20" t="s">
        <v>13</v>
      </c>
      <c r="F20">
        <v>0</v>
      </c>
      <c r="G20">
        <v>6.0570000000000004</v>
      </c>
      <c r="H20" s="3">
        <v>7212</v>
      </c>
      <c r="I20">
        <v>1.4999999999999999E-2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46174.929513888892</v>
      </c>
      <c r="R20">
        <v>164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46174.929513888892</v>
      </c>
      <c r="AF20">
        <v>164</v>
      </c>
      <c r="AG20" t="s">
        <v>13</v>
      </c>
      <c r="AH20">
        <v>0</v>
      </c>
      <c r="AI20">
        <v>12.224</v>
      </c>
      <c r="AJ20" s="3">
        <v>80527</v>
      </c>
      <c r="AK20">
        <v>13.846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19.983083925983998</v>
      </c>
      <c r="AU20" s="17">
        <f t="shared" si="1"/>
        <v>14792.915488155533</v>
      </c>
      <c r="AW20" s="9">
        <f t="shared" si="16"/>
        <v>6.4418097599999999</v>
      </c>
      <c r="AX20" s="10">
        <f t="shared" si="17"/>
        <v>17904.317852883898</v>
      </c>
      <c r="AZ20" s="11">
        <f t="shared" si="18"/>
        <v>16.852055620160002</v>
      </c>
      <c r="BA20" s="12">
        <f t="shared" si="19"/>
        <v>15906.19521657213</v>
      </c>
      <c r="BC20" s="14">
        <f t="shared" si="20"/>
        <v>22.284929933392</v>
      </c>
      <c r="BD20" s="15">
        <f t="shared" si="21"/>
        <v>17810.880472118017</v>
      </c>
      <c r="BF20" s="16">
        <f t="shared" si="8"/>
        <v>19.983083925983998</v>
      </c>
      <c r="BG20" s="17">
        <f t="shared" si="9"/>
        <v>14792.915488155533</v>
      </c>
      <c r="BI20">
        <v>56</v>
      </c>
      <c r="BJ20" t="s">
        <v>46</v>
      </c>
      <c r="BK20" s="2">
        <v>46174.929513888892</v>
      </c>
      <c r="BL20">
        <v>164</v>
      </c>
      <c r="BM20" t="s">
        <v>13</v>
      </c>
      <c r="BN20">
        <v>0</v>
      </c>
      <c r="BO20">
        <v>2.879</v>
      </c>
      <c r="BP20" s="3">
        <v>827347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46174.950671296298</v>
      </c>
      <c r="D21">
        <v>159</v>
      </c>
      <c r="E21" t="s">
        <v>13</v>
      </c>
      <c r="F21">
        <v>0</v>
      </c>
      <c r="G21">
        <v>6.0469999999999997</v>
      </c>
      <c r="H21" s="3">
        <v>929818</v>
      </c>
      <c r="I21">
        <v>1.891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46174.950671296298</v>
      </c>
      <c r="R21">
        <v>159</v>
      </c>
      <c r="S21" t="s">
        <v>13</v>
      </c>
      <c r="T21">
        <v>0</v>
      </c>
      <c r="U21">
        <v>5.9980000000000002</v>
      </c>
      <c r="V21" s="3">
        <v>7051</v>
      </c>
      <c r="W21">
        <v>1.7569999999999999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46174.950671296298</v>
      </c>
      <c r="AF21">
        <v>159</v>
      </c>
      <c r="AG21" t="s">
        <v>13</v>
      </c>
      <c r="AH21">
        <v>0</v>
      </c>
      <c r="AI21">
        <v>12.263</v>
      </c>
      <c r="AJ21" s="3">
        <v>39467</v>
      </c>
      <c r="AK21">
        <v>6.835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1830.5696222195677</v>
      </c>
      <c r="AU21" s="17">
        <f t="shared" si="1"/>
        <v>7429.5199819453101</v>
      </c>
      <c r="AW21" s="9">
        <f t="shared" si="16"/>
        <v>1941.8660758558938</v>
      </c>
      <c r="AX21" s="10">
        <f t="shared" si="17"/>
        <v>8897.7865310071011</v>
      </c>
      <c r="AZ21" s="11">
        <f t="shared" si="18"/>
        <v>2144.2396926186311</v>
      </c>
      <c r="BA21" s="12">
        <f t="shared" si="19"/>
        <v>8031.6878834777999</v>
      </c>
      <c r="BC21" s="14">
        <f t="shared" si="20"/>
        <v>2080.2377728445804</v>
      </c>
      <c r="BD21" s="15">
        <f t="shared" si="21"/>
        <v>8776.2023045527712</v>
      </c>
      <c r="BF21" s="16">
        <f t="shared" si="8"/>
        <v>1830.5696222195677</v>
      </c>
      <c r="BG21" s="17">
        <f t="shared" si="9"/>
        <v>7429.5199819453101</v>
      </c>
      <c r="BI21">
        <v>57</v>
      </c>
      <c r="BJ21" t="s">
        <v>47</v>
      </c>
      <c r="BK21" s="2">
        <v>46174.950671296298</v>
      </c>
      <c r="BL21">
        <v>159</v>
      </c>
      <c r="BM21" t="s">
        <v>13</v>
      </c>
      <c r="BN21">
        <v>0</v>
      </c>
      <c r="BO21">
        <v>2.8879999999999999</v>
      </c>
      <c r="BP21" s="3">
        <v>672101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46174.971851851849</v>
      </c>
      <c r="D22">
        <v>245</v>
      </c>
      <c r="E22" t="s">
        <v>13</v>
      </c>
      <c r="F22">
        <v>0</v>
      </c>
      <c r="G22">
        <v>6.0510000000000002</v>
      </c>
      <c r="H22" s="3">
        <v>106294</v>
      </c>
      <c r="I22">
        <v>0.216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46174.971851851849</v>
      </c>
      <c r="R22">
        <v>245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46174.971851851849</v>
      </c>
      <c r="AF22">
        <v>245</v>
      </c>
      <c r="AG22" t="s">
        <v>13</v>
      </c>
      <c r="AH22">
        <v>0</v>
      </c>
      <c r="AI22">
        <v>12.314</v>
      </c>
      <c r="AJ22" s="3">
        <v>2571</v>
      </c>
      <c r="AK22">
        <v>0.53200000000000003</v>
      </c>
      <c r="AL22" t="s">
        <v>14</v>
      </c>
      <c r="AM22" t="s">
        <v>14</v>
      </c>
      <c r="AN22" t="s">
        <v>14</v>
      </c>
      <c r="AO22" t="s">
        <v>14</v>
      </c>
      <c r="AQ22">
        <v>2</v>
      </c>
      <c r="AR22" t="s">
        <v>62</v>
      </c>
      <c r="AS22" s="8">
        <v>58</v>
      </c>
      <c r="AT22" s="16">
        <f t="shared" si="0"/>
        <v>230.62619680628958</v>
      </c>
      <c r="AU22" s="17">
        <f t="shared" si="1"/>
        <v>522.42127336739009</v>
      </c>
      <c r="AW22" s="9">
        <f t="shared" si="16"/>
        <v>295.21504243442803</v>
      </c>
      <c r="AX22" s="10">
        <f t="shared" si="17"/>
        <v>602.58916029989996</v>
      </c>
      <c r="AZ22" s="11">
        <f t="shared" si="18"/>
        <v>300.56232391088321</v>
      </c>
      <c r="BA22" s="12">
        <f t="shared" si="19"/>
        <v>560.7597195482</v>
      </c>
      <c r="BC22" s="14">
        <f t="shared" si="20"/>
        <v>285.288025003332</v>
      </c>
      <c r="BD22" s="15">
        <f t="shared" si="21"/>
        <v>451.09234528812999</v>
      </c>
      <c r="BF22" s="16">
        <f t="shared" si="8"/>
        <v>230.62619680628958</v>
      </c>
      <c r="BG22" s="17">
        <f t="shared" si="9"/>
        <v>522.42127336739009</v>
      </c>
      <c r="BI22">
        <v>58</v>
      </c>
      <c r="BJ22" t="s">
        <v>48</v>
      </c>
      <c r="BK22" s="2">
        <v>46174.971851851849</v>
      </c>
      <c r="BL22">
        <v>245</v>
      </c>
      <c r="BM22" t="s">
        <v>13</v>
      </c>
      <c r="BN22">
        <v>0</v>
      </c>
      <c r="BO22">
        <v>2.871</v>
      </c>
      <c r="BP22" s="3">
        <v>999435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46174.993032407408</v>
      </c>
      <c r="D23">
        <v>407</v>
      </c>
      <c r="E23" t="s">
        <v>13</v>
      </c>
      <c r="F23">
        <v>0</v>
      </c>
      <c r="G23">
        <v>6.0620000000000003</v>
      </c>
      <c r="H23" s="3">
        <v>6317</v>
      </c>
      <c r="I23">
        <v>1.2999999999999999E-2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46174.993032407408</v>
      </c>
      <c r="R23">
        <v>407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46174.993032407408</v>
      </c>
      <c r="AF23">
        <v>407</v>
      </c>
      <c r="AG23" t="s">
        <v>13</v>
      </c>
      <c r="AH23">
        <v>0</v>
      </c>
      <c r="AI23">
        <v>12.234999999999999</v>
      </c>
      <c r="AJ23" s="3">
        <v>73368</v>
      </c>
      <c r="AK23">
        <v>12.622999999999999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17.696579727854001</v>
      </c>
      <c r="AU23" s="17">
        <f t="shared" si="1"/>
        <v>13620.619738910649</v>
      </c>
      <c r="AW23" s="9">
        <f t="shared" si="16"/>
        <v>4.1679190600000009</v>
      </c>
      <c r="AX23" s="10">
        <f t="shared" si="17"/>
        <v>16176.094485958401</v>
      </c>
      <c r="AZ23" s="11">
        <f t="shared" si="18"/>
        <v>13.964743501459999</v>
      </c>
      <c r="BA23" s="12">
        <f t="shared" si="19"/>
        <v>14455.768191921279</v>
      </c>
      <c r="BC23" s="14">
        <f t="shared" si="20"/>
        <v>19.065702825076997</v>
      </c>
      <c r="BD23" s="15">
        <f t="shared" si="21"/>
        <v>16285.543590437121</v>
      </c>
      <c r="BF23" s="16">
        <f t="shared" si="8"/>
        <v>17.696579727854001</v>
      </c>
      <c r="BG23" s="17">
        <f t="shared" si="9"/>
        <v>13620.619738910649</v>
      </c>
      <c r="BI23">
        <v>59</v>
      </c>
      <c r="BJ23" t="s">
        <v>49</v>
      </c>
      <c r="BK23" s="2">
        <v>46174.993032407408</v>
      </c>
      <c r="BL23">
        <v>407</v>
      </c>
      <c r="BM23" t="s">
        <v>13</v>
      </c>
      <c r="BN23">
        <v>0</v>
      </c>
      <c r="BO23">
        <v>2.8809999999999998</v>
      </c>
      <c r="BP23" s="3">
        <v>800828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46175.014178240737</v>
      </c>
      <c r="D24">
        <v>76</v>
      </c>
      <c r="E24" t="s">
        <v>13</v>
      </c>
      <c r="F24">
        <v>0</v>
      </c>
      <c r="G24">
        <v>6.069</v>
      </c>
      <c r="H24" s="3">
        <v>5859</v>
      </c>
      <c r="I24">
        <v>1.2E-2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46175.014178240737</v>
      </c>
      <c r="R24">
        <v>76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46175.014178240737</v>
      </c>
      <c r="AF24">
        <v>76</v>
      </c>
      <c r="AG24" t="s">
        <v>13</v>
      </c>
      <c r="AH24">
        <v>0</v>
      </c>
      <c r="AI24">
        <v>12.234999999999999</v>
      </c>
      <c r="AJ24" s="3">
        <v>77026</v>
      </c>
      <c r="AK24">
        <v>13.247999999999999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16.524201249966001</v>
      </c>
      <c r="AU24" s="17">
        <f t="shared" si="1"/>
        <v>14219.59285637484</v>
      </c>
      <c r="AW24" s="9">
        <f t="shared" si="16"/>
        <v>3.3389207400000007</v>
      </c>
      <c r="AX24" s="10">
        <f t="shared" si="17"/>
        <v>17059.680308751598</v>
      </c>
      <c r="AZ24" s="11">
        <f t="shared" si="18"/>
        <v>12.522622120339999</v>
      </c>
      <c r="BA24" s="12">
        <f t="shared" si="19"/>
        <v>15197.193697635721</v>
      </c>
      <c r="BC24" s="14">
        <f t="shared" si="20"/>
        <v>17.423584693332998</v>
      </c>
      <c r="BD24" s="15">
        <f t="shared" si="21"/>
        <v>17065.073690340876</v>
      </c>
      <c r="BF24" s="16">
        <f t="shared" si="8"/>
        <v>16.524201249966001</v>
      </c>
      <c r="BG24" s="17">
        <f t="shared" si="9"/>
        <v>14219.59285637484</v>
      </c>
      <c r="BI24">
        <v>60</v>
      </c>
      <c r="BJ24" t="s">
        <v>50</v>
      </c>
      <c r="BK24" s="2">
        <v>46175.014178240737</v>
      </c>
      <c r="BL24">
        <v>76</v>
      </c>
      <c r="BM24" t="s">
        <v>13</v>
      </c>
      <c r="BN24">
        <v>0</v>
      </c>
      <c r="BO24">
        <v>2.8849999999999998</v>
      </c>
      <c r="BP24" s="3">
        <v>875111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46175.035370370373</v>
      </c>
      <c r="D25">
        <v>123</v>
      </c>
      <c r="E25" t="s">
        <v>13</v>
      </c>
      <c r="F25">
        <v>0</v>
      </c>
      <c r="G25">
        <v>6.0590000000000002</v>
      </c>
      <c r="H25" s="3">
        <v>6303</v>
      </c>
      <c r="I25">
        <v>1.2999999999999999E-2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46175.035370370373</v>
      </c>
      <c r="R25">
        <v>123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46175.035370370373</v>
      </c>
      <c r="AF25">
        <v>123</v>
      </c>
      <c r="AG25" t="s">
        <v>13</v>
      </c>
      <c r="AH25">
        <v>0</v>
      </c>
      <c r="AI25">
        <v>12.227</v>
      </c>
      <c r="AJ25" s="3">
        <v>75641</v>
      </c>
      <c r="AK25">
        <v>13.010999999999999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17.660765917374</v>
      </c>
      <c r="AU25" s="17">
        <f t="shared" si="1"/>
        <v>13992.801151335234</v>
      </c>
      <c r="AW25" s="9">
        <f t="shared" si="16"/>
        <v>4.139221860000001</v>
      </c>
      <c r="AX25" s="10">
        <f t="shared" si="17"/>
        <v>16725.263859967101</v>
      </c>
      <c r="AZ25" s="11">
        <f t="shared" si="18"/>
        <v>13.920306006259999</v>
      </c>
      <c r="BA25" s="12">
        <f t="shared" si="19"/>
        <v>14916.54919202957</v>
      </c>
      <c r="BC25" s="14">
        <f t="shared" si="20"/>
        <v>19.015454281837002</v>
      </c>
      <c r="BD25" s="15">
        <f t="shared" si="21"/>
        <v>16769.959723443779</v>
      </c>
      <c r="BF25" s="16">
        <f t="shared" si="8"/>
        <v>17.660765917374</v>
      </c>
      <c r="BG25" s="17">
        <f t="shared" si="9"/>
        <v>13992.801151335234</v>
      </c>
      <c r="BI25">
        <v>61</v>
      </c>
      <c r="BJ25" t="s">
        <v>51</v>
      </c>
      <c r="BK25" s="2">
        <v>46175.035370370373</v>
      </c>
      <c r="BL25">
        <v>123</v>
      </c>
      <c r="BM25" t="s">
        <v>13</v>
      </c>
      <c r="BN25">
        <v>0</v>
      </c>
      <c r="BO25">
        <v>2.8809999999999998</v>
      </c>
      <c r="BP25" s="3">
        <v>816666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46175.056516203702</v>
      </c>
      <c r="D26">
        <v>119</v>
      </c>
      <c r="E26" t="s">
        <v>13</v>
      </c>
      <c r="F26">
        <v>0</v>
      </c>
      <c r="G26">
        <v>6.0670000000000002</v>
      </c>
      <c r="H26" s="3">
        <v>5647</v>
      </c>
      <c r="I26">
        <v>1.2E-2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46175.056516203702</v>
      </c>
      <c r="R26">
        <v>119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46175.056516203702</v>
      </c>
      <c r="AF26">
        <v>119</v>
      </c>
      <c r="AG26" t="s">
        <v>13</v>
      </c>
      <c r="AH26">
        <v>0</v>
      </c>
      <c r="AI26">
        <v>12.316000000000001</v>
      </c>
      <c r="AJ26" s="3">
        <v>6142</v>
      </c>
      <c r="AK26">
        <v>1.1419999999999999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15.981000706173999</v>
      </c>
      <c r="AU26" s="17">
        <f t="shared" si="1"/>
        <v>1186.6695478295601</v>
      </c>
      <c r="AW26" s="9">
        <f t="shared" si="16"/>
        <v>3.0318938599999985</v>
      </c>
      <c r="AX26" s="10">
        <f t="shared" si="17"/>
        <v>1459.7220087996</v>
      </c>
      <c r="AZ26" s="11">
        <f t="shared" si="18"/>
        <v>11.863206118259999</v>
      </c>
      <c r="BA26" s="12">
        <f t="shared" si="19"/>
        <v>1290.9540949927998</v>
      </c>
      <c r="BC26" s="14">
        <f t="shared" si="20"/>
        <v>16.664683956236999</v>
      </c>
      <c r="BD26" s="15">
        <f t="shared" si="21"/>
        <v>1262.68227527252</v>
      </c>
      <c r="BF26" s="16">
        <f t="shared" si="8"/>
        <v>15.981000706173999</v>
      </c>
      <c r="BG26" s="17">
        <f t="shared" si="9"/>
        <v>1186.6695478295601</v>
      </c>
      <c r="BI26">
        <v>62</v>
      </c>
      <c r="BJ26" t="s">
        <v>52</v>
      </c>
      <c r="BK26" s="2">
        <v>46175.056516203702</v>
      </c>
      <c r="BL26">
        <v>119</v>
      </c>
      <c r="BM26" t="s">
        <v>13</v>
      </c>
      <c r="BN26">
        <v>0</v>
      </c>
      <c r="BO26">
        <v>2.8969999999999998</v>
      </c>
      <c r="BP26" s="3">
        <v>677560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46175.077673611115</v>
      </c>
      <c r="D27">
        <v>62</v>
      </c>
      <c r="E27" t="s">
        <v>13</v>
      </c>
      <c r="F27">
        <v>0</v>
      </c>
      <c r="G27">
        <v>6.0430000000000001</v>
      </c>
      <c r="H27" s="3">
        <v>2644609</v>
      </c>
      <c r="I27">
        <v>5.4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46175.077673611115</v>
      </c>
      <c r="R27">
        <v>62</v>
      </c>
      <c r="S27" t="s">
        <v>13</v>
      </c>
      <c r="T27">
        <v>0</v>
      </c>
      <c r="U27">
        <v>5.9950000000000001</v>
      </c>
      <c r="V27" s="3">
        <v>19204</v>
      </c>
      <c r="W27">
        <v>4.5170000000000003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46175.077673611115</v>
      </c>
      <c r="AF27">
        <v>62</v>
      </c>
      <c r="AG27" t="s">
        <v>13</v>
      </c>
      <c r="AH27">
        <v>0</v>
      </c>
      <c r="AI27">
        <v>12.247999999999999</v>
      </c>
      <c r="AJ27" s="3">
        <v>51633</v>
      </c>
      <c r="AK27">
        <v>8.9120000000000008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4915.705462035965</v>
      </c>
      <c r="AU27" s="17">
        <f t="shared" si="1"/>
        <v>10062.918335354318</v>
      </c>
      <c r="AW27" s="9">
        <f t="shared" si="16"/>
        <v>5154.5538642104138</v>
      </c>
      <c r="AX27" s="10">
        <f t="shared" si="17"/>
        <v>10903.4560624199</v>
      </c>
      <c r="AZ27" s="11">
        <f t="shared" si="18"/>
        <v>5781.0345550701377</v>
      </c>
      <c r="BA27" s="12">
        <f t="shared" si="19"/>
        <v>10037.124720463329</v>
      </c>
      <c r="BC27" s="14">
        <f t="shared" si="20"/>
        <v>5571.1647004660699</v>
      </c>
      <c r="BD27" s="15">
        <f t="shared" si="21"/>
        <v>11647.892533762821</v>
      </c>
      <c r="BF27" s="16">
        <f t="shared" si="8"/>
        <v>4915.705462035965</v>
      </c>
      <c r="BG27" s="17">
        <f t="shared" si="9"/>
        <v>10062.918335354318</v>
      </c>
      <c r="BI27">
        <v>63</v>
      </c>
      <c r="BJ27" t="s">
        <v>53</v>
      </c>
      <c r="BK27" s="2">
        <v>46175.077673611115</v>
      </c>
      <c r="BL27">
        <v>62</v>
      </c>
      <c r="BM27" t="s">
        <v>13</v>
      </c>
      <c r="BN27">
        <v>0</v>
      </c>
      <c r="BO27">
        <v>2.8860000000000001</v>
      </c>
      <c r="BP27" s="3">
        <v>681492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46175.09884259259</v>
      </c>
      <c r="D28">
        <v>247</v>
      </c>
      <c r="E28" t="s">
        <v>13</v>
      </c>
      <c r="F28">
        <v>0</v>
      </c>
      <c r="G28">
        <v>6.06</v>
      </c>
      <c r="H28" s="3">
        <v>6819</v>
      </c>
      <c r="I28">
        <v>1.4E-2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46175.09884259259</v>
      </c>
      <c r="R28">
        <v>247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46175.09884259259</v>
      </c>
      <c r="AF28">
        <v>247</v>
      </c>
      <c r="AG28" t="s">
        <v>13</v>
      </c>
      <c r="AH28">
        <v>0</v>
      </c>
      <c r="AI28">
        <v>12.231999999999999</v>
      </c>
      <c r="AJ28" s="3">
        <v>71116</v>
      </c>
      <c r="AK28">
        <v>12.239000000000001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18.979798601646003</v>
      </c>
      <c r="AU28" s="17">
        <f t="shared" si="1"/>
        <v>13251.900133547502</v>
      </c>
      <c r="AW28" s="9">
        <f t="shared" si="16"/>
        <v>5.3367959399999965</v>
      </c>
      <c r="AX28" s="10">
        <f t="shared" si="17"/>
        <v>15631.582044849598</v>
      </c>
      <c r="AZ28" s="11">
        <f t="shared" si="18"/>
        <v>15.572946203539999</v>
      </c>
      <c r="BA28" s="12">
        <f t="shared" si="19"/>
        <v>13998.99942449232</v>
      </c>
      <c r="BC28" s="14">
        <f t="shared" si="20"/>
        <v>20.869671977172999</v>
      </c>
      <c r="BD28" s="15">
        <f t="shared" si="21"/>
        <v>15805.49470445728</v>
      </c>
      <c r="BF28" s="16">
        <f t="shared" si="8"/>
        <v>18.979798601646003</v>
      </c>
      <c r="BG28" s="17">
        <f t="shared" si="9"/>
        <v>13251.900133547502</v>
      </c>
      <c r="BI28">
        <v>64</v>
      </c>
      <c r="BJ28" t="s">
        <v>54</v>
      </c>
      <c r="BK28" s="2">
        <v>46175.09884259259</v>
      </c>
      <c r="BL28">
        <v>247</v>
      </c>
      <c r="BM28" t="s">
        <v>13</v>
      </c>
      <c r="BN28">
        <v>0</v>
      </c>
      <c r="BO28">
        <v>2.88</v>
      </c>
      <c r="BP28" s="3">
        <v>821423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46175.120011574072</v>
      </c>
      <c r="D29">
        <v>102</v>
      </c>
      <c r="E29" t="s">
        <v>13</v>
      </c>
      <c r="F29">
        <v>0</v>
      </c>
      <c r="G29">
        <v>6.0609999999999999</v>
      </c>
      <c r="H29" s="3">
        <v>35894</v>
      </c>
      <c r="I29">
        <v>7.2999999999999995E-2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46175.120011574072</v>
      </c>
      <c r="R29">
        <v>102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46175.120011574072</v>
      </c>
      <c r="AF29">
        <v>102</v>
      </c>
      <c r="AG29" t="s">
        <v>13</v>
      </c>
      <c r="AH29">
        <v>0</v>
      </c>
      <c r="AI29">
        <v>12.279</v>
      </c>
      <c r="AJ29" s="3">
        <v>36684</v>
      </c>
      <c r="AK29" s="13">
        <v>6.359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80.921974055569606</v>
      </c>
      <c r="AU29" s="17">
        <f t="shared" si="1"/>
        <v>6905.1319704862408</v>
      </c>
      <c r="AW29" s="9">
        <f t="shared" si="16"/>
        <v>96.773667944828006</v>
      </c>
      <c r="AX29" s="10">
        <f t="shared" si="17"/>
        <v>8315.3949980784018</v>
      </c>
      <c r="AZ29" s="11">
        <f t="shared" si="18"/>
        <v>99.36362207664321</v>
      </c>
      <c r="BA29" s="12">
        <f t="shared" si="19"/>
        <v>7473.8461918111998</v>
      </c>
      <c r="BC29" s="14">
        <f t="shared" si="20"/>
        <v>99.107864260932004</v>
      </c>
      <c r="BD29" s="15">
        <f t="shared" si="21"/>
        <v>8152.9125229460806</v>
      </c>
      <c r="BF29" s="16">
        <f t="shared" si="8"/>
        <v>80.921974055569606</v>
      </c>
      <c r="BG29" s="17">
        <f t="shared" si="9"/>
        <v>6905.1319704862408</v>
      </c>
      <c r="BI29">
        <v>65</v>
      </c>
      <c r="BJ29" t="s">
        <v>55</v>
      </c>
      <c r="BK29" s="2">
        <v>46175.120011574072</v>
      </c>
      <c r="BL29">
        <v>102</v>
      </c>
      <c r="BM29" t="s">
        <v>13</v>
      </c>
      <c r="BN29">
        <v>0</v>
      </c>
      <c r="BO29">
        <v>2.899</v>
      </c>
      <c r="BP29" s="3">
        <v>633999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46175.141192129631</v>
      </c>
      <c r="D30">
        <v>120</v>
      </c>
      <c r="E30" t="s">
        <v>13</v>
      </c>
      <c r="F30">
        <v>0</v>
      </c>
      <c r="G30">
        <v>6.0529999999999999</v>
      </c>
      <c r="H30" s="3">
        <v>52550</v>
      </c>
      <c r="I30">
        <v>0.107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46175.141192129631</v>
      </c>
      <c r="R30">
        <v>120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46175.141192129631</v>
      </c>
      <c r="AF30">
        <v>120</v>
      </c>
      <c r="AG30" t="s">
        <v>13</v>
      </c>
      <c r="AH30">
        <v>0</v>
      </c>
      <c r="AI30">
        <v>12.388</v>
      </c>
      <c r="AJ30" s="3">
        <v>51</v>
      </c>
      <c r="AK30">
        <v>0.10100000000000001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116.67757045899999</v>
      </c>
      <c r="AU30" s="17">
        <f t="shared" si="1"/>
        <v>54.22079308979</v>
      </c>
      <c r="AW30" s="9">
        <f t="shared" si="16"/>
        <v>145.13476055750002</v>
      </c>
      <c r="AX30" s="10">
        <f t="shared" si="17"/>
        <v>-9.2771863160999999</v>
      </c>
      <c r="AZ30" s="11">
        <f t="shared" si="18"/>
        <v>147.22392807800003</v>
      </c>
      <c r="BA30" s="12">
        <f t="shared" si="19"/>
        <v>44.554844460200002</v>
      </c>
      <c r="BC30" s="14">
        <f t="shared" si="20"/>
        <v>143.3918248425</v>
      </c>
      <c r="BD30" s="15">
        <f t="shared" si="21"/>
        <v>-122.38742763107</v>
      </c>
      <c r="BF30" s="16">
        <f t="shared" si="8"/>
        <v>116.67757045899999</v>
      </c>
      <c r="BG30" s="17">
        <f t="shared" si="9"/>
        <v>54.22079308979</v>
      </c>
      <c r="BI30">
        <v>66</v>
      </c>
      <c r="BJ30" t="s">
        <v>56</v>
      </c>
      <c r="BK30" s="2">
        <v>46175.141192129631</v>
      </c>
      <c r="BL30">
        <v>120</v>
      </c>
      <c r="BM30" t="s">
        <v>13</v>
      </c>
      <c r="BN30">
        <v>0</v>
      </c>
      <c r="BO30">
        <v>2.887</v>
      </c>
      <c r="BP30" s="3">
        <v>724751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46175.16238425926</v>
      </c>
      <c r="D31">
        <v>223</v>
      </c>
      <c r="E31" t="s">
        <v>13</v>
      </c>
      <c r="F31">
        <v>0</v>
      </c>
      <c r="G31">
        <v>6.06</v>
      </c>
      <c r="H31" s="3">
        <v>51456</v>
      </c>
      <c r="I31">
        <v>0.104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46175.16238425926</v>
      </c>
      <c r="R31">
        <v>223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46175.16238425926</v>
      </c>
      <c r="AF31">
        <v>223</v>
      </c>
      <c r="AG31" t="s">
        <v>13</v>
      </c>
      <c r="AH31">
        <v>0</v>
      </c>
      <c r="AI31">
        <v>12.744</v>
      </c>
      <c r="AJ31" s="3">
        <v>11</v>
      </c>
      <c r="AK31">
        <v>9.4E-2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114.3354782160896</v>
      </c>
      <c r="AU31" s="17">
        <f t="shared" si="1"/>
        <v>46.792704330589999</v>
      </c>
      <c r="AW31" s="9">
        <f t="shared" si="16"/>
        <v>141.98515366092803</v>
      </c>
      <c r="AX31" s="10">
        <f t="shared" si="17"/>
        <v>-19.036055188100001</v>
      </c>
      <c r="AZ31" s="11">
        <f t="shared" si="18"/>
        <v>144.08528248248319</v>
      </c>
      <c r="BA31" s="12">
        <f t="shared" si="19"/>
        <v>36.354992764199999</v>
      </c>
      <c r="BC31" s="14">
        <f t="shared" si="20"/>
        <v>140.48764165683198</v>
      </c>
      <c r="BD31" s="15">
        <f t="shared" si="21"/>
        <v>-131.49530593746999</v>
      </c>
      <c r="BF31" s="16">
        <f t="shared" si="8"/>
        <v>114.3354782160896</v>
      </c>
      <c r="BG31" s="17">
        <f t="shared" si="9"/>
        <v>46.792704330589999</v>
      </c>
      <c r="BI31">
        <v>67</v>
      </c>
      <c r="BJ31" t="s">
        <v>57</v>
      </c>
      <c r="BK31" s="2">
        <v>46175.16238425926</v>
      </c>
      <c r="BL31">
        <v>223</v>
      </c>
      <c r="BM31" t="s">
        <v>13</v>
      </c>
      <c r="BN31">
        <v>0</v>
      </c>
      <c r="BO31">
        <v>2.895</v>
      </c>
      <c r="BP31" s="3">
        <v>716132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46175.183541666665</v>
      </c>
      <c r="D32">
        <v>173</v>
      </c>
      <c r="E32" t="s">
        <v>13</v>
      </c>
      <c r="F32">
        <v>0</v>
      </c>
      <c r="G32">
        <v>6.0579999999999998</v>
      </c>
      <c r="H32" s="3">
        <v>5957</v>
      </c>
      <c r="I32">
        <v>1.2E-2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46175.183541666665</v>
      </c>
      <c r="R32">
        <v>173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46175.183541666665</v>
      </c>
      <c r="AF32">
        <v>173</v>
      </c>
      <c r="AG32" t="s">
        <v>13</v>
      </c>
      <c r="AH32">
        <v>0</v>
      </c>
      <c r="AI32">
        <v>12.314</v>
      </c>
      <c r="AJ32" s="3">
        <v>6402</v>
      </c>
      <c r="AK32">
        <v>1.1859999999999999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16.775190556814003</v>
      </c>
      <c r="AU32" s="17">
        <f t="shared" si="1"/>
        <v>1235.0682747671601</v>
      </c>
      <c r="AW32" s="9">
        <f t="shared" si="16"/>
        <v>3.4972534600000014</v>
      </c>
      <c r="AX32" s="10">
        <f t="shared" si="17"/>
        <v>1521.6744660156</v>
      </c>
      <c r="AZ32" s="11">
        <f t="shared" si="18"/>
        <v>12.82918241186</v>
      </c>
      <c r="BA32" s="12">
        <f t="shared" si="19"/>
        <v>1344.0590608807997</v>
      </c>
      <c r="BC32" s="14">
        <f t="shared" si="20"/>
        <v>17.774655315556998</v>
      </c>
      <c r="BD32" s="15">
        <f t="shared" si="21"/>
        <v>1321.7242364117201</v>
      </c>
      <c r="BF32" s="16">
        <f t="shared" si="8"/>
        <v>16.775190556814003</v>
      </c>
      <c r="BG32" s="17">
        <f t="shared" si="9"/>
        <v>1235.0682747671601</v>
      </c>
      <c r="BI32">
        <v>68</v>
      </c>
      <c r="BJ32" t="s">
        <v>58</v>
      </c>
      <c r="BK32" s="2">
        <v>46175.183541666665</v>
      </c>
      <c r="BL32">
        <v>173</v>
      </c>
      <c r="BM32" t="s">
        <v>13</v>
      </c>
      <c r="BN32">
        <v>0</v>
      </c>
      <c r="BO32">
        <v>2.8849999999999998</v>
      </c>
      <c r="BP32" s="3">
        <v>757681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46175.204710648148</v>
      </c>
      <c r="D33">
        <v>15</v>
      </c>
      <c r="E33" t="s">
        <v>13</v>
      </c>
      <c r="F33">
        <v>0</v>
      </c>
      <c r="G33">
        <v>6.06</v>
      </c>
      <c r="H33" s="3">
        <v>50232</v>
      </c>
      <c r="I33">
        <v>0.10199999999999999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46175.204710648148</v>
      </c>
      <c r="R33">
        <v>15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46175.204710648148</v>
      </c>
      <c r="AF33">
        <v>15</v>
      </c>
      <c r="AG33" t="s">
        <v>13</v>
      </c>
      <c r="AH33">
        <v>0</v>
      </c>
      <c r="AI33">
        <v>12.371</v>
      </c>
      <c r="AJ33" s="3">
        <v>138</v>
      </c>
      <c r="AK33">
        <v>0.11600000000000001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111.71400726064641</v>
      </c>
      <c r="AU33" s="17">
        <f t="shared" si="1"/>
        <v>70.377281584759999</v>
      </c>
      <c r="AW33" s="9">
        <f t="shared" si="16"/>
        <v>138.45680471955203</v>
      </c>
      <c r="AX33" s="10">
        <f t="shared" si="17"/>
        <v>11.943314031599996</v>
      </c>
      <c r="AZ33" s="11">
        <f t="shared" si="18"/>
        <v>140.57285229562879</v>
      </c>
      <c r="BA33" s="12">
        <f t="shared" si="19"/>
        <v>62.388861168800005</v>
      </c>
      <c r="BC33" s="14">
        <f t="shared" si="20"/>
        <v>137.237608244288</v>
      </c>
      <c r="BD33" s="15">
        <f t="shared" si="21"/>
        <v>-102.57833448907999</v>
      </c>
      <c r="BF33" s="16">
        <f t="shared" si="8"/>
        <v>111.71400726064641</v>
      </c>
      <c r="BG33" s="17">
        <f t="shared" si="9"/>
        <v>70.377281584759999</v>
      </c>
      <c r="BI33">
        <v>69</v>
      </c>
      <c r="BJ33" t="s">
        <v>59</v>
      </c>
      <c r="BK33" s="2">
        <v>46175.204710648148</v>
      </c>
      <c r="BL33">
        <v>15</v>
      </c>
      <c r="BM33" t="s">
        <v>13</v>
      </c>
      <c r="BN33">
        <v>0</v>
      </c>
      <c r="BO33">
        <v>2.8919999999999999</v>
      </c>
      <c r="BP33" s="3">
        <v>765210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46175.225868055553</v>
      </c>
      <c r="D34">
        <v>301</v>
      </c>
      <c r="E34" t="s">
        <v>13</v>
      </c>
      <c r="F34">
        <v>0</v>
      </c>
      <c r="G34">
        <v>6.0679999999999996</v>
      </c>
      <c r="H34" s="3">
        <v>6381</v>
      </c>
      <c r="I34">
        <v>1.2999999999999999E-2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46175.225868055553</v>
      </c>
      <c r="R34">
        <v>301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46175.225868055553</v>
      </c>
      <c r="AF34">
        <v>301</v>
      </c>
      <c r="AG34" t="s">
        <v>13</v>
      </c>
      <c r="AH34">
        <v>0</v>
      </c>
      <c r="AI34">
        <v>12.247999999999999</v>
      </c>
      <c r="AJ34" s="3">
        <v>72974</v>
      </c>
      <c r="AK34">
        <v>12.555999999999999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17.860281464046</v>
      </c>
      <c r="AU34" s="17">
        <f t="shared" si="1"/>
        <v>13556.108509754838</v>
      </c>
      <c r="AW34" s="9">
        <f t="shared" si="16"/>
        <v>4.3018019400000025</v>
      </c>
      <c r="AX34" s="10">
        <f t="shared" si="17"/>
        <v>16080.858928751601</v>
      </c>
      <c r="AZ34" s="11">
        <f t="shared" si="18"/>
        <v>14.168171579540001</v>
      </c>
      <c r="BA34" s="12">
        <f t="shared" si="19"/>
        <v>14375.871531635719</v>
      </c>
      <c r="BC34" s="14">
        <f t="shared" si="20"/>
        <v>19.295452848372996</v>
      </c>
      <c r="BD34" s="15">
        <f t="shared" si="21"/>
        <v>16201.56412634088</v>
      </c>
      <c r="BF34" s="16">
        <f t="shared" si="8"/>
        <v>17.860281464046</v>
      </c>
      <c r="BG34" s="17">
        <f t="shared" si="9"/>
        <v>13556.108509754838</v>
      </c>
      <c r="BI34">
        <v>70</v>
      </c>
      <c r="BJ34" t="s">
        <v>60</v>
      </c>
      <c r="BK34" s="2">
        <v>46175.225868055553</v>
      </c>
      <c r="BL34">
        <v>301</v>
      </c>
      <c r="BM34" t="s">
        <v>13</v>
      </c>
      <c r="BN34">
        <v>0</v>
      </c>
      <c r="BO34">
        <v>2.891</v>
      </c>
      <c r="BP34" s="3">
        <v>819926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46175.247037037036</v>
      </c>
      <c r="D35">
        <v>378</v>
      </c>
      <c r="E35" t="s">
        <v>13</v>
      </c>
      <c r="F35">
        <v>0</v>
      </c>
      <c r="G35">
        <v>6.0540000000000003</v>
      </c>
      <c r="H35" s="3">
        <v>17288</v>
      </c>
      <c r="I35">
        <v>3.5000000000000003E-2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46175.247037037036</v>
      </c>
      <c r="R35">
        <v>378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46175.247037037036</v>
      </c>
      <c r="AF35">
        <v>378</v>
      </c>
      <c r="AG35" t="s">
        <v>13</v>
      </c>
      <c r="AH35">
        <v>0</v>
      </c>
      <c r="AI35">
        <v>12.278</v>
      </c>
      <c r="AJ35" s="3">
        <v>22232</v>
      </c>
      <c r="AK35">
        <v>3.891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40.733343471078399</v>
      </c>
      <c r="AU35" s="17">
        <f t="shared" si="1"/>
        <v>4190.9220306809602</v>
      </c>
      <c r="AW35" s="9">
        <f t="shared" si="16"/>
        <v>41.716058213312003</v>
      </c>
      <c r="AX35" s="10">
        <f t="shared" si="17"/>
        <v>5177.4551820735996</v>
      </c>
      <c r="AZ35" s="11">
        <f t="shared" si="18"/>
        <v>45.710596916172804</v>
      </c>
      <c r="BA35" s="12">
        <f t="shared" si="19"/>
        <v>4562.1031429247996</v>
      </c>
      <c r="BC35" s="14">
        <f t="shared" si="20"/>
        <v>49.466811889728</v>
      </c>
      <c r="BD35" s="15">
        <f t="shared" si="21"/>
        <v>4903.9729722963202</v>
      </c>
      <c r="BF35" s="16">
        <f t="shared" si="8"/>
        <v>40.733343471078399</v>
      </c>
      <c r="BG35" s="17">
        <f t="shared" si="9"/>
        <v>4190.9220306809602</v>
      </c>
      <c r="BI35">
        <v>71</v>
      </c>
      <c r="BJ35" t="s">
        <v>61</v>
      </c>
      <c r="BK35" s="2">
        <v>46175.247037037036</v>
      </c>
      <c r="BL35">
        <v>378</v>
      </c>
      <c r="BM35" t="s">
        <v>13</v>
      </c>
      <c r="BN35">
        <v>0</v>
      </c>
      <c r="BO35">
        <v>2.8849999999999998</v>
      </c>
      <c r="BP35" s="3">
        <v>735774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2026-06-02T14:54:49Z</dcterms:modified>
</cp:coreProperties>
</file>