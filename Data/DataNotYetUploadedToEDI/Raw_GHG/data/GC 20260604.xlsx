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20D89AE7-ED8B-4B3E-A20C-C823051274C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<sst xmlns="http://schemas.openxmlformats.org/spreadsheetml/2006/main" count="429" uniqueCount="48">
  <si>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</si>
  <si>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</si>
  <si>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</si>
  <si>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</si>
  <si>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</si>
  <si>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</si>
  <si>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</si>
  <si>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</si>
  <si>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</si>
  <si>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</si>
  <si>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</si>
  <si>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</si>
  <si>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</si>
  <si>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</si>
  <si>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</si>
  <si>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</si>
  <si>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</si>
  <si>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</si>
  <si>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</si>
  <si>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</si>
  <si>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</si>
  <si>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</si>
  <si>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</si>
  <si>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</si>
  <si>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</si>
  <si>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</si>
  <si>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</si>
  <si>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</si>
  <si>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</si>
  <si>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</si>
  <si>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</si>
  <si>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</si>
  <si>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</si>
  <si>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</si>
  <si>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</si>
  <si>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FMI20260604_001.gcd</t>
  </si>
  <si>
    <t>FMI20260604_002.gcd</t>
  </si>
  <si>
    <t>FMI20260604_003.gcd</t>
  </si>
  <si>
    <t>FMI20260604_004.gcd</t>
  </si>
  <si>
    <t>FMI20260604_005.gcd</t>
  </si>
  <si>
    <t>FMI20260604_006.gcd</t>
  </si>
  <si>
    <t>FMI20260604_007.gcd</t>
  </si>
  <si>
    <t>FMI20260604_008.gcd</t>
  </si>
  <si>
    <t>FMI20260604_009.gcd</t>
  </si>
  <si>
    <t>FMI20260604_010.gcd</t>
  </si>
  <si>
    <t>FMI20260604_011.gcd</t>
  </si>
  <si>
    <t>FMI20260604_012.gcd</t>
  </si>
  <si>
    <t>FMI20260604_013.gcd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</si>
</sst>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Z1" workbookViewId="0">
      <selection activeCell="BH20" sqref="BH20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46177.655543981484</v>
      </c>
      <c r="D9" t="s">
        <v>31</v>
      </c>
      <c r="E9" t="s">
        <v>13</v>
      </c>
      <c r="F9">
        <v>0</v>
      </c>
      <c r="G9">
        <v>6.0860000000000003</v>
      </c>
      <c r="H9" s="3">
        <v>1443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46177.655543981484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46177.655543981484</v>
      </c>
      <c r="AF9" t="s">
        <v>31</v>
      </c>
      <c r="AG9" t="s">
        <v>13</v>
      </c>
      <c r="AH9">
        <v>0</v>
      </c>
      <c r="AI9">
        <v>12.32</v>
      </c>
      <c r="AJ9" s="3">
        <v>2245</v>
      </c>
      <c r="AK9">
        <v>0.47599999999999998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5.1402815272140003</v>
      </c>
      <c r="AU9" s="17">
        <f t="shared" ref="AU9:AU21" si="1">IF($AJ9&lt;45000,((0.00000003579*$AJ9^2)+(0.1857*$AJ9)+(44.75)),((0.0000000022829*$AJ9^2)+(0.1634*$AJ9)+(1620)))</f>
        <v>461.82688249475001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6.9685194600000013</v>
      </c>
      <c r="AX9" s="10">
        <f t="shared" ref="AX9:AX14" si="3">IF(AJ9&lt;45000,((-0.0000004561*AJ9^2)+(0.244*AJ9)+(-21.72)),((-0.0000000409*AJ9^2)+(0.2477*AJ9)+(-1777)))</f>
        <v>523.76124459749997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-0.15234129214000003</v>
      </c>
      <c r="BA9" s="12">
        <f t="shared" ref="BA9:BA14" si="5">IF(AJ9&lt;45000,((-0.0000000598*AJ9^2)+(0.205*AJ9)+(34.1)),((-0.00000002403*AJ9^2)+(0.2063*AJ9)+(-550.7)))</f>
        <v>494.02360650499998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1.7732105407569998</v>
      </c>
      <c r="BD9" s="15">
        <f t="shared" ref="BD9:BD14" si="7">IF(AJ9&lt;45000,((-0.00000004907*AJ9^2)+(0.2277*AJ9)+(-134)),((-0.00000001062*AJ9^2)+(0.2147*AJ9)+(590.6)))</f>
        <v>376.93918597325001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5.1402815272140003</v>
      </c>
      <c r="BG9" s="17">
        <f t="shared" ref="BG9:BG21" si="9">IF($AJ9&lt;45000,((0.00000003579*$AJ9^2)+(0.1857*$AJ9)+(44.75)),((0.0000000022829*$AJ9^2)+(0.1634*$AJ9)+(1620)))</f>
        <v>461.82688249475001</v>
      </c>
      <c r="BI9">
        <v>45</v>
      </c>
      <c r="BJ9" t="s">
        <v>35</v>
      </c>
      <c r="BK9" s="2">
        <v>46177.655543981484</v>
      </c>
      <c r="BL9" t="s">
        <v>31</v>
      </c>
      <c r="BM9" t="s">
        <v>13</v>
      </c>
      <c r="BN9">
        <v>0</v>
      </c>
      <c r="BO9">
        <v>2.7309999999999999</v>
      </c>
      <c r="BP9" s="3">
        <v>4835341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46177.676770833335</v>
      </c>
      <c r="D10" t="s">
        <v>32</v>
      </c>
      <c r="E10" t="s">
        <v>13</v>
      </c>
      <c r="F10">
        <v>0</v>
      </c>
      <c r="G10">
        <v>6.0469999999999997</v>
      </c>
      <c r="H10" s="3">
        <v>927914</v>
      </c>
      <c r="I10">
        <v>1.887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46177.676770833335</v>
      </c>
      <c r="R10" t="s">
        <v>32</v>
      </c>
      <c r="S10" t="s">
        <v>13</v>
      </c>
      <c r="T10">
        <v>0</v>
      </c>
      <c r="U10">
        <v>5.9989999999999997</v>
      </c>
      <c r="V10" s="3">
        <v>7077</v>
      </c>
      <c r="W10">
        <v>1.7629999999999999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46177.676770833335</v>
      </c>
      <c r="AF10" t="s">
        <v>32</v>
      </c>
      <c r="AG10" t="s">
        <v>13</v>
      </c>
      <c r="AH10">
        <v>0</v>
      </c>
      <c r="AI10">
        <v>12.321999999999999</v>
      </c>
      <c r="AJ10" s="3">
        <v>7488</v>
      </c>
      <c r="AK10">
        <v>1.3720000000000001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1827.1286498970021</v>
      </c>
      <c r="AU10" s="17">
        <f t="shared" si="1"/>
        <v>1437.2783504537601</v>
      </c>
      <c r="AW10" s="9">
        <f t="shared" si="2"/>
        <v>1938.2381063200344</v>
      </c>
      <c r="AX10" s="10">
        <f t="shared" si="3"/>
        <v>1779.7784073215998</v>
      </c>
      <c r="AZ10" s="11">
        <f t="shared" si="4"/>
        <v>2140.181350773345</v>
      </c>
      <c r="BA10" s="12">
        <f t="shared" si="5"/>
        <v>1565.7870053887998</v>
      </c>
      <c r="BC10" s="14">
        <f t="shared" si="6"/>
        <v>2076.3449926282719</v>
      </c>
      <c r="BD10" s="15">
        <f t="shared" si="7"/>
        <v>1568.2662380339202</v>
      </c>
      <c r="BF10" s="16">
        <f t="shared" si="8"/>
        <v>1827.1286498970021</v>
      </c>
      <c r="BG10" s="17">
        <f t="shared" si="9"/>
        <v>1437.2783504537601</v>
      </c>
      <c r="BI10">
        <v>46</v>
      </c>
      <c r="BJ10" t="s">
        <v>36</v>
      </c>
      <c r="BK10" s="2">
        <v>46177.676770833335</v>
      </c>
      <c r="BL10" t="s">
        <v>32</v>
      </c>
      <c r="BM10" t="s">
        <v>13</v>
      </c>
      <c r="BN10">
        <v>0</v>
      </c>
      <c r="BO10">
        <v>2.7330000000000001</v>
      </c>
      <c r="BP10" s="3">
        <v>4795769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46177.697939814818</v>
      </c>
      <c r="D11" t="s">
        <v>26</v>
      </c>
      <c r="E11" t="s">
        <v>13</v>
      </c>
      <c r="F11">
        <v>0</v>
      </c>
      <c r="G11">
        <v>6.0650000000000004</v>
      </c>
      <c r="H11" s="3">
        <v>2973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46177.697939814818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46177.697939814818</v>
      </c>
      <c r="AF11" t="s">
        <v>26</v>
      </c>
      <c r="AG11" t="s">
        <v>13</v>
      </c>
      <c r="AH11">
        <v>0</v>
      </c>
      <c r="AI11">
        <v>12.345000000000001</v>
      </c>
      <c r="AJ11" s="3">
        <v>1741</v>
      </c>
      <c r="AK11">
        <v>0.39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9.1008379604939993</v>
      </c>
      <c r="AU11" s="17">
        <f t="shared" si="1"/>
        <v>368.16218238899</v>
      </c>
      <c r="AW11" s="9">
        <f t="shared" si="2"/>
        <v>3.3265686600000013</v>
      </c>
      <c r="AX11" s="10">
        <f t="shared" si="3"/>
        <v>401.70152395590003</v>
      </c>
      <c r="AZ11" s="11">
        <f t="shared" si="4"/>
        <v>3.9868139750599996</v>
      </c>
      <c r="BA11" s="12">
        <f t="shared" si="5"/>
        <v>390.8237413562</v>
      </c>
      <c r="BC11" s="14">
        <f t="shared" si="6"/>
        <v>7.1580533253970007</v>
      </c>
      <c r="BD11" s="15">
        <f t="shared" si="7"/>
        <v>262.27696485532999</v>
      </c>
      <c r="BF11" s="16">
        <f t="shared" si="8"/>
        <v>9.1008379604939993</v>
      </c>
      <c r="BG11" s="17">
        <f t="shared" si="9"/>
        <v>368.16218238899</v>
      </c>
      <c r="BI11">
        <v>47</v>
      </c>
      <c r="BJ11" t="s">
        <v>37</v>
      </c>
      <c r="BK11" s="2">
        <v>46177.697939814818</v>
      </c>
      <c r="BL11" t="s">
        <v>26</v>
      </c>
      <c r="BM11" t="s">
        <v>13</v>
      </c>
      <c r="BN11">
        <v>0</v>
      </c>
      <c r="BO11">
        <v>2.722</v>
      </c>
      <c r="BP11" s="3">
        <v>5018068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46177.719178240739</v>
      </c>
      <c r="D12">
        <v>241</v>
      </c>
      <c r="E12" t="s">
        <v>13</v>
      </c>
      <c r="F12">
        <v>0</v>
      </c>
      <c r="G12">
        <v>6.0519999999999996</v>
      </c>
      <c r="H12" s="3">
        <v>6719</v>
      </c>
      <c r="I12">
        <v>1.4E-2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46177.719178240739</v>
      </c>
      <c r="R12">
        <v>241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46177.719178240739</v>
      </c>
      <c r="AF12">
        <v>241</v>
      </c>
      <c r="AG12" t="s">
        <v>13</v>
      </c>
      <c r="AH12">
        <v>0</v>
      </c>
      <c r="AI12">
        <v>12.265000000000001</v>
      </c>
      <c r="AJ12" s="3">
        <v>35126</v>
      </c>
      <c r="AK12">
        <v>6.093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18.724326614846003</v>
      </c>
      <c r="AU12" s="17">
        <f t="shared" si="1"/>
        <v>6611.8071860020409</v>
      </c>
      <c r="AW12" s="9">
        <f t="shared" si="2"/>
        <v>5.0822439399999997</v>
      </c>
      <c r="AX12" s="10">
        <f t="shared" si="3"/>
        <v>7986.2714569564005</v>
      </c>
      <c r="AZ12" s="11">
        <f t="shared" si="4"/>
        <v>15.25029007154</v>
      </c>
      <c r="BA12" s="12">
        <f t="shared" si="5"/>
        <v>7161.1466146152006</v>
      </c>
      <c r="BC12" s="14">
        <f t="shared" si="6"/>
        <v>20.509974153772994</v>
      </c>
      <c r="BD12" s="15">
        <f t="shared" si="7"/>
        <v>7803.6458735646811</v>
      </c>
      <c r="BF12" s="16">
        <f t="shared" si="8"/>
        <v>18.724326614846003</v>
      </c>
      <c r="BG12" s="17">
        <f t="shared" si="9"/>
        <v>6611.8071860020409</v>
      </c>
      <c r="BI12">
        <v>48</v>
      </c>
      <c r="BJ12" t="s">
        <v>38</v>
      </c>
      <c r="BK12" s="2">
        <v>46177.719178240739</v>
      </c>
      <c r="BL12">
        <v>241</v>
      </c>
      <c r="BM12" t="s">
        <v>13</v>
      </c>
      <c r="BN12">
        <v>0</v>
      </c>
      <c r="BO12">
        <v>2.8860000000000001</v>
      </c>
      <c r="BP12" s="3">
        <v>663426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46177.740393518521</v>
      </c>
      <c r="D13">
        <v>322</v>
      </c>
      <c r="E13" t="s">
        <v>13</v>
      </c>
      <c r="F13">
        <v>0</v>
      </c>
      <c r="G13">
        <v>6.05</v>
      </c>
      <c r="H13" s="3">
        <v>11090</v>
      </c>
      <c r="I13">
        <v>2.3E-2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46177.740393518521</v>
      </c>
      <c r="R13">
        <v>322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46177.740393518521</v>
      </c>
      <c r="AF13">
        <v>322</v>
      </c>
      <c r="AG13" t="s">
        <v>13</v>
      </c>
      <c r="AH13">
        <v>0</v>
      </c>
      <c r="AI13">
        <v>12.291</v>
      </c>
      <c r="AJ13" s="3">
        <v>12629</v>
      </c>
      <c r="AK13">
        <v>2.25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27.287907279160002</v>
      </c>
      <c r="AU13" s="17">
        <f t="shared" si="1"/>
        <v>2395.66350583139</v>
      </c>
      <c r="AW13" s="9">
        <f t="shared" si="2"/>
        <v>23.132917766299997</v>
      </c>
      <c r="AX13" s="10">
        <f t="shared" si="3"/>
        <v>2987.0118625399004</v>
      </c>
      <c r="AZ13" s="11">
        <f t="shared" si="4"/>
        <v>27.793391036720003</v>
      </c>
      <c r="BA13" s="12">
        <f t="shared" si="5"/>
        <v>2613.5073998681996</v>
      </c>
      <c r="BC13" s="14">
        <f t="shared" si="6"/>
        <v>32.890034129699998</v>
      </c>
      <c r="BD13" s="15">
        <f t="shared" si="7"/>
        <v>2733.7970451761303</v>
      </c>
      <c r="BF13" s="16">
        <f t="shared" si="8"/>
        <v>27.287907279160002</v>
      </c>
      <c r="BG13" s="17">
        <f t="shared" si="9"/>
        <v>2395.66350583139</v>
      </c>
      <c r="BI13">
        <v>49</v>
      </c>
      <c r="BJ13" t="s">
        <v>39</v>
      </c>
      <c r="BK13" s="2">
        <v>46177.740393518521</v>
      </c>
      <c r="BL13">
        <v>322</v>
      </c>
      <c r="BM13" t="s">
        <v>13</v>
      </c>
      <c r="BN13">
        <v>0</v>
      </c>
      <c r="BO13">
        <v>2.8879999999999999</v>
      </c>
      <c r="BP13" s="3">
        <v>623986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46177.761620370373</v>
      </c>
      <c r="D14">
        <v>302</v>
      </c>
      <c r="E14" t="s">
        <v>13</v>
      </c>
      <c r="F14">
        <v>0</v>
      </c>
      <c r="G14">
        <v>6.0490000000000004</v>
      </c>
      <c r="H14" s="3">
        <v>14826</v>
      </c>
      <c r="I14">
        <v>0.03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46177.761620370373</v>
      </c>
      <c r="R14">
        <v>302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46177.761620370373</v>
      </c>
      <c r="AF14">
        <v>302</v>
      </c>
      <c r="AG14" t="s">
        <v>13</v>
      </c>
      <c r="AH14">
        <v>0</v>
      </c>
      <c r="AI14">
        <v>12.262</v>
      </c>
      <c r="AJ14" s="3">
        <v>3357</v>
      </c>
      <c r="AK14">
        <v>0.66600000000000004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35.395943412113603</v>
      </c>
      <c r="AU14" s="17">
        <f t="shared" si="1"/>
        <v>668.54823357970997</v>
      </c>
      <c r="AW14" s="9">
        <f t="shared" si="2"/>
        <v>34.348877194747999</v>
      </c>
      <c r="AX14" s="10">
        <f t="shared" si="3"/>
        <v>792.24800431109998</v>
      </c>
      <c r="AZ14" s="11">
        <f t="shared" si="4"/>
        <v>38.596092792291209</v>
      </c>
      <c r="BA14" s="12">
        <f t="shared" si="5"/>
        <v>721.61108694979998</v>
      </c>
      <c r="BC14" s="14">
        <f t="shared" si="6"/>
        <v>42.884521897412</v>
      </c>
      <c r="BD14" s="15">
        <f t="shared" si="7"/>
        <v>629.83590813757007</v>
      </c>
      <c r="BF14" s="16">
        <f t="shared" si="8"/>
        <v>35.395943412113603</v>
      </c>
      <c r="BG14" s="17">
        <f t="shared" si="9"/>
        <v>668.54823357970997</v>
      </c>
      <c r="BI14">
        <v>50</v>
      </c>
      <c r="BJ14" t="s">
        <v>40</v>
      </c>
      <c r="BK14" s="2">
        <v>46177.761620370373</v>
      </c>
      <c r="BL14">
        <v>302</v>
      </c>
      <c r="BM14" t="s">
        <v>13</v>
      </c>
      <c r="BN14">
        <v>0</v>
      </c>
      <c r="BO14">
        <v>2.8809999999999998</v>
      </c>
      <c r="BP14" s="3">
        <v>754557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46177.782835648148</v>
      </c>
      <c r="D15">
        <v>161</v>
      </c>
      <c r="E15" t="s">
        <v>13</v>
      </c>
      <c r="F15">
        <v>0</v>
      </c>
      <c r="G15">
        <v>6.0490000000000004</v>
      </c>
      <c r="H15" s="3">
        <v>14994</v>
      </c>
      <c r="I15">
        <v>3.1E-2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46177.782835648148</v>
      </c>
      <c r="R15">
        <v>161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46177.782835648148</v>
      </c>
      <c r="AF15">
        <v>161</v>
      </c>
      <c r="AG15" t="s">
        <v>13</v>
      </c>
      <c r="AH15">
        <v>0</v>
      </c>
      <c r="AI15">
        <v>12.298</v>
      </c>
      <c r="AJ15" s="3">
        <v>3241</v>
      </c>
      <c r="AK15">
        <v>0.64600000000000002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35.760297738449601</v>
      </c>
      <c r="AU15" s="17">
        <f t="shared" si="1"/>
        <v>646.97964105898996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34.852200803228001</v>
      </c>
      <c r="AX15" s="10">
        <f t="shared" ref="AX15:AX16" si="11">IF(AJ15&lt;45000,((-0.0000004561*AJ15^2)+(0.244*AJ15)+(-21.72)),((-0.0000000409*AJ15^2)+(0.2477*AJ15)+(-1777)))</f>
        <v>764.29308865589996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39.081677973603206</v>
      </c>
      <c r="BA15" s="12">
        <f t="shared" ref="BA15:BA16" si="13">IF(AJ15&lt;45000,((-0.0000000598*AJ15^2)+(0.205*AJ15)+(34.1)),((-0.00000002403*AJ15^2)+(0.2063*AJ15)+(-550.7)))</f>
        <v>697.87685595619996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43.333780330532001</v>
      </c>
      <c r="BD15" s="15">
        <f t="shared" ref="BD15:BD16" si="15">IF(AJ15&lt;45000,((-0.00000004907*AJ15^2)+(0.2277*AJ15)+(-134)),((-0.00000001062*AJ15^2)+(0.2147*AJ15)+(590.6)))</f>
        <v>603.46026474533005</v>
      </c>
      <c r="BF15" s="16">
        <f t="shared" si="8"/>
        <v>35.760297738449601</v>
      </c>
      <c r="BG15" s="17">
        <f t="shared" si="9"/>
        <v>646.97964105898996</v>
      </c>
      <c r="BI15">
        <v>51</v>
      </c>
      <c r="BJ15" t="s">
        <v>41</v>
      </c>
      <c r="BK15" s="2">
        <v>46177.782835648148</v>
      </c>
      <c r="BL15">
        <v>161</v>
      </c>
      <c r="BM15" t="s">
        <v>13</v>
      </c>
      <c r="BN15">
        <v>0</v>
      </c>
      <c r="BO15">
        <v>2.883</v>
      </c>
      <c r="BP15" s="3">
        <v>730446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46177.804050925923</v>
      </c>
      <c r="D16">
        <v>381</v>
      </c>
      <c r="E16" t="s">
        <v>13</v>
      </c>
      <c r="F16">
        <v>0</v>
      </c>
      <c r="G16">
        <v>6.0510000000000002</v>
      </c>
      <c r="H16" s="3">
        <v>11189</v>
      </c>
      <c r="I16">
        <v>2.3E-2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46177.804050925923</v>
      </c>
      <c r="R16">
        <v>381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46177.804050925923</v>
      </c>
      <c r="AF16">
        <v>381</v>
      </c>
      <c r="AG16" t="s">
        <v>13</v>
      </c>
      <c r="AH16">
        <v>0</v>
      </c>
      <c r="AI16">
        <v>12.284000000000001</v>
      </c>
      <c r="AJ16" s="3">
        <v>18016</v>
      </c>
      <c r="AK16">
        <v>3.17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27.502897083415604</v>
      </c>
      <c r="AU16" s="17">
        <f t="shared" si="1"/>
        <v>3401.93778420224</v>
      </c>
      <c r="AW16" s="9">
        <f t="shared" si="10"/>
        <v>23.430696501983</v>
      </c>
      <c r="AX16" s="10">
        <f t="shared" si="11"/>
        <v>4226.1447696383993</v>
      </c>
      <c r="AZ16" s="11">
        <f t="shared" si="12"/>
        <v>28.079755053375202</v>
      </c>
      <c r="BA16" s="12">
        <f t="shared" si="13"/>
        <v>3707.9703398911997</v>
      </c>
      <c r="BC16" s="14">
        <f t="shared" si="14"/>
        <v>33.154972051377001</v>
      </c>
      <c r="BD16" s="15">
        <f t="shared" si="15"/>
        <v>3952.3162431180799</v>
      </c>
      <c r="BF16" s="16">
        <f t="shared" si="8"/>
        <v>27.502897083415604</v>
      </c>
      <c r="BG16" s="17">
        <f t="shared" si="9"/>
        <v>3401.93778420224</v>
      </c>
      <c r="BI16">
        <v>52</v>
      </c>
      <c r="BJ16" t="s">
        <v>42</v>
      </c>
      <c r="BK16" s="2">
        <v>46177.804050925923</v>
      </c>
      <c r="BL16">
        <v>381</v>
      </c>
      <c r="BM16" t="s">
        <v>13</v>
      </c>
      <c r="BN16">
        <v>0</v>
      </c>
      <c r="BO16">
        <v>2.88</v>
      </c>
      <c r="BP16" s="3">
        <v>790534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46177.825243055559</v>
      </c>
      <c r="D17">
        <v>132</v>
      </c>
      <c r="E17" t="s">
        <v>13</v>
      </c>
      <c r="F17">
        <v>0</v>
      </c>
      <c r="G17">
        <v>6.0510000000000002</v>
      </c>
      <c r="H17" s="3">
        <v>17223</v>
      </c>
      <c r="I17">
        <v>3.5000000000000003E-2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46177.825243055559</v>
      </c>
      <c r="R17">
        <v>132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46177.825243055559</v>
      </c>
      <c r="AF17">
        <v>132</v>
      </c>
      <c r="AG17" t="s">
        <v>13</v>
      </c>
      <c r="AH17">
        <v>0</v>
      </c>
      <c r="AI17">
        <v>12.244999999999999</v>
      </c>
      <c r="AJ17" s="3">
        <v>51372</v>
      </c>
      <c r="AK17">
        <v>8.8680000000000003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40.5924878172044</v>
      </c>
      <c r="AU17" s="17">
        <f t="shared" si="1"/>
        <v>10020.209561174433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41.521800763367004</v>
      </c>
      <c r="AX17" s="10">
        <f t="shared" ref="AX17:AX21" si="17">IF(AJ17&lt;45000,((-0.0000004561*AJ17^2)+(0.244*AJ17)+(-21.72)),((-0.0000000409*AJ17^2)+(0.2477*AJ17)+(-1777)))</f>
        <v>10839.9059304944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45.522809756664799</v>
      </c>
      <c r="BA17" s="12">
        <f t="shared" ref="BA17:BA21" si="19">IF(AJ17&lt;45000,((-0.0000000598*AJ17^2)+(0.205*AJ17)+(34.1)),((-0.00000002403*AJ17^2)+(0.2063*AJ17)+(-550.7)))</f>
        <v>9983.9264503124796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49.293071855272999</v>
      </c>
      <c r="BD17" s="15">
        <f t="shared" ref="BD17:BD21" si="21">IF(AJ17&lt;45000,((-0.00000004907*AJ17^2)+(0.2277*AJ17)+(-134)),((-0.00000001062*AJ17^2)+(0.2147*AJ17)+(590.6)))</f>
        <v>11592.14134508192</v>
      </c>
      <c r="BF17" s="16">
        <f t="shared" si="8"/>
        <v>40.5924878172044</v>
      </c>
      <c r="BG17" s="17">
        <f t="shared" si="9"/>
        <v>10020.209561174433</v>
      </c>
      <c r="BI17">
        <v>53</v>
      </c>
      <c r="BJ17" t="s">
        <v>43</v>
      </c>
      <c r="BK17" s="2">
        <v>46177.825243055559</v>
      </c>
      <c r="BL17">
        <v>132</v>
      </c>
      <c r="BM17" t="s">
        <v>13</v>
      </c>
      <c r="BN17">
        <v>0</v>
      </c>
      <c r="BO17">
        <v>2.8839999999999999</v>
      </c>
      <c r="BP17" s="3">
        <v>714280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46177.84648148148</v>
      </c>
      <c r="D18">
        <v>269</v>
      </c>
      <c r="E18" t="s">
        <v>13</v>
      </c>
      <c r="F18">
        <v>0</v>
      </c>
      <c r="G18">
        <v>6.0510000000000002</v>
      </c>
      <c r="H18" s="3">
        <v>18471</v>
      </c>
      <c r="I18">
        <v>3.7999999999999999E-2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46177.84648148148</v>
      </c>
      <c r="R18">
        <v>269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46177.84648148148</v>
      </c>
      <c r="AF18">
        <v>269</v>
      </c>
      <c r="AG18" t="s">
        <v>13</v>
      </c>
      <c r="AH18">
        <v>0</v>
      </c>
      <c r="AI18">
        <v>12.244</v>
      </c>
      <c r="AJ18" s="3">
        <v>52567</v>
      </c>
      <c r="AK18">
        <v>9.0719999999999992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43.296360660647608</v>
      </c>
      <c r="AU18" s="17">
        <f t="shared" si="1"/>
        <v>10215.756113574438</v>
      </c>
      <c r="AW18" s="9">
        <f t="shared" si="16"/>
        <v>45.249215544743002</v>
      </c>
      <c r="AX18" s="10">
        <f t="shared" si="17"/>
        <v>11130.8273598999</v>
      </c>
      <c r="AZ18" s="11">
        <f t="shared" si="18"/>
        <v>49.127896839519202</v>
      </c>
      <c r="BA18" s="12">
        <f t="shared" si="19"/>
        <v>10227.470253579331</v>
      </c>
      <c r="BC18" s="14">
        <f t="shared" si="20"/>
        <v>52.628492227816999</v>
      </c>
      <c r="BD18" s="15">
        <f t="shared" si="21"/>
        <v>11847.388765626822</v>
      </c>
      <c r="BF18" s="16">
        <f t="shared" si="8"/>
        <v>43.296360660647608</v>
      </c>
      <c r="BG18" s="17">
        <f t="shared" si="9"/>
        <v>10215.756113574438</v>
      </c>
      <c r="BI18">
        <v>54</v>
      </c>
      <c r="BJ18" t="s">
        <v>44</v>
      </c>
      <c r="BK18" s="2">
        <v>46177.84648148148</v>
      </c>
      <c r="BL18">
        <v>269</v>
      </c>
      <c r="BM18" t="s">
        <v>13</v>
      </c>
      <c r="BN18">
        <v>0</v>
      </c>
      <c r="BO18">
        <v>2.8820000000000001</v>
      </c>
      <c r="BP18" s="3">
        <v>736329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46177.867708333331</v>
      </c>
      <c r="D19">
        <v>222</v>
      </c>
      <c r="E19" t="s">
        <v>13</v>
      </c>
      <c r="F19">
        <v>0</v>
      </c>
      <c r="G19">
        <v>6.0510000000000002</v>
      </c>
      <c r="H19" s="3">
        <v>14761</v>
      </c>
      <c r="I19">
        <v>0.03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46177.867708333331</v>
      </c>
      <c r="R19">
        <v>222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46177.867708333331</v>
      </c>
      <c r="AF19">
        <v>222</v>
      </c>
      <c r="AG19" t="s">
        <v>13</v>
      </c>
      <c r="AH19">
        <v>0</v>
      </c>
      <c r="AI19">
        <v>12.295999999999999</v>
      </c>
      <c r="AJ19" s="3">
        <v>3063</v>
      </c>
      <c r="AK19">
        <v>0.61599999999999999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35.254967287655603</v>
      </c>
      <c r="AU19" s="17">
        <f t="shared" si="1"/>
        <v>613.88488067051003</v>
      </c>
      <c r="AW19" s="9">
        <f t="shared" si="16"/>
        <v>34.154115010182998</v>
      </c>
      <c r="AX19" s="10">
        <f t="shared" si="17"/>
        <v>721.37288393909989</v>
      </c>
      <c r="AZ19" s="11">
        <f t="shared" si="18"/>
        <v>38.408213199455204</v>
      </c>
      <c r="BA19" s="12">
        <f t="shared" si="19"/>
        <v>661.45395825380001</v>
      </c>
      <c r="BC19" s="14">
        <f t="shared" si="20"/>
        <v>42.710697687177003</v>
      </c>
      <c r="BD19" s="15">
        <f t="shared" si="21"/>
        <v>562.98472678117002</v>
      </c>
      <c r="BF19" s="16">
        <f t="shared" si="8"/>
        <v>35.254967287655603</v>
      </c>
      <c r="BG19" s="17">
        <f t="shared" si="9"/>
        <v>613.88488067051003</v>
      </c>
      <c r="BI19">
        <v>55</v>
      </c>
      <c r="BJ19" t="s">
        <v>45</v>
      </c>
      <c r="BK19" s="2">
        <v>46177.867708333331</v>
      </c>
      <c r="BL19">
        <v>222</v>
      </c>
      <c r="BM19" t="s">
        <v>13</v>
      </c>
      <c r="BN19">
        <v>0</v>
      </c>
      <c r="BO19">
        <v>2.8889999999999998</v>
      </c>
      <c r="BP19" s="3">
        <v>642108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46177.88890046296</v>
      </c>
      <c r="D20">
        <v>135</v>
      </c>
      <c r="E20" t="s">
        <v>13</v>
      </c>
      <c r="F20">
        <v>0</v>
      </c>
      <c r="G20">
        <v>6.0570000000000004</v>
      </c>
      <c r="H20" s="3">
        <v>15182</v>
      </c>
      <c r="I20">
        <v>3.1E-2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46177.88890046296</v>
      </c>
      <c r="R20">
        <v>135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46177.88890046296</v>
      </c>
      <c r="AF20">
        <v>135</v>
      </c>
      <c r="AG20" t="s">
        <v>13</v>
      </c>
      <c r="AH20">
        <v>0</v>
      </c>
      <c r="AI20">
        <v>12.315</v>
      </c>
      <c r="AJ20" s="3">
        <v>3488</v>
      </c>
      <c r="AK20">
        <v>0.68799999999999994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36.168002388126403</v>
      </c>
      <c r="AU20" s="17">
        <f t="shared" si="1"/>
        <v>692.90702629375994</v>
      </c>
      <c r="AW20" s="9">
        <f t="shared" si="16"/>
        <v>35.415338343451999</v>
      </c>
      <c r="AX20" s="10">
        <f t="shared" si="17"/>
        <v>823.80302172159998</v>
      </c>
      <c r="AZ20" s="11">
        <f t="shared" si="18"/>
        <v>39.625051585788803</v>
      </c>
      <c r="BA20" s="12">
        <f t="shared" si="19"/>
        <v>748.41246458879993</v>
      </c>
      <c r="BC20" s="14">
        <f t="shared" si="20"/>
        <v>43.836504308388001</v>
      </c>
      <c r="BD20" s="15">
        <f t="shared" si="21"/>
        <v>659.62060731392012</v>
      </c>
      <c r="BF20" s="16">
        <f t="shared" si="8"/>
        <v>36.168002388126403</v>
      </c>
      <c r="BG20" s="17">
        <f t="shared" si="9"/>
        <v>692.90702629375994</v>
      </c>
      <c r="BI20">
        <v>56</v>
      </c>
      <c r="BJ20" t="s">
        <v>46</v>
      </c>
      <c r="BK20" s="2">
        <v>46177.88890046296</v>
      </c>
      <c r="BL20">
        <v>135</v>
      </c>
      <c r="BM20" t="s">
        <v>13</v>
      </c>
      <c r="BN20">
        <v>0</v>
      </c>
      <c r="BO20">
        <v>2.8919999999999999</v>
      </c>
      <c r="BP20" s="3">
        <v>705325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46177.910115740742</v>
      </c>
      <c r="D21">
        <v>286</v>
      </c>
      <c r="E21" t="s">
        <v>13</v>
      </c>
      <c r="F21">
        <v>0</v>
      </c>
      <c r="G21">
        <v>6.0510000000000002</v>
      </c>
      <c r="H21" s="3">
        <v>8528</v>
      </c>
      <c r="I21">
        <v>1.7000000000000001E-2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46177.910115740742</v>
      </c>
      <c r="R21">
        <v>286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46177.910115740742</v>
      </c>
      <c r="AF21">
        <v>286</v>
      </c>
      <c r="AG21" t="s">
        <v>13</v>
      </c>
      <c r="AH21">
        <v>0</v>
      </c>
      <c r="AI21">
        <v>12.263999999999999</v>
      </c>
      <c r="AJ21" s="3">
        <v>36963</v>
      </c>
      <c r="AK21">
        <v>6.407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23.334332724224002</v>
      </c>
      <c r="AU21" s="17">
        <f t="shared" si="1"/>
        <v>6957.6776659765101</v>
      </c>
      <c r="AW21" s="9">
        <f t="shared" si="16"/>
        <v>11.356543360000005</v>
      </c>
      <c r="AX21" s="10">
        <f t="shared" si="17"/>
        <v>8374.0992773991002</v>
      </c>
      <c r="AZ21" s="11">
        <f t="shared" si="18"/>
        <v>21.263792437759996</v>
      </c>
      <c r="BA21" s="12">
        <f t="shared" si="19"/>
        <v>7529.8124505338001</v>
      </c>
      <c r="BC21" s="14">
        <f t="shared" si="20"/>
        <v>27.043164576511998</v>
      </c>
      <c r="BD21" s="15">
        <f t="shared" si="21"/>
        <v>8215.4325564831688</v>
      </c>
      <c r="BF21" s="16">
        <f t="shared" si="8"/>
        <v>23.334332724224002</v>
      </c>
      <c r="BG21" s="17">
        <f t="shared" si="9"/>
        <v>6957.6776659765101</v>
      </c>
      <c r="BI21">
        <v>57</v>
      </c>
      <c r="BJ21" t="s">
        <v>47</v>
      </c>
      <c r="BK21" s="2">
        <v>46177.910115740742</v>
      </c>
      <c r="BL21">
        <v>286</v>
      </c>
      <c r="BM21" t="s">
        <v>13</v>
      </c>
      <c r="BN21">
        <v>0</v>
      </c>
      <c r="BO21">
        <v>2.8759999999999999</v>
      </c>
      <c r="BP21" s="3">
        <v>872660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2026-06-08T15:37:08Z</dcterms:modified>
</cp:coreProperties>
</file>