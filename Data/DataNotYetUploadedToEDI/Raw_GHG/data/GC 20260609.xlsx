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93C4FFCD-B453-4912-81EA-510F603A9C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<sst xmlns="http://schemas.openxmlformats.org/spreadsheetml/2006/main" count="836" uniqueCount="66">
  <si>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</si>
  <si>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</si>
  <si>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</si>
  <si>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</si>
  <si>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</si>
  <si>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</si>
  <si>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</si>
  <si>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</si>
  <si>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</si>
  <si>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</si>
  <si>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</si>
  <si>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</si>
  <si>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</si>
  <si>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</si>
  <si>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</si>
  <si>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</si>
  <si>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</si>
  <si>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</si>
  <si>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</si>
  <si>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</si>
  <si>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</si>
  <si>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</si>
  <si>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</si>
  <si>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</si>
  <si>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</si>
  <si>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</si>
  <si>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</si>
  <si>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</si>
  <si>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</si>
  <si>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</si>
  <si>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</si>
  <si>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</si>
  <si>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</si>
  <si>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</si>
  <si>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</si>
  <si>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FMI20260609_001.gcd</t>
  </si>
  <si>
    <t>FMI20260609_002.gcd</t>
  </si>
  <si>
    <t>FMI20260609_003.gcd</t>
  </si>
  <si>
    <t>FMI20260609_004.gcd</t>
  </si>
  <si>
    <t>FMI20260609_005.gcd</t>
  </si>
  <si>
    <t>FMI20260609_006.gcd</t>
  </si>
  <si>
    <t>FMI20260609_007.gcd</t>
  </si>
  <si>
    <t>FMI20260609_008.gcd</t>
  </si>
  <si>
    <t>FMI20260609_009.gcd</t>
  </si>
  <si>
    <t>FMI20260609_010.gcd</t>
  </si>
  <si>
    <t>FMI20260609_011.gcd</t>
  </si>
  <si>
    <t>FMI20260609_012.gcd</t>
  </si>
  <si>
    <t>FMI20260609_013.gcd</t>
  </si>
  <si>
    <t>FMI20260609_014.gcd</t>
  </si>
  <si>
    <t>FMI20260609_015.gcd</t>
  </si>
  <si>
    <t>FMI20260609_016.gcd</t>
  </si>
  <si>
    <t>FMI20260609_017.gcd</t>
  </si>
  <si>
    <t>FMI20260609_018.gcd</t>
  </si>
  <si>
    <t>FMI20260609_019.gcd</t>
  </si>
  <si>
    <t>FMI20260609_020.gcd</t>
  </si>
  <si>
    <t>FMI20260609_021.gcd</t>
  </si>
  <si>
    <t>FMI20260609_022.gcd</t>
  </si>
  <si>
    <t>FMI20260609_023.gcd</t>
  </si>
  <si>
    <t>FMI20260609_024.gcd</t>
  </si>
  <si>
    <t>FMI20260609_025.gcd</t>
  </si>
  <si>
    <t>FMI20260609_026.gcd</t>
  </si>
  <si>
    <t>FMI20260609_027.gcd</t>
  </si>
  <si>
    <t>FMI20260609_028.gcd</t>
  </si>
  <si>
    <t>FMI20260609_029.gcd</t>
  </si>
  <si>
    <t>leaked in lab- estimated volume. If dups don't match discard this one.</t>
  </si>
  <si>
    <t>loose cap but no bubble- recrimped 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</si>
</sst>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X1" workbookViewId="0">
      <selection activeCell="AQ38" sqref="AQ38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46182.497071759259</v>
      </c>
      <c r="D9" t="s">
        <v>31</v>
      </c>
      <c r="E9" t="s">
        <v>13</v>
      </c>
      <c r="F9">
        <v>0</v>
      </c>
      <c r="G9">
        <v>6.1</v>
      </c>
      <c r="H9" s="3">
        <v>1561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46182.497071759259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46182.497071759259</v>
      </c>
      <c r="AF9" t="s">
        <v>31</v>
      </c>
      <c r="AG9" t="s">
        <v>13</v>
      </c>
      <c r="AH9">
        <v>0</v>
      </c>
      <c r="AI9">
        <v>12.381</v>
      </c>
      <c r="AJ9" s="3">
        <v>2075</v>
      </c>
      <c r="AK9">
        <v>0.44700000000000001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7" si="0">IF($H9&lt;10000,(($H9^2*-0.000000003714)+($H9*0.002605)+(1.389)),(IF($H9&lt;200000,(($H9^2*-0.0000000003764)+($H9*0.00218)+(3.158)),(IF($H9&lt;8000000,(($H9^2*-0.000000000004719)+($H9*0.001816)+(146.1)),(($V9^2*0.000000002578)+($V9*0.2173)+(2294)))))))</f>
        <v>5.4463550182060008</v>
      </c>
      <c r="AU9" s="17">
        <f t="shared" ref="AU9:AU37" si="1">IF($AJ9&lt;45000,((0.00000003579*$AJ9^2)+(0.1857*$AJ9)+(44.75)),((0.0000000022829*$AJ9^2)+(0.1634*$AJ9)+(1620)))</f>
        <v>430.23159831875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6.5976643399999997</v>
      </c>
      <c r="AX9" s="10">
        <f t="shared" ref="AX9:AX14" si="3">IF(AJ9&lt;45000,((-0.0000004561*AJ9^2)+(0.244*AJ9)+(-21.72)),((-0.0000000409*AJ9^2)+(0.2477*AJ9)+(-1777)))</f>
        <v>482.61620443749996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0.15736723793999996</v>
      </c>
      <c r="BA9" s="12">
        <f t="shared" ref="BA9:BA14" si="5">IF(AJ9&lt;45000,((-0.0000000598*AJ9^2)+(0.205*AJ9)+(34.1)),((-0.00000002403*AJ9^2)+(0.2063*AJ9)+(-550.7)))</f>
        <v>459.21752362500001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2.1870970714529996</v>
      </c>
      <c r="BD9" s="15">
        <f t="shared" ref="BD9:BD14" si="7">IF(AJ9&lt;45000,((-0.00000004907*AJ9^2)+(0.2277*AJ9)+(-134)),((-0.00000001062*AJ9^2)+(0.2147*AJ9)+(590.6)))</f>
        <v>338.26622298125</v>
      </c>
      <c r="BF9" s="16">
        <f t="shared" ref="BF9:BF37" si="8">IF($H9&lt;10000,(($H9^2*-0.000000003714)+($H9*0.002605)+(1.389)),(IF($H9&lt;200000,(($H9^2*-0.0000000003764)+($H9*0.00218)+(3.158)),(IF($H9&lt;8000000,(($H9^2*-0.000000000004719)+($H9*0.001816)+(146.1)),(($V9^2*0.000000002578)+($V9*0.2173)+(2294)))))))</f>
        <v>5.4463550182060008</v>
      </c>
      <c r="BG9" s="17">
        <f t="shared" ref="BG9:BG37" si="9">IF($AJ9&lt;45000,((0.00000003579*$AJ9^2)+(0.1857*$AJ9)+(44.75)),((0.0000000022829*$AJ9^2)+(0.1634*$AJ9)+(1620)))</f>
        <v>430.23159831875</v>
      </c>
      <c r="BI9">
        <v>45</v>
      </c>
      <c r="BJ9" t="s">
        <v>35</v>
      </c>
      <c r="BK9" s="2">
        <v>46182.497071759259</v>
      </c>
      <c r="BL9" t="s">
        <v>31</v>
      </c>
      <c r="BM9" t="s">
        <v>13</v>
      </c>
      <c r="BN9">
        <v>0</v>
      </c>
      <c r="BO9">
        <v>2.7360000000000002</v>
      </c>
      <c r="BP9" s="3">
        <v>4921152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46182.518287037034</v>
      </c>
      <c r="D10" t="s">
        <v>32</v>
      </c>
      <c r="E10" t="s">
        <v>13</v>
      </c>
      <c r="F10">
        <v>0</v>
      </c>
      <c r="G10">
        <v>6.05</v>
      </c>
      <c r="H10" s="3">
        <v>1055100</v>
      </c>
      <c r="I10">
        <v>2.1459999999999999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46182.518287037034</v>
      </c>
      <c r="R10" t="s">
        <v>32</v>
      </c>
      <c r="S10" t="s">
        <v>13</v>
      </c>
      <c r="T10">
        <v>0</v>
      </c>
      <c r="U10">
        <v>6.0039999999999996</v>
      </c>
      <c r="V10" s="3">
        <v>8165</v>
      </c>
      <c r="W10">
        <v>2.0099999999999998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46182.518287037034</v>
      </c>
      <c r="AF10" t="s">
        <v>32</v>
      </c>
      <c r="AG10" t="s">
        <v>13</v>
      </c>
      <c r="AH10">
        <v>0</v>
      </c>
      <c r="AI10">
        <v>12.329000000000001</v>
      </c>
      <c r="AJ10" s="3">
        <v>7400</v>
      </c>
      <c r="AK10">
        <v>1.357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2056.9082392688101</v>
      </c>
      <c r="AU10" s="17">
        <f t="shared" si="1"/>
        <v>1420.8898604000001</v>
      </c>
      <c r="AW10" s="9">
        <f t="shared" si="2"/>
        <v>2180.2878102139998</v>
      </c>
      <c r="AX10" s="10">
        <f t="shared" si="3"/>
        <v>1758.9039639999999</v>
      </c>
      <c r="AZ10" s="11">
        <f t="shared" si="4"/>
        <v>2411.1772367379999</v>
      </c>
      <c r="BA10" s="12">
        <f t="shared" si="5"/>
        <v>1547.8253519999998</v>
      </c>
      <c r="BC10" s="14">
        <f t="shared" si="6"/>
        <v>2336.29900958501</v>
      </c>
      <c r="BD10" s="15">
        <f t="shared" si="7"/>
        <v>1548.2929268</v>
      </c>
      <c r="BF10" s="16">
        <f t="shared" si="8"/>
        <v>2056.9082392688101</v>
      </c>
      <c r="BG10" s="17">
        <f t="shared" si="9"/>
        <v>1420.8898604000001</v>
      </c>
      <c r="BI10">
        <v>46</v>
      </c>
      <c r="BJ10" t="s">
        <v>36</v>
      </c>
      <c r="BK10" s="2">
        <v>46182.518287037034</v>
      </c>
      <c r="BL10" t="s">
        <v>32</v>
      </c>
      <c r="BM10" t="s">
        <v>13</v>
      </c>
      <c r="BN10">
        <v>0</v>
      </c>
      <c r="BO10">
        <v>2.7309999999999999</v>
      </c>
      <c r="BP10" s="3">
        <v>4925979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46182.539479166669</v>
      </c>
      <c r="D11" t="s">
        <v>26</v>
      </c>
      <c r="E11" t="s">
        <v>13</v>
      </c>
      <c r="F11">
        <v>0</v>
      </c>
      <c r="G11">
        <v>6.077</v>
      </c>
      <c r="H11" s="3">
        <v>3135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46182.539479166669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46182.539479166669</v>
      </c>
      <c r="AF11" t="s">
        <v>26</v>
      </c>
      <c r="AG11" t="s">
        <v>13</v>
      </c>
      <c r="AH11">
        <v>0</v>
      </c>
      <c r="AI11">
        <v>12.326000000000001</v>
      </c>
      <c r="AJ11" s="3">
        <v>1688</v>
      </c>
      <c r="AK11">
        <v>0.38100000000000001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9.5191729723499989</v>
      </c>
      <c r="AU11" s="17">
        <f t="shared" si="1"/>
        <v>358.31357802176001</v>
      </c>
      <c r="AW11" s="9">
        <f t="shared" si="2"/>
        <v>3.0889664999999997</v>
      </c>
      <c r="AX11" s="10">
        <f t="shared" si="3"/>
        <v>388.85241420160003</v>
      </c>
      <c r="AZ11" s="11">
        <f t="shared" si="4"/>
        <v>4.4407397764999992</v>
      </c>
      <c r="BA11" s="12">
        <f t="shared" si="5"/>
        <v>379.96960922879998</v>
      </c>
      <c r="BC11" s="14">
        <f t="shared" si="6"/>
        <v>7.7305411149249998</v>
      </c>
      <c r="BD11" s="15">
        <f t="shared" si="7"/>
        <v>250.21778268992006</v>
      </c>
      <c r="BF11" s="16">
        <f t="shared" si="8"/>
        <v>9.5191729723499989</v>
      </c>
      <c r="BG11" s="17">
        <f t="shared" si="9"/>
        <v>358.31357802176001</v>
      </c>
      <c r="BI11">
        <v>47</v>
      </c>
      <c r="BJ11" t="s">
        <v>37</v>
      </c>
      <c r="BK11" s="2">
        <v>46182.539479166669</v>
      </c>
      <c r="BL11" t="s">
        <v>26</v>
      </c>
      <c r="BM11" t="s">
        <v>13</v>
      </c>
      <c r="BN11">
        <v>0</v>
      </c>
      <c r="BO11">
        <v>2.7210000000000001</v>
      </c>
      <c r="BP11" s="3">
        <v>5156495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46182.560706018521</v>
      </c>
      <c r="D12">
        <v>314</v>
      </c>
      <c r="E12" t="s">
        <v>13</v>
      </c>
      <c r="F12">
        <v>0</v>
      </c>
      <c r="G12">
        <v>6.05</v>
      </c>
      <c r="H12" s="3">
        <v>47960</v>
      </c>
      <c r="I12">
        <v>9.7000000000000003E-2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46182.560706018521</v>
      </c>
      <c r="R12">
        <v>314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46182.560706018521</v>
      </c>
      <c r="AF12">
        <v>314</v>
      </c>
      <c r="AG12" t="s">
        <v>13</v>
      </c>
      <c r="AH12">
        <v>0</v>
      </c>
      <c r="AI12">
        <v>12.317</v>
      </c>
      <c r="AJ12" s="3">
        <v>988</v>
      </c>
      <c r="AK12">
        <v>0.26100000000000001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106.84501917376001</v>
      </c>
      <c r="AU12" s="17">
        <f t="shared" si="1"/>
        <v>228.25653619375998</v>
      </c>
      <c r="AW12" s="9">
        <f t="shared" si="2"/>
        <v>131.89492515680001</v>
      </c>
      <c r="AX12" s="10">
        <f t="shared" si="3"/>
        <v>218.9067807216</v>
      </c>
      <c r="AZ12" s="11">
        <f t="shared" si="4"/>
        <v>134.05075332992001</v>
      </c>
      <c r="BA12" s="12">
        <f t="shared" si="5"/>
        <v>236.58162658879999</v>
      </c>
      <c r="BC12" s="14">
        <f t="shared" si="6"/>
        <v>131.20277749919998</v>
      </c>
      <c r="BD12" s="15">
        <f t="shared" si="7"/>
        <v>90.919700613920014</v>
      </c>
      <c r="BF12" s="16">
        <f t="shared" si="8"/>
        <v>106.84501917376001</v>
      </c>
      <c r="BG12" s="17">
        <f t="shared" si="9"/>
        <v>228.25653619375998</v>
      </c>
      <c r="BI12">
        <v>48</v>
      </c>
      <c r="BJ12" t="s">
        <v>38</v>
      </c>
      <c r="BK12" s="2">
        <v>46182.560706018521</v>
      </c>
      <c r="BL12">
        <v>314</v>
      </c>
      <c r="BM12" t="s">
        <v>13</v>
      </c>
      <c r="BN12">
        <v>0</v>
      </c>
      <c r="BO12">
        <v>2.8879999999999999</v>
      </c>
      <c r="BP12" s="3">
        <v>650069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46182.581932870373</v>
      </c>
      <c r="D13">
        <v>330</v>
      </c>
      <c r="E13" t="s">
        <v>13</v>
      </c>
      <c r="F13">
        <v>0</v>
      </c>
      <c r="G13">
        <v>6.0679999999999996</v>
      </c>
      <c r="H13" s="3">
        <v>5333</v>
      </c>
      <c r="I13">
        <v>1.0999999999999999E-2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46182.581932870373</v>
      </c>
      <c r="R13">
        <v>330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46182.581932870373</v>
      </c>
      <c r="AF13">
        <v>330</v>
      </c>
      <c r="AG13" t="s">
        <v>13</v>
      </c>
      <c r="AH13">
        <v>0</v>
      </c>
      <c r="AI13">
        <v>12.23</v>
      </c>
      <c r="AJ13" s="3">
        <v>83624</v>
      </c>
      <c r="AK13">
        <v>14.374000000000001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15.175835538254001</v>
      </c>
      <c r="AU13" s="17">
        <f t="shared" si="1"/>
        <v>15300.12585892007</v>
      </c>
      <c r="AW13" s="9">
        <f t="shared" si="2"/>
        <v>2.6663350600000015</v>
      </c>
      <c r="AX13" s="10">
        <f t="shared" si="3"/>
        <v>18650.652188921598</v>
      </c>
      <c r="AZ13" s="11">
        <f t="shared" si="4"/>
        <v>10.895961397460001</v>
      </c>
      <c r="BA13" s="12">
        <f t="shared" si="5"/>
        <v>16532.89004977472</v>
      </c>
      <c r="BC13" s="14">
        <f t="shared" si="6"/>
        <v>15.542054470277</v>
      </c>
      <c r="BD13" s="15">
        <f t="shared" si="7"/>
        <v>18470.407422746881</v>
      </c>
      <c r="BF13" s="16">
        <f t="shared" si="8"/>
        <v>15.175835538254001</v>
      </c>
      <c r="BG13" s="17">
        <f t="shared" si="9"/>
        <v>15300.12585892007</v>
      </c>
      <c r="BI13">
        <v>49</v>
      </c>
      <c r="BJ13" t="s">
        <v>39</v>
      </c>
      <c r="BK13" s="2">
        <v>46182.581932870373</v>
      </c>
      <c r="BL13">
        <v>330</v>
      </c>
      <c r="BM13" t="s">
        <v>13</v>
      </c>
      <c r="BN13">
        <v>0</v>
      </c>
      <c r="BO13">
        <v>2.895</v>
      </c>
      <c r="BP13" s="3">
        <v>648067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46182.603136574071</v>
      </c>
      <c r="D14">
        <v>184</v>
      </c>
      <c r="E14" t="s">
        <v>13</v>
      </c>
      <c r="F14">
        <v>0</v>
      </c>
      <c r="G14">
        <v>6.0620000000000003</v>
      </c>
      <c r="H14" s="3">
        <v>8554</v>
      </c>
      <c r="I14">
        <v>1.7000000000000001E-2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46182.603136574071</v>
      </c>
      <c r="R14">
        <v>184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46182.603136574071</v>
      </c>
      <c r="AF14">
        <v>184</v>
      </c>
      <c r="AG14" t="s">
        <v>13</v>
      </c>
      <c r="AH14">
        <v>0</v>
      </c>
      <c r="AI14">
        <v>12.287000000000001</v>
      </c>
      <c r="AJ14" s="3">
        <v>35352</v>
      </c>
      <c r="AK14">
        <v>6.1319999999999997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23.400413217976002</v>
      </c>
      <c r="AU14" s="17">
        <f t="shared" si="1"/>
        <v>6654.3454501241595</v>
      </c>
      <c r="AW14" s="9">
        <f t="shared" si="2"/>
        <v>11.472484639999999</v>
      </c>
      <c r="AX14" s="10">
        <f t="shared" si="3"/>
        <v>8034.1506833855992</v>
      </c>
      <c r="AZ14" s="11">
        <f t="shared" si="4"/>
        <v>21.352948140240002</v>
      </c>
      <c r="BA14" s="12">
        <f t="shared" si="5"/>
        <v>7206.5241185408004</v>
      </c>
      <c r="BC14" s="14">
        <f t="shared" si="6"/>
        <v>27.137468589588003</v>
      </c>
      <c r="BD14" s="15">
        <f t="shared" si="7"/>
        <v>7854.3244852307207</v>
      </c>
      <c r="BF14" s="16">
        <f t="shared" si="8"/>
        <v>23.400413217976002</v>
      </c>
      <c r="BG14" s="17">
        <f t="shared" si="9"/>
        <v>6654.3454501241595</v>
      </c>
      <c r="BI14">
        <v>50</v>
      </c>
      <c r="BJ14" t="s">
        <v>40</v>
      </c>
      <c r="BK14" s="2">
        <v>46182.603136574071</v>
      </c>
      <c r="BL14">
        <v>184</v>
      </c>
      <c r="BM14" t="s">
        <v>13</v>
      </c>
      <c r="BN14">
        <v>0</v>
      </c>
      <c r="BO14">
        <v>2.8929999999999998</v>
      </c>
      <c r="BP14" s="3">
        <v>667248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46182.624374999999</v>
      </c>
      <c r="D15">
        <v>362</v>
      </c>
      <c r="E15" t="s">
        <v>13</v>
      </c>
      <c r="F15">
        <v>0</v>
      </c>
      <c r="G15">
        <v>6.0570000000000004</v>
      </c>
      <c r="H15" s="3">
        <v>26164</v>
      </c>
      <c r="I15">
        <v>5.2999999999999999E-2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46182.624374999999</v>
      </c>
      <c r="R15">
        <v>362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46182.624374999999</v>
      </c>
      <c r="AF15">
        <v>362</v>
      </c>
      <c r="AG15" t="s">
        <v>13</v>
      </c>
      <c r="AH15">
        <v>0</v>
      </c>
      <c r="AI15">
        <v>12.316000000000001</v>
      </c>
      <c r="AJ15" s="3">
        <v>6417</v>
      </c>
      <c r="AK15">
        <v>1.1890000000000001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59.9378535371456</v>
      </c>
      <c r="AU15" s="17">
        <f t="shared" si="1"/>
        <v>1237.86065664731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68.117508929007997</v>
      </c>
      <c r="AX15" s="10">
        <f t="shared" ref="AX15:AX16" si="11">IF(AJ15&lt;45000,((-0.0000004561*AJ15^2)+(0.244*AJ15)+(-21.72)),((-0.0000000409*AJ15^2)+(0.2477*AJ15)+(-1777)))</f>
        <v>1525.2467648270999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71.330736546035197</v>
      </c>
      <c r="BA15" s="12">
        <f t="shared" ref="BA15:BA16" si="13">IF(AJ15&lt;45000,((-0.0000000598*AJ15^2)+(0.205*AJ15)+(34.1)),((-0.00000002403*AJ15^2)+(0.2063*AJ15)+(-550.7)))</f>
        <v>1347.1225622377999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73.170810062352004</v>
      </c>
      <c r="BD15" s="15">
        <f t="shared" ref="BD15:BD16" si="15">IF(AJ15&lt;45000,((-0.00000004907*AJ15^2)+(0.2277*AJ15)+(-134)),((-0.00000001062*AJ15^2)+(0.2147*AJ15)+(590.6)))</f>
        <v>1325.1303009867702</v>
      </c>
      <c r="BF15" s="16">
        <f t="shared" si="8"/>
        <v>59.9378535371456</v>
      </c>
      <c r="BG15" s="17">
        <f t="shared" si="9"/>
        <v>1237.86065664731</v>
      </c>
      <c r="BI15">
        <v>51</v>
      </c>
      <c r="BJ15" t="s">
        <v>41</v>
      </c>
      <c r="BK15" s="2">
        <v>46182.624374999999</v>
      </c>
      <c r="BL15">
        <v>362</v>
      </c>
      <c r="BM15" t="s">
        <v>13</v>
      </c>
      <c r="BN15">
        <v>0</v>
      </c>
      <c r="BO15">
        <v>2.895</v>
      </c>
      <c r="BP15" s="3">
        <v>644140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46182.645601851851</v>
      </c>
      <c r="D16">
        <v>238</v>
      </c>
      <c r="E16" t="s">
        <v>13</v>
      </c>
      <c r="F16">
        <v>0</v>
      </c>
      <c r="G16">
        <v>6.056</v>
      </c>
      <c r="H16" s="3">
        <v>27139</v>
      </c>
      <c r="I16">
        <v>5.5E-2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46182.645601851851</v>
      </c>
      <c r="R16">
        <v>238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46182.645601851851</v>
      </c>
      <c r="AF16">
        <v>238</v>
      </c>
      <c r="AG16" t="s">
        <v>13</v>
      </c>
      <c r="AH16">
        <v>0</v>
      </c>
      <c r="AI16">
        <v>12.223000000000001</v>
      </c>
      <c r="AJ16" s="3">
        <v>57388</v>
      </c>
      <c r="AK16">
        <v>9.8949999999999996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62.043791869175607</v>
      </c>
      <c r="AU16" s="17">
        <f t="shared" si="1"/>
        <v>11004.717663009696</v>
      </c>
      <c r="AW16" s="9">
        <f t="shared" si="10"/>
        <v>71.002476568782996</v>
      </c>
      <c r="AX16" s="10">
        <f t="shared" si="11"/>
        <v>12303.308253950401</v>
      </c>
      <c r="AZ16" s="11">
        <f t="shared" si="12"/>
        <v>74.14225248729521</v>
      </c>
      <c r="BA16" s="12">
        <f t="shared" si="13"/>
        <v>11209.30441746768</v>
      </c>
      <c r="BC16" s="14">
        <f t="shared" si="14"/>
        <v>75.772091840577005</v>
      </c>
      <c r="BD16" s="15">
        <f t="shared" si="15"/>
        <v>12876.827877382721</v>
      </c>
      <c r="BF16" s="16">
        <f t="shared" si="8"/>
        <v>62.043791869175607</v>
      </c>
      <c r="BG16" s="17">
        <f t="shared" si="9"/>
        <v>11004.717663009696</v>
      </c>
      <c r="BI16">
        <v>52</v>
      </c>
      <c r="BJ16" t="s">
        <v>42</v>
      </c>
      <c r="BK16" s="2">
        <v>46182.645601851851</v>
      </c>
      <c r="BL16">
        <v>238</v>
      </c>
      <c r="BM16" t="s">
        <v>13</v>
      </c>
      <c r="BN16">
        <v>0</v>
      </c>
      <c r="BO16">
        <v>2.8940000000000001</v>
      </c>
      <c r="BP16" s="3">
        <v>650604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46182.66684027778</v>
      </c>
      <c r="D17">
        <v>294</v>
      </c>
      <c r="E17" t="s">
        <v>13</v>
      </c>
      <c r="F17">
        <v>0</v>
      </c>
      <c r="G17">
        <v>6.0510000000000002</v>
      </c>
      <c r="H17" s="3">
        <v>42229</v>
      </c>
      <c r="I17">
        <v>8.5999999999999993E-2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46182.66684027778</v>
      </c>
      <c r="R17">
        <v>294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46182.66684027778</v>
      </c>
      <c r="AF17">
        <v>294</v>
      </c>
      <c r="AG17" t="s">
        <v>13</v>
      </c>
      <c r="AH17">
        <v>0</v>
      </c>
      <c r="AI17">
        <v>12.311999999999999</v>
      </c>
      <c r="AJ17" s="3">
        <v>525</v>
      </c>
      <c r="AK17">
        <v>0.182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94.545990230807618</v>
      </c>
      <c r="AU17" s="17">
        <f t="shared" si="1"/>
        <v>142.25236461874999</v>
      </c>
      <c r="AW17" s="9">
        <f t="shared" ref="AW17:AW37" si="16">IF(H17&lt;10000,((H17^2*0.00000054)+(H17*-0.004765)+(12.72)),(IF(H17&lt;200000,((H17^2*-0.000000001577)+(H17*0.003043)+(-10.42)),(IF(H17&lt;8000000,((H17^2*-0.0000000000186)+(H17*0.00194)+(154.1)),((V17^2*-0.00000002)+(V17*0.2565)+(-1032)))))))</f>
        <v>115.27060112854301</v>
      </c>
      <c r="AX17" s="10">
        <f t="shared" ref="AX17:AX37" si="17">IF(AJ17&lt;45000,((-0.0000004561*AJ17^2)+(0.244*AJ17)+(-21.72)),((-0.0000000409*AJ17^2)+(0.2477*AJ17)+(-1777)))</f>
        <v>106.2542874375</v>
      </c>
      <c r="AZ17" s="11">
        <f t="shared" ref="AZ17:AZ37" si="18">IF(H17&lt;10000,((H17^2*0.00000005714)+(H17*0.002453)+(-3.811)),(IF(H17&lt;200000,((H17^2*-0.0000000002888)+(H17*0.002899)+(-4.321)),(IF(H17&lt;8000000,((H17^2*-0.0000000000062)+(H17*0.002143)+(157)),((V17^2*-0.000000031)+(V17*0.2771)+(-709.5)))))))</f>
        <v>117.58585729823922</v>
      </c>
      <c r="BA17" s="12">
        <f t="shared" ref="BA17:BA37" si="19">IF(AJ17&lt;45000,((-0.0000000598*AJ17^2)+(0.205*AJ17)+(34.1)),((-0.00000002403*AJ17^2)+(0.2063*AJ17)+(-550.7)))</f>
        <v>141.70851762500001</v>
      </c>
      <c r="BC17" s="14">
        <f t="shared" ref="BC17:BC37" si="20">IF(H17&lt;10000,((H17^2*0.000000008493)+(H17*0.003482)+(-3.269)),(IF(H17&lt;200000,((H17^2*-0.000000000263)+(H17*0.002682)+(3.179)),(IF(H17&lt;8000000,((H17^2*-0.000000000005099)+(H17*0.002054)+(174.8)),((V17^2*-0.00000001014)+(V17*0.2415)+(1123)))))))</f>
        <v>115.968173140017</v>
      </c>
      <c r="BD17" s="15">
        <f t="shared" ref="BD17:BD37" si="21">IF(AJ17&lt;45000,((-0.00000004907*AJ17^2)+(0.2277*AJ17)+(-134)),((-0.00000001062*AJ17^2)+(0.2147*AJ17)+(590.6)))</f>
        <v>-14.47102491874999</v>
      </c>
      <c r="BF17" s="16">
        <f t="shared" si="8"/>
        <v>94.545990230807618</v>
      </c>
      <c r="BG17" s="17">
        <f t="shared" si="9"/>
        <v>142.25236461874999</v>
      </c>
      <c r="BI17">
        <v>53</v>
      </c>
      <c r="BJ17" t="s">
        <v>43</v>
      </c>
      <c r="BK17" s="2">
        <v>46182.66684027778</v>
      </c>
      <c r="BL17">
        <v>294</v>
      </c>
      <c r="BM17" t="s">
        <v>13</v>
      </c>
      <c r="BN17">
        <v>0</v>
      </c>
      <c r="BO17">
        <v>2.88</v>
      </c>
      <c r="BP17" s="3">
        <v>792891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46182.688090277778</v>
      </c>
      <c r="D18">
        <v>397</v>
      </c>
      <c r="E18" t="s">
        <v>13</v>
      </c>
      <c r="F18">
        <v>0</v>
      </c>
      <c r="G18">
        <v>6.05</v>
      </c>
      <c r="H18" s="3">
        <v>92378</v>
      </c>
      <c r="I18">
        <v>0.188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46182.688090277778</v>
      </c>
      <c r="R18">
        <v>397</v>
      </c>
      <c r="S18" t="s">
        <v>13</v>
      </c>
      <c r="T18">
        <v>0</v>
      </c>
      <c r="U18">
        <v>6.0030000000000001</v>
      </c>
      <c r="V18" s="3">
        <v>794</v>
      </c>
      <c r="W18">
        <v>0.33700000000000002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46182.688090277778</v>
      </c>
      <c r="AF18">
        <v>397</v>
      </c>
      <c r="AG18" t="s">
        <v>13</v>
      </c>
      <c r="AH18">
        <v>0</v>
      </c>
      <c r="AI18">
        <v>12.327</v>
      </c>
      <c r="AJ18" s="3">
        <v>785</v>
      </c>
      <c r="AK18">
        <v>0.22600000000000001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201.3299572456624</v>
      </c>
      <c r="AU18" s="17">
        <f t="shared" si="1"/>
        <v>190.54655469274999</v>
      </c>
      <c r="AW18" s="9">
        <f t="shared" si="16"/>
        <v>257.22861716793204</v>
      </c>
      <c r="AX18" s="10">
        <f t="shared" si="17"/>
        <v>169.53893977749999</v>
      </c>
      <c r="AZ18" s="11">
        <f t="shared" si="18"/>
        <v>261.01829091750079</v>
      </c>
      <c r="BA18" s="12">
        <f t="shared" si="19"/>
        <v>194.98814974499999</v>
      </c>
      <c r="BC18" s="14">
        <f t="shared" si="20"/>
        <v>248.692434245508</v>
      </c>
      <c r="BD18" s="15">
        <f t="shared" si="21"/>
        <v>44.714261839250014</v>
      </c>
      <c r="BF18" s="16">
        <f t="shared" si="8"/>
        <v>201.3299572456624</v>
      </c>
      <c r="BG18" s="17">
        <f t="shared" si="9"/>
        <v>190.54655469274999</v>
      </c>
      <c r="BI18">
        <v>54</v>
      </c>
      <c r="BJ18" t="s">
        <v>44</v>
      </c>
      <c r="BK18" s="2">
        <v>46182.688090277778</v>
      </c>
      <c r="BL18">
        <v>397</v>
      </c>
      <c r="BM18" t="s">
        <v>13</v>
      </c>
      <c r="BN18">
        <v>0</v>
      </c>
      <c r="BO18">
        <v>2.883</v>
      </c>
      <c r="BP18" s="3">
        <v>762876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46182.709305555552</v>
      </c>
      <c r="D19">
        <v>385</v>
      </c>
      <c r="E19" t="s">
        <v>13</v>
      </c>
      <c r="F19">
        <v>0</v>
      </c>
      <c r="G19">
        <v>6.0659999999999998</v>
      </c>
      <c r="H19" s="3">
        <v>5728</v>
      </c>
      <c r="I19">
        <v>1.2E-2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46182.709305555552</v>
      </c>
      <c r="R19">
        <v>385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46182.709305555552</v>
      </c>
      <c r="AF19">
        <v>385</v>
      </c>
      <c r="AG19" t="s">
        <v>13</v>
      </c>
      <c r="AH19">
        <v>0</v>
      </c>
      <c r="AI19">
        <v>12.231</v>
      </c>
      <c r="AJ19" s="3">
        <v>82266</v>
      </c>
      <c r="AK19">
        <v>14.141999999999999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16.188583719423999</v>
      </c>
      <c r="AU19" s="17">
        <f t="shared" si="1"/>
        <v>15077.714370358472</v>
      </c>
      <c r="AW19" s="9">
        <f t="shared" si="16"/>
        <v>3.1434713600000013</v>
      </c>
      <c r="AX19" s="10">
        <f t="shared" si="17"/>
        <v>18323.4894844796</v>
      </c>
      <c r="AZ19" s="11">
        <f t="shared" si="18"/>
        <v>12.11454648576</v>
      </c>
      <c r="BA19" s="12">
        <f t="shared" si="19"/>
        <v>16258.148095013319</v>
      </c>
      <c r="BC19" s="14">
        <f t="shared" si="20"/>
        <v>16.954551194112</v>
      </c>
      <c r="BD19" s="15">
        <f t="shared" si="21"/>
        <v>18181.237281691279</v>
      </c>
      <c r="BF19" s="16">
        <f t="shared" si="8"/>
        <v>16.188583719423999</v>
      </c>
      <c r="BG19" s="17">
        <f t="shared" si="9"/>
        <v>15077.714370358472</v>
      </c>
      <c r="BI19">
        <v>55</v>
      </c>
      <c r="BJ19" t="s">
        <v>45</v>
      </c>
      <c r="BK19" s="2">
        <v>46182.709305555552</v>
      </c>
      <c r="BL19">
        <v>385</v>
      </c>
      <c r="BM19" t="s">
        <v>13</v>
      </c>
      <c r="BN19">
        <v>0</v>
      </c>
      <c r="BO19">
        <v>2.8879999999999999</v>
      </c>
      <c r="BP19" s="3">
        <v>745155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46182.730543981481</v>
      </c>
      <c r="D20">
        <v>12</v>
      </c>
      <c r="E20" t="s">
        <v>13</v>
      </c>
      <c r="F20">
        <v>0</v>
      </c>
      <c r="G20">
        <v>6.0510000000000002</v>
      </c>
      <c r="H20" s="3">
        <v>40150</v>
      </c>
      <c r="I20">
        <v>8.2000000000000003E-2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46182.730543981481</v>
      </c>
      <c r="R20">
        <v>12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46182.730543981481</v>
      </c>
      <c r="AF20">
        <v>12</v>
      </c>
      <c r="AG20" t="s">
        <v>13</v>
      </c>
      <c r="AH20">
        <v>0</v>
      </c>
      <c r="AI20">
        <v>12.278</v>
      </c>
      <c r="AJ20" s="3">
        <v>569</v>
      </c>
      <c r="AK20">
        <v>0.189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90.078234731000009</v>
      </c>
      <c r="AU20" s="17">
        <f t="shared" si="1"/>
        <v>150.42488740619001</v>
      </c>
      <c r="AW20" s="9">
        <f t="shared" si="16"/>
        <v>109.2142905175</v>
      </c>
      <c r="AX20" s="10">
        <f t="shared" si="17"/>
        <v>116.96833260789998</v>
      </c>
      <c r="AZ20" s="11">
        <f t="shared" si="18"/>
        <v>111.608297902</v>
      </c>
      <c r="BA20" s="12">
        <f t="shared" si="19"/>
        <v>150.7256390922</v>
      </c>
      <c r="BC20" s="14">
        <f t="shared" si="20"/>
        <v>110.43733808250001</v>
      </c>
      <c r="BD20" s="15">
        <f t="shared" si="21"/>
        <v>-4.4545869522699775</v>
      </c>
      <c r="BF20" s="16">
        <f t="shared" si="8"/>
        <v>90.078234731000009</v>
      </c>
      <c r="BG20" s="17">
        <f t="shared" si="9"/>
        <v>150.42488740619001</v>
      </c>
      <c r="BI20">
        <v>56</v>
      </c>
      <c r="BJ20" t="s">
        <v>46</v>
      </c>
      <c r="BK20" s="2">
        <v>46182.730543981481</v>
      </c>
      <c r="BL20">
        <v>12</v>
      </c>
      <c r="BM20" t="s">
        <v>13</v>
      </c>
      <c r="BN20">
        <v>0</v>
      </c>
      <c r="BO20">
        <v>2.883</v>
      </c>
      <c r="BP20" s="3">
        <v>756062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46182.751782407409</v>
      </c>
      <c r="D21">
        <v>217</v>
      </c>
      <c r="E21" t="s">
        <v>13</v>
      </c>
      <c r="F21">
        <v>0</v>
      </c>
      <c r="G21">
        <v>6.0570000000000004</v>
      </c>
      <c r="H21" s="3">
        <v>6850</v>
      </c>
      <c r="I21">
        <v>1.4E-2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46182.751782407409</v>
      </c>
      <c r="R21">
        <v>217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46182.751782407409</v>
      </c>
      <c r="AF21">
        <v>217</v>
      </c>
      <c r="AG21" t="s">
        <v>13</v>
      </c>
      <c r="AH21">
        <v>0</v>
      </c>
      <c r="AI21">
        <v>12.215999999999999</v>
      </c>
      <c r="AJ21" s="3">
        <v>88185</v>
      </c>
      <c r="AK21">
        <v>15.153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19.058979835000002</v>
      </c>
      <c r="AU21" s="17">
        <f t="shared" si="1"/>
        <v>16047.18218695625</v>
      </c>
      <c r="AW21" s="9">
        <f t="shared" si="16"/>
        <v>5.4179000000000013</v>
      </c>
      <c r="AX21" s="10">
        <f t="shared" si="17"/>
        <v>19748.3617961975</v>
      </c>
      <c r="AZ21" s="11">
        <f t="shared" si="18"/>
        <v>15.673201649999999</v>
      </c>
      <c r="BA21" s="12">
        <f t="shared" si="19"/>
        <v>17454.993940773249</v>
      </c>
      <c r="BC21" s="14">
        <f t="shared" si="20"/>
        <v>20.981212792499996</v>
      </c>
      <c r="BD21" s="15">
        <f t="shared" si="21"/>
        <v>19441.3320693305</v>
      </c>
      <c r="BF21" s="16">
        <f t="shared" si="8"/>
        <v>19.058979835000002</v>
      </c>
      <c r="BG21" s="17">
        <f t="shared" si="9"/>
        <v>16047.18218695625</v>
      </c>
      <c r="BI21">
        <v>57</v>
      </c>
      <c r="BJ21" t="s">
        <v>47</v>
      </c>
      <c r="BK21" s="2">
        <v>46182.751782407409</v>
      </c>
      <c r="BL21">
        <v>217</v>
      </c>
      <c r="BM21" t="s">
        <v>13</v>
      </c>
      <c r="BN21">
        <v>0</v>
      </c>
      <c r="BO21">
        <v>2.879</v>
      </c>
      <c r="BP21" s="3">
        <v>803122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46182.773020833331</v>
      </c>
      <c r="D22">
        <v>317</v>
      </c>
      <c r="E22" t="s">
        <v>13</v>
      </c>
      <c r="F22">
        <v>0</v>
      </c>
      <c r="G22">
        <v>6.0549999999999997</v>
      </c>
      <c r="H22" s="3">
        <v>12159</v>
      </c>
      <c r="I22">
        <v>2.5000000000000001E-2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46182.773020833331</v>
      </c>
      <c r="R22">
        <v>317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46182.773020833331</v>
      </c>
      <c r="AF22">
        <v>317</v>
      </c>
      <c r="AG22" t="s">
        <v>13</v>
      </c>
      <c r="AH22">
        <v>0</v>
      </c>
      <c r="AI22">
        <v>12.23</v>
      </c>
      <c r="AJ22" s="3">
        <v>77221</v>
      </c>
      <c r="AK22">
        <v>13.281000000000001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29.608972541831601</v>
      </c>
      <c r="AU22" s="17">
        <f t="shared" si="1"/>
        <v>14251.524521817719</v>
      </c>
      <c r="AW22" s="9">
        <f t="shared" si="16"/>
        <v>26.346691299862997</v>
      </c>
      <c r="AX22" s="10">
        <f t="shared" si="17"/>
        <v>17106.751611803102</v>
      </c>
      <c r="AZ22" s="11">
        <f t="shared" si="18"/>
        <v>30.885244438047202</v>
      </c>
      <c r="BA22" s="12">
        <f t="shared" si="19"/>
        <v>15236.699419330769</v>
      </c>
      <c r="BC22" s="14">
        <f t="shared" si="20"/>
        <v>35.750555743097003</v>
      </c>
      <c r="BD22" s="15">
        <f t="shared" si="21"/>
        <v>17106.620760228576</v>
      </c>
      <c r="BF22" s="16">
        <f t="shared" si="8"/>
        <v>29.608972541831601</v>
      </c>
      <c r="BG22" s="17">
        <f t="shared" si="9"/>
        <v>14251.524521817719</v>
      </c>
      <c r="BI22">
        <v>58</v>
      </c>
      <c r="BJ22" t="s">
        <v>48</v>
      </c>
      <c r="BK22" s="2">
        <v>46182.773020833331</v>
      </c>
      <c r="BL22">
        <v>317</v>
      </c>
      <c r="BM22" t="s">
        <v>13</v>
      </c>
      <c r="BN22">
        <v>0</v>
      </c>
      <c r="BO22">
        <v>2.8849999999999998</v>
      </c>
      <c r="BP22" s="3">
        <v>709884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46182.794247685182</v>
      </c>
      <c r="D23">
        <v>367</v>
      </c>
      <c r="E23" t="s">
        <v>13</v>
      </c>
      <c r="F23">
        <v>0</v>
      </c>
      <c r="G23">
        <v>6.048</v>
      </c>
      <c r="H23" s="3">
        <v>427969</v>
      </c>
      <c r="I23">
        <v>0.86899999999999999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46182.794247685182</v>
      </c>
      <c r="R23">
        <v>367</v>
      </c>
      <c r="S23" t="s">
        <v>13</v>
      </c>
      <c r="T23">
        <v>0</v>
      </c>
      <c r="U23">
        <v>6.0049999999999999</v>
      </c>
      <c r="V23" s="3">
        <v>3414</v>
      </c>
      <c r="W23">
        <v>0.93200000000000005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46182.794247685182</v>
      </c>
      <c r="AF23">
        <v>367</v>
      </c>
      <c r="AG23" t="s">
        <v>13</v>
      </c>
      <c r="AH23">
        <v>0</v>
      </c>
      <c r="AI23">
        <v>12.260999999999999</v>
      </c>
      <c r="AJ23" s="3">
        <v>49659</v>
      </c>
      <c r="AK23">
        <v>8.5749999999999993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922.427383922849</v>
      </c>
      <c r="AU23" s="17">
        <f t="shared" si="1"/>
        <v>9739.9102685678954</v>
      </c>
      <c r="AW23" s="9">
        <f t="shared" si="16"/>
        <v>980.95313115172542</v>
      </c>
      <c r="AX23" s="10">
        <f t="shared" si="17"/>
        <v>10422.674234107099</v>
      </c>
      <c r="AZ23" s="11">
        <f t="shared" si="18"/>
        <v>1073.0019907172418</v>
      </c>
      <c r="BA23" s="12">
        <f t="shared" si="19"/>
        <v>9634.6933287675693</v>
      </c>
      <c r="BC23" s="14">
        <f t="shared" si="20"/>
        <v>1052.9144060861638</v>
      </c>
      <c r="BD23" s="15">
        <f t="shared" si="21"/>
        <v>11226.19820709578</v>
      </c>
      <c r="BF23" s="16">
        <f t="shared" si="8"/>
        <v>922.427383922849</v>
      </c>
      <c r="BG23" s="17">
        <f t="shared" si="9"/>
        <v>9739.9102685678954</v>
      </c>
      <c r="BI23">
        <v>59</v>
      </c>
      <c r="BJ23" t="s">
        <v>49</v>
      </c>
      <c r="BK23" s="2">
        <v>46182.794247685182</v>
      </c>
      <c r="BL23">
        <v>367</v>
      </c>
      <c r="BM23" t="s">
        <v>13</v>
      </c>
      <c r="BN23">
        <v>0</v>
      </c>
      <c r="BO23">
        <v>2.8820000000000001</v>
      </c>
      <c r="BP23" s="3">
        <v>750920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46182.815497685187</v>
      </c>
      <c r="D24">
        <v>312</v>
      </c>
      <c r="E24" t="s">
        <v>13</v>
      </c>
      <c r="F24">
        <v>0</v>
      </c>
      <c r="G24">
        <v>6.0270000000000001</v>
      </c>
      <c r="H24" s="3">
        <v>8186400</v>
      </c>
      <c r="I24">
        <v>16.946999999999999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46182.815497685187</v>
      </c>
      <c r="R24">
        <v>312</v>
      </c>
      <c r="S24" t="s">
        <v>13</v>
      </c>
      <c r="T24">
        <v>0</v>
      </c>
      <c r="U24">
        <v>5.9790000000000001</v>
      </c>
      <c r="V24" s="3">
        <v>56877</v>
      </c>
      <c r="W24">
        <v>13.066000000000001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46182.815497685187</v>
      </c>
      <c r="AF24">
        <v>312</v>
      </c>
      <c r="AG24" t="s">
        <v>13</v>
      </c>
      <c r="AH24">
        <v>0</v>
      </c>
      <c r="AI24">
        <v>12.193</v>
      </c>
      <c r="AJ24" s="3">
        <v>74803</v>
      </c>
      <c r="AK24">
        <v>12.868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14661.711912286562</v>
      </c>
      <c r="AU24" s="17">
        <f t="shared" si="1"/>
        <v>13855.584141402065</v>
      </c>
      <c r="AW24" s="9">
        <f t="shared" si="16"/>
        <v>13492.25063742</v>
      </c>
      <c r="AX24" s="10">
        <f t="shared" si="17"/>
        <v>16522.847607711898</v>
      </c>
      <c r="AZ24" s="11">
        <f t="shared" si="18"/>
        <v>14950.831913001</v>
      </c>
      <c r="BA24" s="12">
        <f t="shared" si="19"/>
        <v>14746.69930391973</v>
      </c>
      <c r="BC24" s="14">
        <f t="shared" si="20"/>
        <v>14825.992669671939</v>
      </c>
      <c r="BD24" s="15">
        <f t="shared" si="21"/>
        <v>16591.38000884842</v>
      </c>
      <c r="BF24" s="16">
        <f t="shared" si="8"/>
        <v>14661.711912286562</v>
      </c>
      <c r="BG24" s="17">
        <f t="shared" si="9"/>
        <v>13855.584141402065</v>
      </c>
      <c r="BI24">
        <v>60</v>
      </c>
      <c r="BJ24" t="s">
        <v>50</v>
      </c>
      <c r="BK24" s="2">
        <v>46182.815497685187</v>
      </c>
      <c r="BL24">
        <v>312</v>
      </c>
      <c r="BM24" t="s">
        <v>13</v>
      </c>
      <c r="BN24">
        <v>0</v>
      </c>
      <c r="BO24">
        <v>2.883</v>
      </c>
      <c r="BP24" s="3">
        <v>697015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46182.836759259262</v>
      </c>
      <c r="D25">
        <v>213</v>
      </c>
      <c r="E25" t="s">
        <v>13</v>
      </c>
      <c r="F25">
        <v>0</v>
      </c>
      <c r="G25">
        <v>6.05</v>
      </c>
      <c r="H25" s="3">
        <v>61665</v>
      </c>
      <c r="I25">
        <v>0.125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46182.836759259262</v>
      </c>
      <c r="R25">
        <v>213</v>
      </c>
      <c r="S25" t="s">
        <v>13</v>
      </c>
      <c r="T25">
        <v>0</v>
      </c>
      <c r="U25">
        <v>6.0049999999999999</v>
      </c>
      <c r="V25">
        <v>546</v>
      </c>
      <c r="W25">
        <v>0.28000000000000003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46182.836759259262</v>
      </c>
      <c r="AF25">
        <v>213</v>
      </c>
      <c r="AG25" t="s">
        <v>13</v>
      </c>
      <c r="AH25">
        <v>0</v>
      </c>
      <c r="AI25">
        <v>12.318</v>
      </c>
      <c r="AJ25" s="3">
        <v>763</v>
      </c>
      <c r="AK25">
        <v>0.223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136.15641181450999</v>
      </c>
      <c r="AU25" s="17">
        <f t="shared" si="1"/>
        <v>186.45993582851</v>
      </c>
      <c r="AW25" s="9">
        <f t="shared" si="16"/>
        <v>171.22993860117504</v>
      </c>
      <c r="AX25" s="10">
        <f t="shared" si="17"/>
        <v>164.18647271910001</v>
      </c>
      <c r="AZ25" s="11">
        <f t="shared" si="18"/>
        <v>173.34765214142001</v>
      </c>
      <c r="BA25" s="12">
        <f t="shared" si="19"/>
        <v>190.48018629379999</v>
      </c>
      <c r="BC25" s="14">
        <f t="shared" si="20"/>
        <v>167.564453504825</v>
      </c>
      <c r="BD25" s="15">
        <f t="shared" si="21"/>
        <v>39.706532967170006</v>
      </c>
      <c r="BF25" s="16">
        <f t="shared" si="8"/>
        <v>136.15641181450999</v>
      </c>
      <c r="BG25" s="17">
        <f t="shared" si="9"/>
        <v>186.45993582851</v>
      </c>
      <c r="BI25">
        <v>61</v>
      </c>
      <c r="BJ25" t="s">
        <v>51</v>
      </c>
      <c r="BK25" s="2">
        <v>46182.836759259262</v>
      </c>
      <c r="BL25">
        <v>213</v>
      </c>
      <c r="BM25" t="s">
        <v>13</v>
      </c>
      <c r="BN25">
        <v>0</v>
      </c>
      <c r="BO25">
        <v>2.8820000000000001</v>
      </c>
      <c r="BP25" s="3">
        <v>770102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46182.85800925926</v>
      </c>
      <c r="D26">
        <v>365</v>
      </c>
      <c r="E26" t="s">
        <v>13</v>
      </c>
      <c r="F26">
        <v>0</v>
      </c>
      <c r="G26">
        <v>6.07</v>
      </c>
      <c r="H26" s="3">
        <v>4693</v>
      </c>
      <c r="I26">
        <v>0.01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46182.85800925926</v>
      </c>
      <c r="R26">
        <v>365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46182.85800925926</v>
      </c>
      <c r="AF26">
        <v>365</v>
      </c>
      <c r="AG26" t="s">
        <v>13</v>
      </c>
      <c r="AH26">
        <v>0</v>
      </c>
      <c r="AI26">
        <v>12.329000000000001</v>
      </c>
      <c r="AJ26" s="3">
        <v>10397</v>
      </c>
      <c r="AK26">
        <v>1.869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13.532466939214</v>
      </c>
      <c r="AU26" s="17">
        <f t="shared" si="1"/>
        <v>1979.3417134261099</v>
      </c>
      <c r="AW26" s="9">
        <f t="shared" si="16"/>
        <v>2.2509494599999993</v>
      </c>
      <c r="AX26" s="10">
        <f t="shared" si="17"/>
        <v>2465.8446805351</v>
      </c>
      <c r="AZ26" s="11">
        <f t="shared" si="18"/>
        <v>8.9593945878600003</v>
      </c>
      <c r="BA26" s="12">
        <f t="shared" si="19"/>
        <v>2159.0207629817996</v>
      </c>
      <c r="BC26" s="14">
        <f t="shared" si="20"/>
        <v>13.259077946756998</v>
      </c>
      <c r="BD26" s="15">
        <f t="shared" si="21"/>
        <v>2228.0925503263702</v>
      </c>
      <c r="BF26" s="16">
        <f t="shared" si="8"/>
        <v>13.532466939214</v>
      </c>
      <c r="BG26" s="17">
        <f t="shared" si="9"/>
        <v>1979.3417134261099</v>
      </c>
      <c r="BI26">
        <v>62</v>
      </c>
      <c r="BJ26" t="s">
        <v>52</v>
      </c>
      <c r="BK26" s="2">
        <v>46182.85800925926</v>
      </c>
      <c r="BL26">
        <v>365</v>
      </c>
      <c r="BM26" t="s">
        <v>13</v>
      </c>
      <c r="BN26">
        <v>0</v>
      </c>
      <c r="BO26">
        <v>2.8919999999999999</v>
      </c>
      <c r="BP26" s="3">
        <v>728441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46182.879224537035</v>
      </c>
      <c r="D27">
        <v>358</v>
      </c>
      <c r="E27" t="s">
        <v>13</v>
      </c>
      <c r="F27">
        <v>0</v>
      </c>
      <c r="G27">
        <v>6.0510000000000002</v>
      </c>
      <c r="H27" s="3">
        <v>28598</v>
      </c>
      <c r="I27">
        <v>5.8000000000000003E-2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46182.879224537035</v>
      </c>
      <c r="R27">
        <v>358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46182.879224537035</v>
      </c>
      <c r="AF27">
        <v>358</v>
      </c>
      <c r="AG27" t="s">
        <v>13</v>
      </c>
      <c r="AH27">
        <v>0</v>
      </c>
      <c r="AI27">
        <v>12.321</v>
      </c>
      <c r="AJ27" s="3">
        <v>7441</v>
      </c>
      <c r="AK27">
        <v>1.3640000000000001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65.193802914654398</v>
      </c>
      <c r="AU27" s="17">
        <f t="shared" si="1"/>
        <v>1428.5253379349899</v>
      </c>
      <c r="AW27" s="9">
        <f t="shared" si="16"/>
        <v>75.313971482491993</v>
      </c>
      <c r="AX27" s="10">
        <f t="shared" si="17"/>
        <v>1768.6304358159</v>
      </c>
      <c r="AZ27" s="11">
        <f t="shared" si="18"/>
        <v>78.348408189564807</v>
      </c>
      <c r="BA27" s="12">
        <f t="shared" si="19"/>
        <v>1556.1939648361999</v>
      </c>
      <c r="BC27" s="14">
        <f t="shared" si="20"/>
        <v>79.663742606148006</v>
      </c>
      <c r="BD27" s="15">
        <f t="shared" si="21"/>
        <v>1557.5987686373301</v>
      </c>
      <c r="BF27" s="16">
        <f t="shared" si="8"/>
        <v>65.193802914654398</v>
      </c>
      <c r="BG27" s="17">
        <f t="shared" si="9"/>
        <v>1428.5253379349899</v>
      </c>
      <c r="BI27">
        <v>63</v>
      </c>
      <c r="BJ27" t="s">
        <v>53</v>
      </c>
      <c r="BK27" s="2">
        <v>46182.879224537035</v>
      </c>
      <c r="BL27">
        <v>358</v>
      </c>
      <c r="BM27" t="s">
        <v>13</v>
      </c>
      <c r="BN27">
        <v>0</v>
      </c>
      <c r="BO27">
        <v>2.879</v>
      </c>
      <c r="BP27" s="3">
        <v>812782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46182.900462962964</v>
      </c>
      <c r="D28">
        <v>371</v>
      </c>
      <c r="E28" t="s">
        <v>13</v>
      </c>
      <c r="F28">
        <v>0</v>
      </c>
      <c r="G28">
        <v>6.032</v>
      </c>
      <c r="H28" s="3">
        <v>6247315</v>
      </c>
      <c r="I28">
        <v>12.87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46182.900462962964</v>
      </c>
      <c r="R28">
        <v>371</v>
      </c>
      <c r="S28" t="s">
        <v>13</v>
      </c>
      <c r="T28">
        <v>0</v>
      </c>
      <c r="U28">
        <v>5.9850000000000003</v>
      </c>
      <c r="V28" s="3">
        <v>44403</v>
      </c>
      <c r="W28">
        <v>10.236000000000001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46182.900462962964</v>
      </c>
      <c r="AF28">
        <v>371</v>
      </c>
      <c r="AG28" t="s">
        <v>13</v>
      </c>
      <c r="AH28">
        <v>0</v>
      </c>
      <c r="AI28">
        <v>12.154</v>
      </c>
      <c r="AJ28" s="3">
        <v>74527</v>
      </c>
      <c r="AK28">
        <v>12.821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11307.046449917167</v>
      </c>
      <c r="AU28" s="17">
        <f t="shared" si="1"/>
        <v>13810.391651495933</v>
      </c>
      <c r="AW28" s="9">
        <f t="shared" si="16"/>
        <v>11547.952728408416</v>
      </c>
      <c r="AX28" s="10">
        <f t="shared" si="17"/>
        <v>16456.168104483899</v>
      </c>
      <c r="AZ28" s="11">
        <f t="shared" si="18"/>
        <v>13303.016587802806</v>
      </c>
      <c r="BA28" s="12">
        <f t="shared" si="19"/>
        <v>14690.750902292131</v>
      </c>
      <c r="BC28" s="14">
        <f t="shared" si="20"/>
        <v>12807.776420927659</v>
      </c>
      <c r="BD28" s="15">
        <f t="shared" si="21"/>
        <v>16532.560512998021</v>
      </c>
      <c r="BF28" s="16">
        <f t="shared" si="8"/>
        <v>11307.046449917167</v>
      </c>
      <c r="BG28" s="17">
        <f t="shared" si="9"/>
        <v>13810.391651495933</v>
      </c>
      <c r="BI28">
        <v>64</v>
      </c>
      <c r="BJ28" t="s">
        <v>54</v>
      </c>
      <c r="BK28" s="2">
        <v>46182.900462962964</v>
      </c>
      <c r="BL28">
        <v>371</v>
      </c>
      <c r="BM28" t="s">
        <v>13</v>
      </c>
      <c r="BN28">
        <v>0</v>
      </c>
      <c r="BO28">
        <v>2.887</v>
      </c>
      <c r="BP28" s="3">
        <v>621587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46182.921666666669</v>
      </c>
      <c r="D29">
        <v>111</v>
      </c>
      <c r="E29" t="s">
        <v>13</v>
      </c>
      <c r="F29">
        <v>0</v>
      </c>
      <c r="G29">
        <v>6.0609999999999999</v>
      </c>
      <c r="H29" s="3">
        <v>5661</v>
      </c>
      <c r="I29">
        <v>1.2E-2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46182.921666666669</v>
      </c>
      <c r="R29">
        <v>111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46182.921666666669</v>
      </c>
      <c r="AF29">
        <v>111</v>
      </c>
      <c r="AG29" t="s">
        <v>13</v>
      </c>
      <c r="AH29">
        <v>0</v>
      </c>
      <c r="AI29">
        <v>12.279</v>
      </c>
      <c r="AJ29" s="3">
        <v>10743</v>
      </c>
      <c r="AK29" s="13">
        <v>1.9279999999999999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16.016882735406</v>
      </c>
      <c r="AU29" s="17">
        <f t="shared" si="1"/>
        <v>2043.8556972337101</v>
      </c>
      <c r="AW29" s="9">
        <f t="shared" si="16"/>
        <v>3.0506723400000002</v>
      </c>
      <c r="AX29" s="10">
        <f t="shared" si="17"/>
        <v>2546.9325644511</v>
      </c>
      <c r="AZ29" s="11">
        <f t="shared" si="18"/>
        <v>11.906594065939998</v>
      </c>
      <c r="BA29" s="12">
        <f t="shared" si="19"/>
        <v>2229.5133594698</v>
      </c>
      <c r="BC29" s="14">
        <f t="shared" si="20"/>
        <v>16.714776500052999</v>
      </c>
      <c r="BD29" s="15">
        <f t="shared" si="21"/>
        <v>2306.5178307555702</v>
      </c>
      <c r="BF29" s="16">
        <f t="shared" si="8"/>
        <v>16.016882735406</v>
      </c>
      <c r="BG29" s="17">
        <f t="shared" si="9"/>
        <v>2043.8556972337101</v>
      </c>
      <c r="BI29">
        <v>65</v>
      </c>
      <c r="BJ29" t="s">
        <v>55</v>
      </c>
      <c r="BK29" s="2">
        <v>46182.921666666669</v>
      </c>
      <c r="BL29">
        <v>111</v>
      </c>
      <c r="BM29" t="s">
        <v>13</v>
      </c>
      <c r="BN29">
        <v>0</v>
      </c>
      <c r="BO29">
        <v>2.88</v>
      </c>
      <c r="BP29" s="3">
        <v>802849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46182.942893518521</v>
      </c>
      <c r="D30">
        <v>401</v>
      </c>
      <c r="E30" t="s">
        <v>13</v>
      </c>
      <c r="F30">
        <v>0</v>
      </c>
      <c r="G30">
        <v>6.0609999999999999</v>
      </c>
      <c r="H30" s="3">
        <v>11578</v>
      </c>
      <c r="I30">
        <v>2.4E-2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46182.942893518521</v>
      </c>
      <c r="R30">
        <v>401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46182.942893518521</v>
      </c>
      <c r="AF30">
        <v>401</v>
      </c>
      <c r="AG30" t="s">
        <v>13</v>
      </c>
      <c r="AH30">
        <v>0</v>
      </c>
      <c r="AI30">
        <v>12.234999999999999</v>
      </c>
      <c r="AJ30" s="3">
        <v>75327</v>
      </c>
      <c r="AK30">
        <v>12.958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28.347583548382403</v>
      </c>
      <c r="AU30" s="17">
        <f t="shared" si="1"/>
        <v>13941.385332853213</v>
      </c>
      <c r="AW30" s="9">
        <f t="shared" si="16"/>
        <v>24.600457017531994</v>
      </c>
      <c r="AX30" s="10">
        <f t="shared" si="17"/>
        <v>16649.4248816039</v>
      </c>
      <c r="AZ30" s="11">
        <f t="shared" si="18"/>
        <v>29.204908335740804</v>
      </c>
      <c r="BA30" s="12">
        <f t="shared" si="19"/>
        <v>14852.91010899613</v>
      </c>
      <c r="BC30" s="14">
        <f t="shared" si="20"/>
        <v>34.195940827907997</v>
      </c>
      <c r="BD30" s="15">
        <f t="shared" si="21"/>
        <v>16703.047353414022</v>
      </c>
      <c r="BF30" s="16">
        <f t="shared" si="8"/>
        <v>28.347583548382403</v>
      </c>
      <c r="BG30" s="17">
        <f t="shared" si="9"/>
        <v>13941.385332853213</v>
      </c>
      <c r="BI30">
        <v>66</v>
      </c>
      <c r="BJ30" t="s">
        <v>56</v>
      </c>
      <c r="BK30" s="2">
        <v>46182.942893518521</v>
      </c>
      <c r="BL30">
        <v>401</v>
      </c>
      <c r="BM30" t="s">
        <v>13</v>
      </c>
      <c r="BN30">
        <v>0</v>
      </c>
      <c r="BO30">
        <v>2.8889999999999998</v>
      </c>
      <c r="BP30" s="3">
        <v>753877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46182.964120370372</v>
      </c>
      <c r="D31">
        <v>377</v>
      </c>
      <c r="E31" t="s">
        <v>13</v>
      </c>
      <c r="F31">
        <v>0</v>
      </c>
      <c r="G31">
        <v>6.0670000000000002</v>
      </c>
      <c r="H31" s="3">
        <v>5140</v>
      </c>
      <c r="I31">
        <v>1.0999999999999999E-2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46182.964120370372</v>
      </c>
      <c r="R31">
        <v>377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46182.964120370372</v>
      </c>
      <c r="AF31">
        <v>377</v>
      </c>
      <c r="AG31" t="s">
        <v>13</v>
      </c>
      <c r="AH31">
        <v>0</v>
      </c>
      <c r="AI31">
        <v>12.23</v>
      </c>
      <c r="AJ31" s="3">
        <v>85813</v>
      </c>
      <c r="AK31">
        <v>14.747999999999999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14.6805776056</v>
      </c>
      <c r="AU31" s="17">
        <f t="shared" si="1"/>
        <v>15658.65518103513</v>
      </c>
      <c r="AW31" s="9">
        <f t="shared" si="16"/>
        <v>2.4944839999999999</v>
      </c>
      <c r="AX31" s="10">
        <f t="shared" si="17"/>
        <v>19177.697777367899</v>
      </c>
      <c r="AZ31" s="11">
        <f t="shared" si="18"/>
        <v>10.307035943999999</v>
      </c>
      <c r="BA31" s="12">
        <f t="shared" si="19"/>
        <v>16975.568080614928</v>
      </c>
      <c r="BC31" s="14">
        <f t="shared" si="20"/>
        <v>14.852861662799997</v>
      </c>
      <c r="BD31" s="15">
        <f t="shared" si="21"/>
        <v>18936.446790309219</v>
      </c>
      <c r="BF31" s="16">
        <f t="shared" si="8"/>
        <v>14.6805776056</v>
      </c>
      <c r="BG31" s="17">
        <f t="shared" si="9"/>
        <v>15658.65518103513</v>
      </c>
      <c r="BI31">
        <v>67</v>
      </c>
      <c r="BJ31" t="s">
        <v>57</v>
      </c>
      <c r="BK31" s="2">
        <v>46182.964120370372</v>
      </c>
      <c r="BL31">
        <v>377</v>
      </c>
      <c r="BM31" t="s">
        <v>13</v>
      </c>
      <c r="BN31">
        <v>0</v>
      </c>
      <c r="BO31">
        <v>2.879</v>
      </c>
      <c r="BP31" s="3">
        <v>945005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46182.985347222224</v>
      </c>
      <c r="D32">
        <v>374</v>
      </c>
      <c r="E32" t="s">
        <v>13</v>
      </c>
      <c r="F32">
        <v>0</v>
      </c>
      <c r="G32">
        <v>6.056</v>
      </c>
      <c r="H32" s="3">
        <v>9843</v>
      </c>
      <c r="I32">
        <v>0.02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46182.985347222224</v>
      </c>
      <c r="R32">
        <v>374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46182.985347222224</v>
      </c>
      <c r="AF32">
        <v>374</v>
      </c>
      <c r="AG32" t="s">
        <v>13</v>
      </c>
      <c r="AH32">
        <v>0</v>
      </c>
      <c r="AI32">
        <v>12.286</v>
      </c>
      <c r="AJ32" s="3">
        <v>32000</v>
      </c>
      <c r="AK32">
        <v>5.5590000000000002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26.670185413614</v>
      </c>
      <c r="AU32" s="17">
        <f t="shared" si="1"/>
        <v>6023.798960000001</v>
      </c>
      <c r="AW32" s="9">
        <f t="shared" si="16"/>
        <v>18.135815459999996</v>
      </c>
      <c r="AX32" s="10">
        <f t="shared" si="17"/>
        <v>7319.2335999999996</v>
      </c>
      <c r="AZ32" s="11">
        <f t="shared" si="18"/>
        <v>25.86986784386</v>
      </c>
      <c r="BA32" s="12">
        <f t="shared" si="19"/>
        <v>6532.8648000000003</v>
      </c>
      <c r="BC32" s="14">
        <f t="shared" si="20"/>
        <v>31.827167323956999</v>
      </c>
      <c r="BD32" s="15">
        <f t="shared" si="21"/>
        <v>7102.1523200000001</v>
      </c>
      <c r="BF32" s="16">
        <f t="shared" si="8"/>
        <v>26.670185413614</v>
      </c>
      <c r="BG32" s="17">
        <f t="shared" si="9"/>
        <v>6023.798960000001</v>
      </c>
      <c r="BI32">
        <v>68</v>
      </c>
      <c r="BJ32" t="s">
        <v>58</v>
      </c>
      <c r="BK32" s="2">
        <v>46182.985347222224</v>
      </c>
      <c r="BL32">
        <v>374</v>
      </c>
      <c r="BM32" t="s">
        <v>13</v>
      </c>
      <c r="BN32">
        <v>0</v>
      </c>
      <c r="BO32">
        <v>2.8849999999999998</v>
      </c>
      <c r="BP32" s="3">
        <v>709851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46183.006574074076</v>
      </c>
      <c r="D33">
        <v>216</v>
      </c>
      <c r="E33" t="s">
        <v>13</v>
      </c>
      <c r="F33">
        <v>0</v>
      </c>
      <c r="G33">
        <v>6.0510000000000002</v>
      </c>
      <c r="H33" s="3">
        <v>24761</v>
      </c>
      <c r="I33">
        <v>0.05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46183.006574074076</v>
      </c>
      <c r="R33">
        <v>216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46183.006574074076</v>
      </c>
      <c r="AF33">
        <v>216</v>
      </c>
      <c r="AG33" t="s">
        <v>13</v>
      </c>
      <c r="AH33">
        <v>0</v>
      </c>
      <c r="AI33">
        <v>12.24</v>
      </c>
      <c r="AJ33" s="3">
        <v>59360</v>
      </c>
      <c r="AK33">
        <v>10.231999999999999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56.906206479655602</v>
      </c>
      <c r="AU33" s="17">
        <f t="shared" si="1"/>
        <v>11327.468048355839</v>
      </c>
      <c r="AW33" s="9">
        <f t="shared" si="16"/>
        <v>63.960853070183006</v>
      </c>
      <c r="AX33" s="10">
        <f t="shared" si="17"/>
        <v>12782.35636736</v>
      </c>
      <c r="AZ33" s="11">
        <f t="shared" si="18"/>
        <v>67.284073663455203</v>
      </c>
      <c r="BA33" s="12">
        <f t="shared" si="19"/>
        <v>11610.595661312</v>
      </c>
      <c r="BC33" s="14">
        <f t="shared" si="20"/>
        <v>69.426754827177007</v>
      </c>
      <c r="BD33" s="15">
        <f t="shared" si="21"/>
        <v>13297.771266048001</v>
      </c>
      <c r="BF33" s="16">
        <f t="shared" si="8"/>
        <v>56.906206479655602</v>
      </c>
      <c r="BG33" s="17">
        <f t="shared" si="9"/>
        <v>11327.468048355839</v>
      </c>
      <c r="BI33">
        <v>69</v>
      </c>
      <c r="BJ33" t="s">
        <v>59</v>
      </c>
      <c r="BK33" s="2">
        <v>46183.006574074076</v>
      </c>
      <c r="BL33">
        <v>216</v>
      </c>
      <c r="BM33" t="s">
        <v>13</v>
      </c>
      <c r="BN33">
        <v>0</v>
      </c>
      <c r="BO33">
        <v>2.8820000000000001</v>
      </c>
      <c r="BP33" s="3">
        <v>729372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46183.02783564815</v>
      </c>
      <c r="D34">
        <v>107</v>
      </c>
      <c r="E34" t="s">
        <v>13</v>
      </c>
      <c r="F34">
        <v>0</v>
      </c>
      <c r="G34">
        <v>6.0570000000000004</v>
      </c>
      <c r="H34" s="3">
        <v>84978</v>
      </c>
      <c r="I34">
        <v>0.17299999999999999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46183.02783564815</v>
      </c>
      <c r="R34">
        <v>107</v>
      </c>
      <c r="S34" t="s">
        <v>13</v>
      </c>
      <c r="T34">
        <v>0</v>
      </c>
      <c r="U34">
        <v>5.9740000000000002</v>
      </c>
      <c r="V34">
        <v>880</v>
      </c>
      <c r="W34">
        <v>0.35599999999999998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46183.02783564815</v>
      </c>
      <c r="AF34">
        <v>107</v>
      </c>
      <c r="AG34" t="s">
        <v>13</v>
      </c>
      <c r="AH34">
        <v>0</v>
      </c>
      <c r="AI34">
        <v>12.316000000000001</v>
      </c>
      <c r="AJ34" s="3">
        <v>831</v>
      </c>
      <c r="AK34">
        <v>0.23400000000000001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185.69195755382239</v>
      </c>
      <c r="AU34" s="17">
        <f t="shared" si="1"/>
        <v>199.09141517819</v>
      </c>
      <c r="AW34" s="9">
        <f t="shared" si="16"/>
        <v>236.78012621673201</v>
      </c>
      <c r="AX34" s="10">
        <f t="shared" si="17"/>
        <v>180.72903512789998</v>
      </c>
      <c r="AZ34" s="11">
        <f t="shared" si="18"/>
        <v>239.9447219722208</v>
      </c>
      <c r="BA34" s="12">
        <f t="shared" si="19"/>
        <v>204.41370445219999</v>
      </c>
      <c r="BC34" s="14">
        <f t="shared" si="20"/>
        <v>229.190804492708</v>
      </c>
      <c r="BD34" s="15">
        <f t="shared" si="21"/>
        <v>55.184814171730011</v>
      </c>
      <c r="BF34" s="16">
        <f t="shared" si="8"/>
        <v>185.69195755382239</v>
      </c>
      <c r="BG34" s="17">
        <f t="shared" si="9"/>
        <v>199.09141517819</v>
      </c>
      <c r="BI34">
        <v>70</v>
      </c>
      <c r="BJ34" t="s">
        <v>60</v>
      </c>
      <c r="BK34" s="2">
        <v>46183.02783564815</v>
      </c>
      <c r="BL34">
        <v>107</v>
      </c>
      <c r="BM34" t="s">
        <v>13</v>
      </c>
      <c r="BN34">
        <v>0</v>
      </c>
      <c r="BO34">
        <v>2.8839999999999999</v>
      </c>
      <c r="BP34" s="3">
        <v>857124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46183.049027777779</v>
      </c>
      <c r="D35">
        <v>194</v>
      </c>
      <c r="E35" t="s">
        <v>13</v>
      </c>
      <c r="F35">
        <v>0</v>
      </c>
      <c r="G35">
        <v>6.0330000000000004</v>
      </c>
      <c r="H35" s="3">
        <v>9136681</v>
      </c>
      <c r="I35">
        <v>18.96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46183.049027777779</v>
      </c>
      <c r="R35">
        <v>194</v>
      </c>
      <c r="S35" t="s">
        <v>13</v>
      </c>
      <c r="T35">
        <v>0</v>
      </c>
      <c r="U35">
        <v>5.9870000000000001</v>
      </c>
      <c r="V35" s="3">
        <v>64688</v>
      </c>
      <c r="W35">
        <v>14.837999999999999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46183.049027777779</v>
      </c>
      <c r="AF35">
        <v>194</v>
      </c>
      <c r="AG35" t="s">
        <v>13</v>
      </c>
      <c r="AH35">
        <v>0</v>
      </c>
      <c r="AI35">
        <v>12.228999999999999</v>
      </c>
      <c r="AJ35" s="3">
        <v>82521</v>
      </c>
      <c r="AK35">
        <v>14.186</v>
      </c>
      <c r="AL35" t="s">
        <v>14</v>
      </c>
      <c r="AM35" t="s">
        <v>14</v>
      </c>
      <c r="AN35" t="s">
        <v>14</v>
      </c>
      <c r="AO35" t="s">
        <v>14</v>
      </c>
      <c r="AQ35">
        <v>2</v>
      </c>
      <c r="AR35" t="s">
        <v>64</v>
      </c>
      <c r="AS35" s="8">
        <v>71</v>
      </c>
      <c r="AT35" s="16">
        <f t="shared" si="0"/>
        <v>16361.490137272833</v>
      </c>
      <c r="AU35" s="17">
        <f t="shared" si="1"/>
        <v>15119.477299380258</v>
      </c>
      <c r="AW35" s="9">
        <f t="shared" si="16"/>
        <v>15476.781253120003</v>
      </c>
      <c r="AX35" s="10">
        <f t="shared" si="17"/>
        <v>18384.934338463103</v>
      </c>
      <c r="AZ35" s="11">
        <f t="shared" si="18"/>
        <v>17085.824142336001</v>
      </c>
      <c r="BA35" s="12">
        <f t="shared" si="19"/>
        <v>16309.74483795277</v>
      </c>
      <c r="BC35" s="14">
        <f t="shared" si="20"/>
        <v>16702.720791331842</v>
      </c>
      <c r="BD35" s="15">
        <f t="shared" si="21"/>
        <v>18235.539522016577</v>
      </c>
      <c r="BF35" s="16">
        <f t="shared" si="8"/>
        <v>16361.490137272833</v>
      </c>
      <c r="BG35" s="17">
        <f t="shared" si="9"/>
        <v>15119.477299380258</v>
      </c>
      <c r="BI35">
        <v>71</v>
      </c>
      <c r="BJ35" t="s">
        <v>61</v>
      </c>
      <c r="BK35" s="2">
        <v>46183.049027777779</v>
      </c>
      <c r="BL35">
        <v>194</v>
      </c>
      <c r="BM35" t="s">
        <v>13</v>
      </c>
      <c r="BN35">
        <v>0</v>
      </c>
      <c r="BO35">
        <v>2.8380000000000001</v>
      </c>
      <c r="BP35" s="3">
        <v>1724386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46183.070277777777</v>
      </c>
      <c r="D36">
        <v>171</v>
      </c>
      <c r="E36" t="s">
        <v>13</v>
      </c>
      <c r="F36">
        <v>0</v>
      </c>
      <c r="G36">
        <v>6.0549999999999997</v>
      </c>
      <c r="H36" s="3">
        <v>531304</v>
      </c>
      <c r="I36">
        <v>1.079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46183.070277777777</v>
      </c>
      <c r="R36">
        <v>171</v>
      </c>
      <c r="S36" t="s">
        <v>13</v>
      </c>
      <c r="T36">
        <v>0</v>
      </c>
      <c r="U36">
        <v>6.0060000000000002</v>
      </c>
      <c r="V36" s="3">
        <v>4301</v>
      </c>
      <c r="W36">
        <v>1.133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46183.070277777777</v>
      </c>
      <c r="AF36">
        <v>171</v>
      </c>
      <c r="AG36" t="s">
        <v>13</v>
      </c>
      <c r="AH36">
        <v>0</v>
      </c>
      <c r="AI36">
        <v>12.27</v>
      </c>
      <c r="AJ36" s="3">
        <v>48506</v>
      </c>
      <c r="AK36">
        <v>8.3780000000000001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0"/>
        <v>1109.6159660851768</v>
      </c>
      <c r="AU36" s="17">
        <f t="shared" si="1"/>
        <v>9551.2516802549835</v>
      </c>
      <c r="AW36" s="9">
        <f t="shared" si="16"/>
        <v>1179.5792787082623</v>
      </c>
      <c r="AX36" s="10">
        <f t="shared" si="17"/>
        <v>10141.705369727601</v>
      </c>
      <c r="AZ36" s="11">
        <f t="shared" si="18"/>
        <v>1293.8343115694208</v>
      </c>
      <c r="BA36" s="12">
        <f t="shared" si="19"/>
        <v>9399.54924617492</v>
      </c>
      <c r="BC36" s="14">
        <f t="shared" si="20"/>
        <v>1264.6590501878186</v>
      </c>
      <c r="BD36" s="15">
        <f t="shared" si="21"/>
        <v>10979.85112377768</v>
      </c>
      <c r="BF36" s="16">
        <f t="shared" si="8"/>
        <v>1109.6159660851768</v>
      </c>
      <c r="BG36" s="17">
        <f t="shared" si="9"/>
        <v>9551.2516802549835</v>
      </c>
      <c r="BI36">
        <v>72</v>
      </c>
      <c r="BJ36" t="s">
        <v>62</v>
      </c>
      <c r="BK36" s="2">
        <v>46183.070277777777</v>
      </c>
      <c r="BL36">
        <v>171</v>
      </c>
      <c r="BM36" t="s">
        <v>13</v>
      </c>
      <c r="BN36">
        <v>0</v>
      </c>
      <c r="BO36">
        <v>2.887</v>
      </c>
      <c r="BP36" s="3">
        <v>812498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46183.091504629629</v>
      </c>
      <c r="D37">
        <v>324</v>
      </c>
      <c r="E37" t="s">
        <v>13</v>
      </c>
      <c r="F37">
        <v>0</v>
      </c>
      <c r="G37">
        <v>6.032</v>
      </c>
      <c r="H37" s="3">
        <v>6309268</v>
      </c>
      <c r="I37">
        <v>12.999000000000001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46183.091504629629</v>
      </c>
      <c r="R37">
        <v>324</v>
      </c>
      <c r="S37" t="s">
        <v>13</v>
      </c>
      <c r="T37">
        <v>0</v>
      </c>
      <c r="U37">
        <v>5.984</v>
      </c>
      <c r="V37" s="3">
        <v>45458</v>
      </c>
      <c r="W37">
        <v>10.475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46183.091504629629</v>
      </c>
      <c r="AF37">
        <v>324</v>
      </c>
      <c r="AG37" t="s">
        <v>13</v>
      </c>
      <c r="AH37">
        <v>0</v>
      </c>
      <c r="AI37">
        <v>12.223000000000001</v>
      </c>
      <c r="AJ37" s="3">
        <v>73899</v>
      </c>
      <c r="AK37">
        <v>12.714</v>
      </c>
      <c r="AL37" t="s">
        <v>14</v>
      </c>
      <c r="AM37" t="s">
        <v>14</v>
      </c>
      <c r="AN37" t="s">
        <v>14</v>
      </c>
      <c r="AO37" t="s">
        <v>14</v>
      </c>
      <c r="AQ37">
        <v>2</v>
      </c>
      <c r="AR37" t="s">
        <v>65</v>
      </c>
      <c r="AS37" s="8">
        <v>73</v>
      </c>
      <c r="AT37" s="16">
        <f t="shared" si="0"/>
        <v>11415.882102938405</v>
      </c>
      <c r="AU37" s="17">
        <f t="shared" si="1"/>
        <v>13707.563658898662</v>
      </c>
      <c r="AW37" s="9">
        <f t="shared" si="16"/>
        <v>11653.672273857674</v>
      </c>
      <c r="AX37" s="10">
        <f t="shared" si="17"/>
        <v>16304.424855979098</v>
      </c>
      <c r="AZ37" s="11">
        <f t="shared" si="18"/>
        <v>13430.95877528589</v>
      </c>
      <c r="BA37" s="12">
        <f t="shared" si="19"/>
        <v>14563.434375309971</v>
      </c>
      <c r="BC37" s="14">
        <f t="shared" si="20"/>
        <v>12931.061279113992</v>
      </c>
      <c r="BD37" s="15">
        <f t="shared" si="21"/>
        <v>16398.718819425379</v>
      </c>
      <c r="BF37" s="16">
        <f t="shared" si="8"/>
        <v>11415.882102938405</v>
      </c>
      <c r="BG37" s="17">
        <f t="shared" si="9"/>
        <v>13707.563658898662</v>
      </c>
      <c r="BI37">
        <v>73</v>
      </c>
      <c r="BJ37" t="s">
        <v>63</v>
      </c>
      <c r="BK37" s="2">
        <v>46183.091504629629</v>
      </c>
      <c r="BL37">
        <v>324</v>
      </c>
      <c r="BM37" t="s">
        <v>13</v>
      </c>
      <c r="BN37">
        <v>0</v>
      </c>
      <c r="BO37">
        <v>2.8820000000000001</v>
      </c>
      <c r="BP37" s="3">
        <v>712108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2026-06-10T14:39:15Z</dcterms:modified>
</cp:coreProperties>
</file>