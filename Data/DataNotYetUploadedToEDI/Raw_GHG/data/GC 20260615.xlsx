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28FBE286-6340-4A87-B7DB-19D4C49F87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<sst xmlns="http://schemas.openxmlformats.org/spreadsheetml/2006/main" count="429" uniqueCount="48">
  <si>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</si>
  <si>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</si>
  <si>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</si>
  <si>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</si>
  <si>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</si>
  <si>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</si>
  <si>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</si>
  <si>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</si>
  <si>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</si>
  <si>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</si>
  <si>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</si>
  <si>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</si>
  <si>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</si>
  <si>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</si>
  <si>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</si>
  <si>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</si>
  <si>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</si>
  <si>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</si>
  <si>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</si>
  <si>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</si>
  <si>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</si>
  <si>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</si>
  <si>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</si>
  <si>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</si>
  <si>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</si>
  <si>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</si>
  <si>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</si>
  <si>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</si>
  <si>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</si>
  <si>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</si>
  <si>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</si>
  <si>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</si>
  <si>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</si>
  <si>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</si>
  <si>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FMI20260612_001.gcd</t>
  </si>
  <si>
    <t>FMI20260612_002.gcd</t>
  </si>
  <si>
    <t>FMI20260612_003.gcd</t>
  </si>
  <si>
    <t>QC reference tank resampled</t>
  </si>
  <si>
    <t>FMI20260612_004.gcd</t>
  </si>
  <si>
    <t>FMI20260612_005.gcd</t>
  </si>
  <si>
    <t>FMI20260612_006.gcd</t>
  </si>
  <si>
    <t>FMI20260612_007.gcd</t>
  </si>
  <si>
    <t>FMI20260612_008.gcd</t>
  </si>
  <si>
    <t>FMI20260612_009.gcd</t>
  </si>
  <si>
    <t>FMI20260612_010.gcd</t>
  </si>
  <si>
    <t>FMI20260612_011.gcd</t>
  </si>
  <si>
    <t>FMI20260612_012.gcd</t>
  </si>
  <si>
    <t>FMI20260612_013.gcd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</si>
</sst>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R10" sqref="AR1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26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29</v>
      </c>
      <c r="BB8" s="6"/>
      <c r="BC8" s="5" t="s">
        <v>27</v>
      </c>
      <c r="BD8" s="5" t="s">
        <v>28</v>
      </c>
      <c r="BE8" s="5"/>
      <c r="BF8" s="5" t="s">
        <v>32</v>
      </c>
      <c r="BG8" s="5" t="s">
        <v>33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46185.467187499999</v>
      </c>
      <c r="D9" t="s">
        <v>30</v>
      </c>
      <c r="E9" t="s">
        <v>13</v>
      </c>
      <c r="F9">
        <v>0</v>
      </c>
      <c r="G9">
        <v>6.11</v>
      </c>
      <c r="H9" s="3">
        <v>1617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46185.467187499999</v>
      </c>
      <c r="R9" t="s">
        <v>30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46185.467187499999</v>
      </c>
      <c r="AF9" t="s">
        <v>30</v>
      </c>
      <c r="AG9" t="s">
        <v>13</v>
      </c>
      <c r="AH9">
        <v>0</v>
      </c>
      <c r="AI9">
        <v>12.391</v>
      </c>
      <c r="AJ9" s="3">
        <v>2307</v>
      </c>
      <c r="AK9">
        <v>0.48699999999999999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5.591574045054001</v>
      </c>
      <c r="AU9" s="17">
        <f t="shared" ref="AU9:AU21" si="1">IF($AJ9&lt;45000,((0.00000003579*$AJ9^2)+(0.1857*$AJ9)+(44.75)),((0.0000000022829*$AJ9^2)+(0.1634*$AJ9)+(1620)))</f>
        <v>473.35038329170999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6.4269270600000006</v>
      </c>
      <c r="AX9" s="10">
        <f t="shared" ref="AX9:AX14" si="3">IF(AJ9&lt;45000,((-0.0000004561*AJ9^2)+(0.244*AJ9)+(-21.72)),((-0.0000000409*AJ9^2)+(0.2477*AJ9)+(-1777)))</f>
        <v>538.76052223110003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0.30490432945999935</v>
      </c>
      <c r="BA9" s="12">
        <f t="shared" ref="BA9:BA14" si="5">IF(AJ9&lt;45000,((-0.0000000598*AJ9^2)+(0.205*AJ9)+(34.1)),((-0.00000002403*AJ9^2)+(0.2063*AJ9)+(-550.7)))</f>
        <v>506.71672950979996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2.3836005536769997</v>
      </c>
      <c r="BD9" s="15">
        <f t="shared" ref="BD9:BD14" si="7">IF(AJ9&lt;45000,((-0.00000004907*AJ9^2)+(0.2277*AJ9)+(-134)),((-0.00000001062*AJ9^2)+(0.2147*AJ9)+(590.6)))</f>
        <v>391.04273724156997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5.591574045054001</v>
      </c>
      <c r="BG9" s="17">
        <f t="shared" ref="BG9:BG21" si="9">IF($AJ9&lt;45000,((0.00000003579*$AJ9^2)+(0.1857*$AJ9)+(44.75)),((0.0000000022829*$AJ9^2)+(0.1634*$AJ9)+(1620)))</f>
        <v>473.35038329170999</v>
      </c>
      <c r="BI9">
        <v>45</v>
      </c>
      <c r="BJ9" t="s">
        <v>34</v>
      </c>
      <c r="BK9" s="2">
        <v>46185.467187499999</v>
      </c>
      <c r="BL9" t="s">
        <v>30</v>
      </c>
      <c r="BM9" t="s">
        <v>13</v>
      </c>
      <c r="BN9">
        <v>0</v>
      </c>
      <c r="BO9">
        <v>2.7320000000000002</v>
      </c>
      <c r="BP9" s="3">
        <v>5160777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35</v>
      </c>
      <c r="C10" s="2">
        <v>46185.488437499997</v>
      </c>
      <c r="D10" t="s">
        <v>31</v>
      </c>
      <c r="E10" t="s">
        <v>13</v>
      </c>
      <c r="F10">
        <v>0</v>
      </c>
      <c r="G10">
        <v>6.0510000000000002</v>
      </c>
      <c r="H10" s="3">
        <v>1168503</v>
      </c>
      <c r="I10">
        <v>2.3769999999999998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35</v>
      </c>
      <c r="Q10" s="2">
        <v>46185.488437499997</v>
      </c>
      <c r="R10" t="s">
        <v>31</v>
      </c>
      <c r="S10" t="s">
        <v>13</v>
      </c>
      <c r="T10">
        <v>0</v>
      </c>
      <c r="U10">
        <v>6.0030000000000001</v>
      </c>
      <c r="V10" s="3">
        <v>9111</v>
      </c>
      <c r="W10">
        <v>2.2250000000000001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35</v>
      </c>
      <c r="AE10" s="2">
        <v>46185.488437499997</v>
      </c>
      <c r="AF10" t="s">
        <v>31</v>
      </c>
      <c r="AG10" t="s">
        <v>13</v>
      </c>
      <c r="AH10">
        <v>0</v>
      </c>
      <c r="AI10">
        <v>12.349</v>
      </c>
      <c r="AJ10" s="3">
        <v>8505</v>
      </c>
      <c r="AK10">
        <v>1.5449999999999999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2261.6581288872985</v>
      </c>
      <c r="AU10" s="17">
        <f t="shared" si="1"/>
        <v>1626.7173705447501</v>
      </c>
      <c r="AW10" s="9">
        <f t="shared" si="2"/>
        <v>2395.5993937452326</v>
      </c>
      <c r="AX10" s="10">
        <f t="shared" si="3"/>
        <v>2020.5079950974998</v>
      </c>
      <c r="AZ10" s="11">
        <f t="shared" si="4"/>
        <v>2652.6364535817443</v>
      </c>
      <c r="BA10" s="12">
        <f t="shared" si="5"/>
        <v>1773.2993655049997</v>
      </c>
      <c r="BC10" s="14">
        <f t="shared" si="6"/>
        <v>2567.942991168115</v>
      </c>
      <c r="BD10" s="15">
        <f t="shared" si="7"/>
        <v>1799.03902032325</v>
      </c>
      <c r="BF10" s="16">
        <f t="shared" si="8"/>
        <v>2261.6581288872985</v>
      </c>
      <c r="BG10" s="17">
        <f t="shared" si="9"/>
        <v>1626.7173705447501</v>
      </c>
      <c r="BI10">
        <v>46</v>
      </c>
      <c r="BJ10" t="s">
        <v>35</v>
      </c>
      <c r="BK10" s="2">
        <v>46185.488437499997</v>
      </c>
      <c r="BL10" t="s">
        <v>31</v>
      </c>
      <c r="BM10" t="s">
        <v>13</v>
      </c>
      <c r="BN10">
        <v>0</v>
      </c>
      <c r="BO10">
        <v>2.718</v>
      </c>
      <c r="BP10" s="3">
        <v>5406689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36</v>
      </c>
      <c r="C11" s="2">
        <v>46185.509699074071</v>
      </c>
      <c r="D11" t="s">
        <v>37</v>
      </c>
      <c r="E11" t="s">
        <v>13</v>
      </c>
      <c r="F11">
        <v>0</v>
      </c>
      <c r="G11">
        <v>6.0810000000000004</v>
      </c>
      <c r="H11" s="3">
        <v>2934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36</v>
      </c>
      <c r="Q11" s="2">
        <v>46185.509699074071</v>
      </c>
      <c r="R11" t="s">
        <v>37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36</v>
      </c>
      <c r="AE11" s="2">
        <v>46185.509699074071</v>
      </c>
      <c r="AF11" t="s">
        <v>37</v>
      </c>
      <c r="AG11" t="s">
        <v>13</v>
      </c>
      <c r="AH11">
        <v>0</v>
      </c>
      <c r="AI11">
        <v>12.35</v>
      </c>
      <c r="AJ11" s="3">
        <v>1956</v>
      </c>
      <c r="AK11">
        <v>0.42699999999999999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9.0000985658159998</v>
      </c>
      <c r="AU11" s="17">
        <f t="shared" si="1"/>
        <v>408.11613024944</v>
      </c>
      <c r="AW11" s="9">
        <f t="shared" si="2"/>
        <v>3.3880022400000005</v>
      </c>
      <c r="AX11" s="10">
        <f t="shared" si="3"/>
        <v>453.79899059039997</v>
      </c>
      <c r="AZ11" s="11">
        <f t="shared" si="4"/>
        <v>3.8779834618399995</v>
      </c>
      <c r="BA11" s="12">
        <f t="shared" si="5"/>
        <v>434.85120902719996</v>
      </c>
      <c r="BC11" s="14">
        <f t="shared" si="6"/>
        <v>7.0202987675079989</v>
      </c>
      <c r="BD11" s="15">
        <f t="shared" si="7"/>
        <v>311.19346132048003</v>
      </c>
      <c r="BF11" s="16">
        <f t="shared" si="8"/>
        <v>9.0000985658159998</v>
      </c>
      <c r="BG11" s="17">
        <f t="shared" si="9"/>
        <v>408.11613024944</v>
      </c>
      <c r="BI11">
        <v>47</v>
      </c>
      <c r="BJ11" t="s">
        <v>36</v>
      </c>
      <c r="BK11" s="2">
        <v>46185.509699074071</v>
      </c>
      <c r="BL11" t="s">
        <v>37</v>
      </c>
      <c r="BM11" t="s">
        <v>13</v>
      </c>
      <c r="BN11">
        <v>0</v>
      </c>
      <c r="BO11">
        <v>2.718</v>
      </c>
      <c r="BP11" s="3">
        <v>5477350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46185.530960648146</v>
      </c>
      <c r="D12">
        <v>29</v>
      </c>
      <c r="E12" t="s">
        <v>13</v>
      </c>
      <c r="F12">
        <v>0</v>
      </c>
      <c r="G12">
        <v>6.0579999999999998</v>
      </c>
      <c r="H12" s="3">
        <v>11084</v>
      </c>
      <c r="I12">
        <v>2.3E-2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46185.530960648146</v>
      </c>
      <c r="R12">
        <v>29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46185.530960648146</v>
      </c>
      <c r="AF12">
        <v>29</v>
      </c>
      <c r="AG12" t="s">
        <v>13</v>
      </c>
      <c r="AH12">
        <v>0</v>
      </c>
      <c r="AI12">
        <v>12.273999999999999</v>
      </c>
      <c r="AJ12" s="3">
        <v>44506</v>
      </c>
      <c r="AK12">
        <v>7.6950000000000003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27.2748773569216</v>
      </c>
      <c r="AU12" s="17">
        <f t="shared" si="1"/>
        <v>8380.406460648439</v>
      </c>
      <c r="AW12" s="9">
        <f t="shared" si="2"/>
        <v>23.114869576687994</v>
      </c>
      <c r="AX12" s="10">
        <f t="shared" si="3"/>
        <v>9934.3084011804003</v>
      </c>
      <c r="AZ12" s="11">
        <f t="shared" si="4"/>
        <v>27.776035459827206</v>
      </c>
      <c r="BA12" s="12">
        <f t="shared" si="5"/>
        <v>9039.3791146471995</v>
      </c>
      <c r="BC12" s="14">
        <f t="shared" si="6"/>
        <v>32.873977120271995</v>
      </c>
      <c r="BD12" s="15">
        <f t="shared" si="7"/>
        <v>9902.8191273534794</v>
      </c>
      <c r="BF12" s="16">
        <f t="shared" si="8"/>
        <v>27.2748773569216</v>
      </c>
      <c r="BG12" s="17">
        <f t="shared" si="9"/>
        <v>8380.406460648439</v>
      </c>
      <c r="BI12">
        <v>48</v>
      </c>
      <c r="BJ12" t="s">
        <v>38</v>
      </c>
      <c r="BK12" s="2">
        <v>46185.530960648146</v>
      </c>
      <c r="BL12">
        <v>29</v>
      </c>
      <c r="BM12" t="s">
        <v>13</v>
      </c>
      <c r="BN12">
        <v>0</v>
      </c>
      <c r="BO12">
        <v>2.8719999999999999</v>
      </c>
      <c r="BP12" s="3">
        <v>998731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46185.552187499998</v>
      </c>
      <c r="D13">
        <v>190</v>
      </c>
      <c r="E13" t="s">
        <v>13</v>
      </c>
      <c r="F13">
        <v>0</v>
      </c>
      <c r="G13">
        <v>6.0609999999999999</v>
      </c>
      <c r="H13" s="3">
        <v>13671</v>
      </c>
      <c r="I13">
        <v>2.8000000000000001E-2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46185.552187499998</v>
      </c>
      <c r="R13">
        <v>190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46185.552187499998</v>
      </c>
      <c r="AF13">
        <v>190</v>
      </c>
      <c r="AG13" t="s">
        <v>13</v>
      </c>
      <c r="AH13">
        <v>0</v>
      </c>
      <c r="AI13">
        <v>12.272</v>
      </c>
      <c r="AJ13" s="3">
        <v>46953</v>
      </c>
      <c r="AK13">
        <v>8.1129999999999995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32.8904322548876</v>
      </c>
      <c r="AU13" s="17">
        <f t="shared" si="1"/>
        <v>9297.1530452907245</v>
      </c>
      <c r="AW13" s="9">
        <f t="shared" si="2"/>
        <v>30.886117627943001</v>
      </c>
      <c r="AX13" s="10">
        <f t="shared" si="3"/>
        <v>9763.0906058519013</v>
      </c>
      <c r="AZ13" s="11">
        <f t="shared" si="4"/>
        <v>35.257253365599205</v>
      </c>
      <c r="BA13" s="12">
        <f t="shared" si="5"/>
        <v>9082.7277414577311</v>
      </c>
      <c r="BC13" s="14">
        <f t="shared" si="6"/>
        <v>39.795468288617002</v>
      </c>
      <c r="BD13" s="15">
        <f t="shared" si="7"/>
        <v>10647.996415700421</v>
      </c>
      <c r="BF13" s="16">
        <f t="shared" si="8"/>
        <v>32.8904322548876</v>
      </c>
      <c r="BG13" s="17">
        <f t="shared" si="9"/>
        <v>9297.1530452907245</v>
      </c>
      <c r="BI13">
        <v>49</v>
      </c>
      <c r="BJ13" t="s">
        <v>39</v>
      </c>
      <c r="BK13" s="2">
        <v>46185.552187499998</v>
      </c>
      <c r="BL13">
        <v>190</v>
      </c>
      <c r="BM13" t="s">
        <v>13</v>
      </c>
      <c r="BN13">
        <v>0</v>
      </c>
      <c r="BO13">
        <v>2.8479999999999999</v>
      </c>
      <c r="BP13" s="3">
        <v>1545822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46185.573460648149</v>
      </c>
      <c r="D14">
        <v>262</v>
      </c>
      <c r="E14" t="s">
        <v>13</v>
      </c>
      <c r="F14">
        <v>0</v>
      </c>
      <c r="G14">
        <v>6.0579999999999998</v>
      </c>
      <c r="H14" s="3">
        <v>13984</v>
      </c>
      <c r="I14">
        <v>2.8000000000000001E-2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46185.573460648149</v>
      </c>
      <c r="R14">
        <v>262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46185.573460648149</v>
      </c>
      <c r="AF14">
        <v>262</v>
      </c>
      <c r="AG14" t="s">
        <v>13</v>
      </c>
      <c r="AH14">
        <v>0</v>
      </c>
      <c r="AI14">
        <v>12.307</v>
      </c>
      <c r="AJ14" s="3">
        <v>17985</v>
      </c>
      <c r="AK14">
        <v>3.165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33.569514130841604</v>
      </c>
      <c r="AU14" s="17">
        <f t="shared" si="1"/>
        <v>3396.1411414527502</v>
      </c>
      <c r="AW14" s="9">
        <f t="shared" si="2"/>
        <v>31.824926092288003</v>
      </c>
      <c r="AX14" s="10">
        <f t="shared" si="3"/>
        <v>4219.0897913774998</v>
      </c>
      <c r="AZ14" s="11">
        <f t="shared" si="4"/>
        <v>36.162140508467203</v>
      </c>
      <c r="BA14" s="12">
        <f t="shared" si="5"/>
        <v>3701.6820785449995</v>
      </c>
      <c r="BC14" s="14">
        <f t="shared" si="6"/>
        <v>40.632657756672003</v>
      </c>
      <c r="BD14" s="15">
        <f t="shared" si="7"/>
        <v>3945.3123067592501</v>
      </c>
      <c r="BF14" s="16">
        <f t="shared" si="8"/>
        <v>33.569514130841604</v>
      </c>
      <c r="BG14" s="17">
        <f t="shared" si="9"/>
        <v>3396.1411414527502</v>
      </c>
      <c r="BI14">
        <v>50</v>
      </c>
      <c r="BJ14" t="s">
        <v>40</v>
      </c>
      <c r="BK14" s="2">
        <v>46185.573460648149</v>
      </c>
      <c r="BL14">
        <v>262</v>
      </c>
      <c r="BM14" t="s">
        <v>13</v>
      </c>
      <c r="BN14">
        <v>0</v>
      </c>
      <c r="BO14">
        <v>2.8839999999999999</v>
      </c>
      <c r="BP14" s="3">
        <v>780398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46185.594722222224</v>
      </c>
      <c r="D15">
        <v>133</v>
      </c>
      <c r="E15" t="s">
        <v>13</v>
      </c>
      <c r="F15">
        <v>0</v>
      </c>
      <c r="G15">
        <v>6.0570000000000004</v>
      </c>
      <c r="H15" s="3">
        <v>17501</v>
      </c>
      <c r="I15">
        <v>3.5999999999999997E-2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46185.594722222224</v>
      </c>
      <c r="R15">
        <v>133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46185.594722222224</v>
      </c>
      <c r="AF15">
        <v>133</v>
      </c>
      <c r="AG15" t="s">
        <v>13</v>
      </c>
      <c r="AH15">
        <v>0</v>
      </c>
      <c r="AI15">
        <v>12.327999999999999</v>
      </c>
      <c r="AJ15" s="3">
        <v>3402</v>
      </c>
      <c r="AK15">
        <v>0.67400000000000004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41.194894325623601</v>
      </c>
      <c r="AU15" s="17">
        <f t="shared" si="1"/>
        <v>676.91561928715998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42.352531553422999</v>
      </c>
      <c r="AX15" s="10">
        <f t="shared" ref="AX15:AX16" si="11">IF(AJ15&lt;45000,((-0.0000004561*AJ15^2)+(0.244*AJ15)+(-21.72)),((-0.0000000409*AJ15^2)+(0.2477*AJ15)+(-1777)))</f>
        <v>803.08927921559996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46.325943891711205</v>
      </c>
      <c r="BA15" s="12">
        <f t="shared" ref="BA15:BA16" si="13">IF(AJ15&lt;45000,((-0.0000000598*AJ15^2)+(0.205*AJ15)+(34.1)),((-0.00000002403*AJ15^2)+(0.2063*AJ15)+(-550.7)))</f>
        <v>730.81789848079995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50.036129044736995</v>
      </c>
      <c r="BD15" s="15">
        <f t="shared" ref="BD15:BD16" si="15">IF(AJ15&lt;45000,((-0.00000004907*AJ15^2)+(0.2277*AJ15)+(-134)),((-0.00000001062*AJ15^2)+(0.2147*AJ15)+(590.6)))</f>
        <v>640.06748325171998</v>
      </c>
      <c r="BF15" s="16">
        <f t="shared" si="8"/>
        <v>41.194894325623601</v>
      </c>
      <c r="BG15" s="17">
        <f t="shared" si="9"/>
        <v>676.91561928715998</v>
      </c>
      <c r="BI15">
        <v>51</v>
      </c>
      <c r="BJ15" t="s">
        <v>41</v>
      </c>
      <c r="BK15" s="2">
        <v>46185.594722222224</v>
      </c>
      <c r="BL15">
        <v>133</v>
      </c>
      <c r="BM15" t="s">
        <v>13</v>
      </c>
      <c r="BN15">
        <v>0</v>
      </c>
      <c r="BO15">
        <v>2.879</v>
      </c>
      <c r="BP15" s="3">
        <v>848972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46185.615972222222</v>
      </c>
      <c r="D16">
        <v>348</v>
      </c>
      <c r="E16" t="s">
        <v>13</v>
      </c>
      <c r="F16">
        <v>0</v>
      </c>
      <c r="G16">
        <v>6.0579999999999998</v>
      </c>
      <c r="H16" s="3">
        <v>18538</v>
      </c>
      <c r="I16">
        <v>3.7999999999999999E-2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46185.615972222222</v>
      </c>
      <c r="R16">
        <v>348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46185.615972222222</v>
      </c>
      <c r="AF16">
        <v>348</v>
      </c>
      <c r="AG16" t="s">
        <v>13</v>
      </c>
      <c r="AH16">
        <v>0</v>
      </c>
      <c r="AI16">
        <v>12.319000000000001</v>
      </c>
      <c r="AJ16" s="3">
        <v>3202</v>
      </c>
      <c r="AK16">
        <v>0.63900000000000001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43.441487338078403</v>
      </c>
      <c r="AU16" s="17">
        <f t="shared" si="1"/>
        <v>639.72834785516</v>
      </c>
      <c r="AW16" s="9">
        <f t="shared" si="10"/>
        <v>45.449186210812002</v>
      </c>
      <c r="AX16" s="10">
        <f t="shared" si="11"/>
        <v>754.89169609559997</v>
      </c>
      <c r="AZ16" s="11">
        <f t="shared" si="12"/>
        <v>49.321413730172807</v>
      </c>
      <c r="BA16" s="12">
        <f t="shared" si="13"/>
        <v>689.89688232080005</v>
      </c>
      <c r="BC16" s="14">
        <f t="shared" si="14"/>
        <v>52.807534092228003</v>
      </c>
      <c r="BD16" s="15">
        <f t="shared" si="15"/>
        <v>594.59229490772009</v>
      </c>
      <c r="BF16" s="16">
        <f t="shared" si="8"/>
        <v>43.441487338078403</v>
      </c>
      <c r="BG16" s="17">
        <f t="shared" si="9"/>
        <v>639.72834785516</v>
      </c>
      <c r="BI16">
        <v>52</v>
      </c>
      <c r="BJ16" t="s">
        <v>42</v>
      </c>
      <c r="BK16" s="2">
        <v>46185.615972222222</v>
      </c>
      <c r="BL16">
        <v>348</v>
      </c>
      <c r="BM16" t="s">
        <v>13</v>
      </c>
      <c r="BN16">
        <v>0</v>
      </c>
      <c r="BO16">
        <v>2.88</v>
      </c>
      <c r="BP16" s="3">
        <v>843746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46185.63721064815</v>
      </c>
      <c r="D17">
        <v>170</v>
      </c>
      <c r="E17" t="s">
        <v>13</v>
      </c>
      <c r="F17">
        <v>0</v>
      </c>
      <c r="G17">
        <v>6.0609999999999999</v>
      </c>
      <c r="H17" s="3">
        <v>18491</v>
      </c>
      <c r="I17">
        <v>3.7999999999999999E-2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46185.63721064815</v>
      </c>
      <c r="R17">
        <v>170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46185.63721064815</v>
      </c>
      <c r="AF17">
        <v>170</v>
      </c>
      <c r="AG17" t="s">
        <v>13</v>
      </c>
      <c r="AH17">
        <v>0</v>
      </c>
      <c r="AI17">
        <v>12.336</v>
      </c>
      <c r="AJ17" s="3">
        <v>3389</v>
      </c>
      <c r="AK17">
        <v>0.67100000000000004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43.339682410711603</v>
      </c>
      <c r="AU17" s="17">
        <f t="shared" si="1"/>
        <v>674.49835963859005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45.308909763262996</v>
      </c>
      <c r="AX17" s="10">
        <f t="shared" ref="AX17:AX21" si="17">IF(AJ17&lt;45000,((-0.0000004561*AJ17^2)+(0.244*AJ17)+(-21.72)),((-0.0000000409*AJ17^2)+(0.2477*AJ17)+(-1777)))</f>
        <v>799.95754509189987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49.185663347007207</v>
      </c>
      <c r="BA17" s="12">
        <f t="shared" ref="BA17:BA21" si="19">IF(AJ17&lt;45000,((-0.0000000598*AJ17^2)+(0.205*AJ17)+(34.1)),((-0.00000002403*AJ17^2)+(0.2063*AJ17)+(-550.7)))</f>
        <v>728.15817780420002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52.681937807696997</v>
      </c>
      <c r="BD17" s="15">
        <f t="shared" ref="BD17:BD21" si="21">IF(AJ17&lt;45000,((-0.00000004907*AJ17^2)+(0.2277*AJ17)+(-134)),((-0.00000001062*AJ17^2)+(0.2147*AJ17)+(590.6)))</f>
        <v>637.11171529853004</v>
      </c>
      <c r="BF17" s="16">
        <f t="shared" si="8"/>
        <v>43.339682410711603</v>
      </c>
      <c r="BG17" s="17">
        <f t="shared" si="9"/>
        <v>674.49835963859005</v>
      </c>
      <c r="BI17">
        <v>53</v>
      </c>
      <c r="BJ17" t="s">
        <v>43</v>
      </c>
      <c r="BK17" s="2">
        <v>46185.63721064815</v>
      </c>
      <c r="BL17">
        <v>170</v>
      </c>
      <c r="BM17" t="s">
        <v>13</v>
      </c>
      <c r="BN17">
        <v>0</v>
      </c>
      <c r="BO17">
        <v>2.8860000000000001</v>
      </c>
      <c r="BP17" s="3">
        <v>823488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46185.658460648148</v>
      </c>
      <c r="D18">
        <v>410</v>
      </c>
      <c r="E18" t="s">
        <v>13</v>
      </c>
      <c r="F18">
        <v>0</v>
      </c>
      <c r="G18">
        <v>6.0620000000000003</v>
      </c>
      <c r="H18" s="3">
        <v>12168</v>
      </c>
      <c r="I18">
        <v>2.5000000000000001E-2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46185.658460648148</v>
      </c>
      <c r="R18">
        <v>410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46185.658460648148</v>
      </c>
      <c r="AF18">
        <v>410</v>
      </c>
      <c r="AG18" t="s">
        <v>13</v>
      </c>
      <c r="AH18">
        <v>0</v>
      </c>
      <c r="AI18">
        <v>12.273</v>
      </c>
      <c r="AJ18" s="3">
        <v>53330</v>
      </c>
      <c r="AK18">
        <v>9.202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29.628510131686404</v>
      </c>
      <c r="AU18" s="17">
        <f t="shared" si="1"/>
        <v>10340.61477054981</v>
      </c>
      <c r="AW18" s="9">
        <f t="shared" si="16"/>
        <v>26.373733026751999</v>
      </c>
      <c r="AX18" s="10">
        <f t="shared" si="17"/>
        <v>11316.517763990001</v>
      </c>
      <c r="AZ18" s="11">
        <f t="shared" si="18"/>
        <v>30.911272207308805</v>
      </c>
      <c r="BA18" s="12">
        <f t="shared" si="19"/>
        <v>10382.935543733</v>
      </c>
      <c r="BC18" s="14">
        <f t="shared" si="20"/>
        <v>35.774636161087997</v>
      </c>
      <c r="BD18" s="15">
        <f t="shared" si="21"/>
        <v>12010.346775882001</v>
      </c>
      <c r="BF18" s="16">
        <f t="shared" si="8"/>
        <v>29.628510131686404</v>
      </c>
      <c r="BG18" s="17">
        <f t="shared" si="9"/>
        <v>10340.61477054981</v>
      </c>
      <c r="BI18">
        <v>54</v>
      </c>
      <c r="BJ18" t="s">
        <v>44</v>
      </c>
      <c r="BK18" s="2">
        <v>46185.658460648148</v>
      </c>
      <c r="BL18">
        <v>410</v>
      </c>
      <c r="BM18" t="s">
        <v>13</v>
      </c>
      <c r="BN18">
        <v>0</v>
      </c>
      <c r="BO18">
        <v>2.8780000000000001</v>
      </c>
      <c r="BP18" s="3">
        <v>953045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46185.679699074077</v>
      </c>
      <c r="D19">
        <v>416</v>
      </c>
      <c r="E19" t="s">
        <v>13</v>
      </c>
      <c r="F19">
        <v>0</v>
      </c>
      <c r="G19">
        <v>6.0590000000000002</v>
      </c>
      <c r="H19" s="3">
        <v>13849</v>
      </c>
      <c r="I19">
        <v>2.8000000000000001E-2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46185.679699074077</v>
      </c>
      <c r="R19">
        <v>416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46185.679699074077</v>
      </c>
      <c r="AF19">
        <v>416</v>
      </c>
      <c r="AG19" t="s">
        <v>13</v>
      </c>
      <c r="AH19">
        <v>0</v>
      </c>
      <c r="AI19">
        <v>12.308999999999999</v>
      </c>
      <c r="AJ19" s="3">
        <v>17824</v>
      </c>
      <c r="AK19">
        <v>3.137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33.2766284369036</v>
      </c>
      <c r="AU19" s="17">
        <f t="shared" si="1"/>
        <v>3366.0371031910399</v>
      </c>
      <c r="AW19" s="9">
        <f t="shared" si="16"/>
        <v>31.420046598822999</v>
      </c>
      <c r="AX19" s="10">
        <f t="shared" si="17"/>
        <v>4182.435321446399</v>
      </c>
      <c r="AZ19" s="11">
        <f t="shared" si="18"/>
        <v>35.771860661471202</v>
      </c>
      <c r="BA19" s="12">
        <f t="shared" si="19"/>
        <v>3669.0218404351995</v>
      </c>
      <c r="BC19" s="14">
        <f t="shared" si="20"/>
        <v>40.271575967337</v>
      </c>
      <c r="BD19" s="15">
        <f t="shared" si="21"/>
        <v>3908.9355075276803</v>
      </c>
      <c r="BF19" s="16">
        <f t="shared" si="8"/>
        <v>33.2766284369036</v>
      </c>
      <c r="BG19" s="17">
        <f t="shared" si="9"/>
        <v>3366.0371031910399</v>
      </c>
      <c r="BI19">
        <v>55</v>
      </c>
      <c r="BJ19" t="s">
        <v>45</v>
      </c>
      <c r="BK19" s="2">
        <v>46185.679699074077</v>
      </c>
      <c r="BL19">
        <v>416</v>
      </c>
      <c r="BM19" t="s">
        <v>13</v>
      </c>
      <c r="BN19">
        <v>0</v>
      </c>
      <c r="BO19">
        <v>2.8809999999999998</v>
      </c>
      <c r="BP19" s="3">
        <v>841585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46185.700937499998</v>
      </c>
      <c r="D20">
        <v>22</v>
      </c>
      <c r="E20" t="s">
        <v>13</v>
      </c>
      <c r="F20">
        <v>0</v>
      </c>
      <c r="G20">
        <v>6.0679999999999996</v>
      </c>
      <c r="H20" s="3">
        <v>8846</v>
      </c>
      <c r="I20">
        <v>1.7999999999999999E-2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46185.700937499998</v>
      </c>
      <c r="R20">
        <v>22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46185.700937499998</v>
      </c>
      <c r="AF20">
        <v>22</v>
      </c>
      <c r="AG20" t="s">
        <v>13</v>
      </c>
      <c r="AH20">
        <v>0</v>
      </c>
      <c r="AI20">
        <v>12.291</v>
      </c>
      <c r="AJ20" s="3">
        <v>43026</v>
      </c>
      <c r="AK20">
        <v>7.4420000000000002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24.142203126776</v>
      </c>
      <c r="AU20" s="17">
        <f t="shared" si="1"/>
        <v>8100.93396063404</v>
      </c>
      <c r="AW20" s="9">
        <f t="shared" si="16"/>
        <v>12.824736639999999</v>
      </c>
      <c r="AX20" s="10">
        <f t="shared" si="17"/>
        <v>9632.2749520763991</v>
      </c>
      <c r="AZ20" s="11">
        <f t="shared" si="18"/>
        <v>22.359541052239997</v>
      </c>
      <c r="BA20" s="12">
        <f t="shared" si="19"/>
        <v>8743.7260467752003</v>
      </c>
      <c r="BC20" s="14">
        <f t="shared" si="20"/>
        <v>28.197363823987999</v>
      </c>
      <c r="BD20" s="15">
        <f t="shared" si="21"/>
        <v>9572.1800163086809</v>
      </c>
      <c r="BF20" s="16">
        <f t="shared" si="8"/>
        <v>24.142203126776</v>
      </c>
      <c r="BG20" s="17">
        <f t="shared" si="9"/>
        <v>8100.93396063404</v>
      </c>
      <c r="BI20">
        <v>56</v>
      </c>
      <c r="BJ20" t="s">
        <v>46</v>
      </c>
      <c r="BK20" s="2">
        <v>46185.700937499998</v>
      </c>
      <c r="BL20">
        <v>22</v>
      </c>
      <c r="BM20" t="s">
        <v>13</v>
      </c>
      <c r="BN20">
        <v>0</v>
      </c>
      <c r="BO20">
        <v>2.875</v>
      </c>
      <c r="BP20" s="3">
        <v>1081910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46185.722187500003</v>
      </c>
      <c r="D21">
        <v>304</v>
      </c>
      <c r="E21" t="s">
        <v>13</v>
      </c>
      <c r="F21">
        <v>0</v>
      </c>
      <c r="G21">
        <v>6.0640000000000001</v>
      </c>
      <c r="H21" s="3">
        <v>19023</v>
      </c>
      <c r="I21">
        <v>3.9E-2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46185.722187500003</v>
      </c>
      <c r="R21">
        <v>304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46185.722187500003</v>
      </c>
      <c r="AF21">
        <v>304</v>
      </c>
      <c r="AG21" t="s">
        <v>13</v>
      </c>
      <c r="AH21">
        <v>0</v>
      </c>
      <c r="AI21">
        <v>12.342000000000001</v>
      </c>
      <c r="AJ21" s="3">
        <v>3387</v>
      </c>
      <c r="AK21">
        <v>0.67100000000000004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44.491930427284402</v>
      </c>
      <c r="AU21" s="17">
        <f t="shared" si="1"/>
        <v>674.12647461251004</v>
      </c>
      <c r="AW21" s="9">
        <f t="shared" si="16"/>
        <v>46.896312867767001</v>
      </c>
      <c r="AX21" s="10">
        <f t="shared" si="17"/>
        <v>799.47572615909996</v>
      </c>
      <c r="AZ21" s="11">
        <f t="shared" si="18"/>
        <v>50.722167636024807</v>
      </c>
      <c r="BA21" s="12">
        <f t="shared" si="19"/>
        <v>727.74898821379998</v>
      </c>
      <c r="BC21" s="14">
        <f t="shared" si="20"/>
        <v>54.103512998873001</v>
      </c>
      <c r="BD21" s="15">
        <f t="shared" si="21"/>
        <v>636.65698029517</v>
      </c>
      <c r="BF21" s="16">
        <f t="shared" si="8"/>
        <v>44.491930427284402</v>
      </c>
      <c r="BG21" s="17">
        <f t="shared" si="9"/>
        <v>674.12647461251004</v>
      </c>
      <c r="BI21">
        <v>57</v>
      </c>
      <c r="BJ21" t="s">
        <v>47</v>
      </c>
      <c r="BK21" s="2">
        <v>46185.722187500003</v>
      </c>
      <c r="BL21">
        <v>304</v>
      </c>
      <c r="BM21" t="s">
        <v>13</v>
      </c>
      <c r="BN21">
        <v>0</v>
      </c>
      <c r="BO21">
        <v>2.8839999999999999</v>
      </c>
      <c r="BP21" s="3">
        <v>861374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2026-06-15T16:29:42Z</dcterms:modified>
</cp:coreProperties>
</file>