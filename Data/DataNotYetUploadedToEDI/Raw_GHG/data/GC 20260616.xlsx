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ACL Data\GC\"/>
    </mc:Choice>
  </mc:AlternateContent>
  <xr:revisionPtr revIDLastSave="0" documentId="13_ncr:1_{593A2D94-8D71-4EB6-8620-DA3F62BE619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7" i="1" l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AT22" i="1"/>
  <c r="AU22" i="1"/>
  <c r="AW22" i="1"/>
  <c r="AX22" i="1"/>
  <c r="AZ22" i="1"/>
  <c r="BA22" i="1"/>
  <c r="BC22" i="1"/>
  <c r="BD22" i="1"/>
  <c r="BF22" i="1"/>
  <c r="BG22" i="1"/>
  <c r="AT23" i="1"/>
  <c r="AU23" i="1"/>
  <c r="AW23" i="1"/>
  <c r="AX23" i="1"/>
  <c r="AZ23" i="1"/>
  <c r="BA23" i="1"/>
  <c r="BC23" i="1"/>
  <c r="BD23" i="1"/>
  <c r="BF23" i="1"/>
  <c r="BG23" i="1"/>
  <c r="AT24" i="1"/>
  <c r="AU24" i="1"/>
  <c r="AW24" i="1"/>
  <c r="AX24" i="1"/>
  <c r="AZ24" i="1"/>
  <c r="BA24" i="1"/>
  <c r="BC24" i="1"/>
  <c r="BD24" i="1"/>
  <c r="BF24" i="1"/>
  <c r="BG24" i="1"/>
  <c r="AT25" i="1"/>
  <c r="AU25" i="1"/>
  <c r="AW25" i="1"/>
  <c r="AX25" i="1"/>
  <c r="AZ25" i="1"/>
  <c r="BA25" i="1"/>
  <c r="BC25" i="1"/>
  <c r="BD25" i="1"/>
  <c r="BF25" i="1"/>
  <c r="BG25" i="1"/>
  <c r="AT26" i="1"/>
  <c r="AU26" i="1"/>
  <c r="AW26" i="1"/>
  <c r="AX26" i="1"/>
  <c r="AZ26" i="1"/>
  <c r="BA26" i="1"/>
  <c r="BC26" i="1"/>
  <c r="BD26" i="1"/>
  <c r="BF26" i="1"/>
  <c r="BG26" i="1"/>
  <c r="AT27" i="1"/>
  <c r="AU27" i="1"/>
  <c r="AW27" i="1"/>
  <c r="AX27" i="1"/>
  <c r="AZ27" i="1"/>
  <c r="BA27" i="1"/>
  <c r="BC27" i="1"/>
  <c r="BD27" i="1"/>
  <c r="BF27" i="1"/>
  <c r="BG27" i="1"/>
  <c r="AT28" i="1"/>
  <c r="AU28" i="1"/>
  <c r="AW28" i="1"/>
  <c r="AX28" i="1"/>
  <c r="AZ28" i="1"/>
  <c r="BA28" i="1"/>
  <c r="BC28" i="1"/>
  <c r="BD28" i="1"/>
  <c r="BF28" i="1"/>
  <c r="BG28" i="1"/>
  <c r="AT29" i="1"/>
  <c r="AU29" i="1"/>
  <c r="AW29" i="1"/>
  <c r="AX29" i="1"/>
  <c r="AZ29" i="1"/>
  <c r="BA29" i="1"/>
  <c r="BC29" i="1"/>
  <c r="BD29" i="1"/>
  <c r="BF29" i="1"/>
  <c r="BG29" i="1"/>
  <c r="AT30" i="1"/>
  <c r="AU30" i="1"/>
  <c r="AW30" i="1"/>
  <c r="AX30" i="1"/>
  <c r="AZ30" i="1"/>
  <c r="BA30" i="1"/>
  <c r="BC30" i="1"/>
  <c r="BD30" i="1"/>
  <c r="BF30" i="1"/>
  <c r="BG30" i="1"/>
  <c r="AT31" i="1"/>
  <c r="AU31" i="1"/>
  <c r="AW31" i="1"/>
  <c r="AX31" i="1"/>
  <c r="AZ31" i="1"/>
  <c r="BA31" i="1"/>
  <c r="BC31" i="1"/>
  <c r="BD31" i="1"/>
  <c r="BF31" i="1"/>
  <c r="BG31" i="1"/>
  <c r="AT32" i="1"/>
  <c r="AU32" i="1"/>
  <c r="AW32" i="1"/>
  <c r="AX32" i="1"/>
  <c r="AZ32" i="1"/>
  <c r="BA32" i="1"/>
  <c r="BC32" i="1"/>
  <c r="BD32" i="1"/>
  <c r="BF32" i="1"/>
  <c r="BG32" i="1"/>
  <c r="AT33" i="1"/>
  <c r="AU33" i="1"/>
  <c r="AW33" i="1"/>
  <c r="AX33" i="1"/>
  <c r="AZ33" i="1"/>
  <c r="BA33" i="1"/>
  <c r="BC33" i="1"/>
  <c r="BD33" i="1"/>
  <c r="BF33" i="1"/>
  <c r="BG33" i="1"/>
  <c r="AT34" i="1"/>
  <c r="AU34" i="1"/>
  <c r="AW34" i="1"/>
  <c r="AX34" i="1"/>
  <c r="AZ34" i="1"/>
  <c r="BA34" i="1"/>
  <c r="BC34" i="1"/>
  <c r="BD34" i="1"/>
  <c r="BF34" i="1"/>
  <c r="BG34" i="1"/>
  <c r="AT35" i="1"/>
  <c r="AU35" i="1"/>
  <c r="AW35" i="1"/>
  <c r="AX35" i="1"/>
  <c r="AZ35" i="1"/>
  <c r="BA35" i="1"/>
  <c r="BC35" i="1"/>
  <c r="BD35" i="1"/>
  <c r="BF35" i="1"/>
  <c r="BG35" i="1"/>
  <c r="AT36" i="1"/>
  <c r="AU36" i="1"/>
  <c r="AW36" i="1"/>
  <c r="AX36" i="1"/>
  <c r="AZ36" i="1"/>
  <c r="BA36" i="1"/>
  <c r="BC36" i="1"/>
  <c r="BD36" i="1"/>
  <c r="BF36" i="1"/>
  <c r="BG36" i="1"/>
  <c r="AT37" i="1"/>
  <c r="AU37" i="1"/>
  <c r="AW37" i="1"/>
  <c r="AX37" i="1"/>
  <c r="AZ37" i="1"/>
  <c r="BA37" i="1"/>
  <c r="BC37" i="1"/>
  <c r="BD37" i="1"/>
  <c r="BF37" i="1"/>
  <c r="BG37" i="1"/>
  <c r="AT38" i="1"/>
  <c r="AU38" i="1"/>
  <c r="AW38" i="1"/>
  <c r="AX38" i="1"/>
  <c r="AZ38" i="1"/>
  <c r="BA38" i="1"/>
  <c r="BC38" i="1"/>
  <c r="BD38" i="1"/>
  <c r="BF38" i="1"/>
  <c r="BG38" i="1"/>
  <c r="AT39" i="1"/>
  <c r="AU39" i="1"/>
  <c r="AW39" i="1"/>
  <c r="AX39" i="1"/>
  <c r="AZ39" i="1"/>
  <c r="BA39" i="1"/>
  <c r="BC39" i="1"/>
  <c r="BD39" i="1"/>
  <c r="BF39" i="1"/>
  <c r="BG39" i="1"/>
  <c r="AT40" i="1"/>
  <c r="AU40" i="1"/>
  <c r="AW40" i="1"/>
  <c r="AX40" i="1"/>
  <c r="AZ40" i="1"/>
  <c r="BA40" i="1"/>
  <c r="BC40" i="1"/>
  <c r="BD40" i="1"/>
  <c r="BF40" i="1"/>
  <c r="BG40" i="1"/>
  <c r="BG16" i="1"/>
  <c r="BF16" i="1"/>
  <c r="BG15" i="1"/>
  <c r="BF15" i="1"/>
  <c r="BG14" i="1"/>
  <c r="BF14" i="1"/>
  <c r="BG13" i="1"/>
  <c r="BF13" i="1"/>
  <c r="BG12" i="1"/>
  <c r="BF12" i="1"/>
  <c r="BG11" i="1"/>
  <c r="BF11" i="1"/>
  <c r="BG10" i="1"/>
  <c r="BF10" i="1"/>
  <c r="BG9" i="1"/>
  <c r="BF9" i="1"/>
  <c r="AT9" i="1"/>
  <c r="AU9" i="1"/>
  <c r="AT10" i="1"/>
  <c r="AU10" i="1"/>
  <c r="AT11" i="1"/>
  <c r="AU11" i="1"/>
  <c r="AT12" i="1"/>
  <c r="AU12" i="1"/>
  <c r="AT13" i="1"/>
  <c r="AU13" i="1"/>
  <c r="AT14" i="1"/>
  <c r="AU14" i="1"/>
  <c r="AT15" i="1"/>
  <c r="AU15" i="1"/>
  <c r="AT16" i="1"/>
  <c r="AU16" i="1"/>
  <c r="AW9" i="1"/>
  <c r="AX9" i="1"/>
  <c r="AZ9" i="1"/>
  <c r="BA9" i="1"/>
  <c r="AW10" i="1"/>
  <c r="AX10" i="1"/>
  <c r="AZ10" i="1"/>
  <c r="BA10" i="1"/>
  <c r="AW11" i="1"/>
  <c r="AX11" i="1"/>
  <c r="AZ11" i="1"/>
  <c r="BA11" i="1"/>
  <c r="AW12" i="1"/>
  <c r="AX12" i="1"/>
  <c r="AZ12" i="1"/>
  <c r="BA12" i="1"/>
  <c r="AW13" i="1"/>
  <c r="AX13" i="1"/>
  <c r="AZ13" i="1"/>
  <c r="BA13" i="1"/>
  <c r="AW14" i="1"/>
  <c r="AX14" i="1"/>
  <c r="AZ14" i="1"/>
  <c r="BA14" i="1"/>
  <c r="AW15" i="1"/>
  <c r="AX15" i="1"/>
  <c r="AZ15" i="1"/>
  <c r="BA15" i="1"/>
  <c r="AW16" i="1"/>
  <c r="AX16" i="1"/>
  <c r="AZ16" i="1"/>
  <c r="BA16" i="1"/>
  <c r="BC15" i="1"/>
  <c r="BD15" i="1"/>
  <c r="BC16" i="1"/>
  <c r="BD16" i="1"/>
  <c r="BC9" i="1" l="1"/>
  <c r="BD9" i="1"/>
  <c r="BC10" i="1"/>
  <c r="BD10" i="1"/>
  <c r="BC11" i="1"/>
  <c r="BD11" i="1"/>
  <c r="BC12" i="1"/>
  <c r="BD12" i="1"/>
  <c r="BC13" i="1"/>
  <c r="BD13" i="1"/>
  <c r="BC14" i="1"/>
  <c r="BD14" i="1"/>
</calcChain>
</file>

<file path=xl/sharedStrings.xml><?xml version="1.0" encoding="utf-8"?>
<sst xmlns="http://schemas.openxmlformats.org/spreadsheetml/2006/main" count="954" uniqueCount="69">
  <si>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</si>
  <si>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</si>
  <si>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</si>
  <si>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</si>
  <si>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</si>
  <si>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</si>
  <si>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</si>
  <si>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</si>
  <si>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</si>
  <si>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</si>
  <si>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</si>
  <si>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</si>
  <si>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</si>
  <si>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</si>
  <si>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</si>
  <si>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</si>
  <si>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</si>
  <si>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</si>
  <si>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</si>
  <si>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</si>
  <si>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</si>
  <si>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</si>
  <si>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</si>
  <si>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</si>
  <si>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</si>
  <si>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</si>
  <si>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</si>
  <si>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</si>
  <si>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</si>
  <si>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</si>
  <si>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</si>
  <si>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</si>
  <si>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</si>
  <si>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2026 ranged CAL Measured headspace CH4  in ppm from GC in ppm</t>
  </si>
  <si>
    <t>2026 CAL Measured headspace CO2 in ppm from GC in ppm</t>
  </si>
  <si>
    <t>FMI20260616_001.gcd</t>
  </si>
  <si>
    <t>zero air</t>
  </si>
  <si>
    <t>FMI20260616_002.gcd</t>
  </si>
  <si>
    <t>FMI20260616_003.gcd</t>
  </si>
  <si>
    <t>FMI20260616_004.gcd</t>
  </si>
  <si>
    <t>FMI20260616_005.gcd</t>
  </si>
  <si>
    <t>FMI20260616_006.gcd</t>
  </si>
  <si>
    <t>FMI20260616_007.gcd</t>
  </si>
  <si>
    <t>FMI20260616_008.gcd</t>
  </si>
  <si>
    <t>FMI20260616_009.gcd</t>
  </si>
  <si>
    <t>FMI20260616_010.gcd</t>
  </si>
  <si>
    <t>FMI20260616_011.gcd</t>
  </si>
  <si>
    <t>FMI20260616_012.gcd</t>
  </si>
  <si>
    <t>FMI20260616_013.gcd</t>
  </si>
  <si>
    <t>FMI20260616_014.gcd</t>
  </si>
  <si>
    <t>FMI20260616_015.gcd</t>
  </si>
  <si>
    <t>FMI20260616_016.gcd</t>
  </si>
  <si>
    <t>FMI20260616_017.gcd</t>
  </si>
  <si>
    <t>FMI20260616_018.gcd</t>
  </si>
  <si>
    <t>FMI20260616_019.gcd</t>
  </si>
  <si>
    <t>FMI20260616_020.gcd</t>
  </si>
  <si>
    <t>FMI20260616_021.gcd</t>
  </si>
  <si>
    <t>FMI20260616_022.gcd</t>
  </si>
  <si>
    <t>FMI20260616_023.gcd</t>
  </si>
  <si>
    <t>FMI20260616_024.gcd</t>
  </si>
  <si>
    <t>FMI20260616_025.gcd</t>
  </si>
  <si>
    <t>FMI20260616_026.gcd</t>
  </si>
  <si>
    <t>FMI20260616_027.gcd</t>
  </si>
  <si>
    <t>FMI20260616_028.gcd</t>
  </si>
  <si>
    <t>FMI20260616_029.gcd</t>
  </si>
  <si>
    <t>FMI20260616_030.gcd</t>
  </si>
  <si>
    <t>FMI20260616_031.gcd</t>
  </si>
  <si>
    <t>FMI20260616_032.gcd</t>
  </si>
  <si>
    <t>bubble in vial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</si>
</sst>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99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3" borderId="0" xfId="0" applyNumberFormat="1" applyFill="1"/>
    <xf numFmtId="3" fontId="0" fillId="33" borderId="0" xfId="0" applyNumberFormat="1" applyFill="1"/>
    <xf numFmtId="2" fontId="0" fillId="34" borderId="0" xfId="0" applyNumberFormat="1" applyFill="1"/>
    <xf numFmtId="3" fontId="0" fillId="34" borderId="0" xfId="0" applyNumberFormat="1" applyFill="1"/>
    <xf numFmtId="4" fontId="0" fillId="0" borderId="0" xfId="0" applyNumberFormat="1"/>
    <xf numFmtId="2" fontId="0" fillId="35" borderId="0" xfId="0" applyNumberFormat="1" applyFill="1"/>
    <xf numFmtId="3" fontId="0" fillId="35" borderId="0" xfId="0" applyNumberFormat="1" applyFill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999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topLeftCell="AE6" workbookViewId="0">
      <selection activeCell="AQ27" sqref="AQ27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7265625" customWidth="1"/>
    <col min="46" max="47" width="10.1796875" customWidth="1"/>
    <col min="49" max="50" width="10.1796875" customWidth="1"/>
    <col min="52" max="53" width="10.1796875" customWidth="1"/>
    <col min="54" max="54" width="8.7265625" style="7"/>
    <col min="55" max="56" width="10.1796875" customWidth="1"/>
    <col min="58" max="59" width="10.179687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27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22</v>
      </c>
      <c r="AX8" s="5" t="s">
        <v>23</v>
      </c>
      <c r="AZ8" s="5" t="s">
        <v>25</v>
      </c>
      <c r="BA8" s="5" t="s">
        <v>30</v>
      </c>
      <c r="BB8" s="6"/>
      <c r="BC8" s="5" t="s">
        <v>28</v>
      </c>
      <c r="BD8" s="5" t="s">
        <v>29</v>
      </c>
      <c r="BE8" s="5"/>
      <c r="BF8" s="5" t="s">
        <v>33</v>
      </c>
      <c r="BG8" s="5" t="s">
        <v>34</v>
      </c>
      <c r="BH8" s="5"/>
      <c r="BI8" s="6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35</v>
      </c>
      <c r="C9" s="2">
        <v>46189.53297453704</v>
      </c>
      <c r="D9" t="s">
        <v>36</v>
      </c>
      <c r="E9" t="s">
        <v>13</v>
      </c>
      <c r="F9">
        <v>0</v>
      </c>
      <c r="G9">
        <v>6.1280000000000001</v>
      </c>
      <c r="H9" s="3">
        <v>801</v>
      </c>
      <c r="I9">
        <v>2E-3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35</v>
      </c>
      <c r="Q9" s="2">
        <v>46189.53297453704</v>
      </c>
      <c r="R9" t="s">
        <v>36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35</v>
      </c>
      <c r="AE9" s="2">
        <v>46189.53297453704</v>
      </c>
      <c r="AF9" t="s">
        <v>36</v>
      </c>
      <c r="AG9" t="s">
        <v>13</v>
      </c>
      <c r="AH9">
        <v>0</v>
      </c>
      <c r="AI9" t="s">
        <v>14</v>
      </c>
      <c r="AJ9" s="3" t="s">
        <v>14</v>
      </c>
      <c r="AK9" t="s">
        <v>14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8">
        <v>45</v>
      </c>
      <c r="AT9" s="16">
        <f t="shared" ref="AT9:AT29" si="0">IF($H9&lt;10000,(($H9^2*-0.000000003714)+($H9*0.002605)+(1.389)),(IF($H9&lt;200000,(($H9^2*-0.0000000003764)+($H9*0.00218)+(3.158)),(IF($H9&lt;8000000,(($H9^2*-0.000000000004719)+($H9*0.001816)+(146.1)),(($V9^2*0.000000002578)+($V9*0.2173)+(2294)))))))</f>
        <v>3.4732220938860001</v>
      </c>
      <c r="AU9" s="17" t="e">
        <f t="shared" ref="AU9:AU29" si="1">IF($AJ9&lt;45000,((0.00000003579*$AJ9^2)+(0.1857*$AJ9)+(44.75)),((0.0000000022829*$AJ9^2)+(0.1634*$AJ9)+(1620)))</f>
        <v>#VALUE!</v>
      </c>
      <c r="AW9" s="9">
        <f t="shared" ref="AW9:AW14" si="2">IF(H9&lt;10000,((H9^2*0.00000054)+(H9*-0.004765)+(12.72)),(IF(H9&lt;200000,((H9^2*-0.000000001577)+(H9*0.003043)+(-10.42)),(IF(H9&lt;8000000,((H9^2*-0.0000000000186)+(H9*0.00194)+(154.1)),((V9^2*-0.00000002)+(V9*0.2565)+(-1032)))))))</f>
        <v>9.2496995399999999</v>
      </c>
      <c r="AX9" s="10" t="e">
        <f t="shared" ref="AX9:AX14" si="3">IF(AJ9&lt;45000,((-0.0000004561*AJ9^2)+(0.244*AJ9)+(-21.72)),((-0.0000000409*AJ9^2)+(0.2477*AJ9)+(-1777)))</f>
        <v>#VALUE!</v>
      </c>
      <c r="AZ9" s="11">
        <f t="shared" ref="AZ9:AZ14" si="4">IF(H9&lt;10000,((H9^2*0.00000005714)+(H9*0.002453)+(-3.811)),(IF(H9&lt;200000,((H9^2*-0.0000000002888)+(H9*0.002899)+(-4.321)),(IF(H9&lt;8000000,((H9^2*-0.0000000000062)+(H9*0.002143)+(157)),((V9^2*-0.000000031)+(V9*0.2771)+(-709.5)))))))</f>
        <v>-1.8094859188600001</v>
      </c>
      <c r="BA9" s="12" t="e">
        <f t="shared" ref="BA9:BA14" si="5">IF(AJ9&lt;45000,((-0.0000000598*AJ9^2)+(0.205*AJ9)+(34.1)),((-0.00000002403*AJ9^2)+(0.2063*AJ9)+(-550.7)))</f>
        <v>#VALUE!</v>
      </c>
      <c r="BC9" s="14">
        <f t="shared" ref="BC9:BC14" si="6">IF(H9&lt;10000,((H9^2*0.000000008493)+(H9*0.003482)+(-3.269)),(IF(H9&lt;200000,((H9^2*-0.000000000263)+(H9*0.002682)+(3.179)),(IF(H9&lt;8000000,((H9^2*-0.000000000005099)+(H9*0.002054)+(174.8)),((V9^2*-0.00000001014)+(V9*0.2415)+(1123)))))))</f>
        <v>-0.47446888270700027</v>
      </c>
      <c r="BD9" s="15" t="e">
        <f t="shared" ref="BD9:BD14" si="7">IF(AJ9&lt;45000,((-0.00000004907*AJ9^2)+(0.2277*AJ9)+(-134)),((-0.00000001062*AJ9^2)+(0.2147*AJ9)+(590.6)))</f>
        <v>#VALUE!</v>
      </c>
      <c r="BF9" s="16">
        <f t="shared" ref="BF9:BF29" si="8">IF($H9&lt;10000,(($H9^2*-0.000000003714)+($H9*0.002605)+(1.389)),(IF($H9&lt;200000,(($H9^2*-0.0000000003764)+($H9*0.00218)+(3.158)),(IF($H9&lt;8000000,(($H9^2*-0.000000000004719)+($H9*0.001816)+(146.1)),(($V9^2*0.000000002578)+($V9*0.2173)+(2294)))))))</f>
        <v>3.4732220938860001</v>
      </c>
      <c r="BG9" s="17" t="e">
        <f t="shared" ref="BG9:BG29" si="9">IF($AJ9&lt;45000,((0.00000003579*$AJ9^2)+(0.1857*$AJ9)+(44.75)),((0.0000000022829*$AJ9^2)+(0.1634*$AJ9)+(1620)))</f>
        <v>#VALUE!</v>
      </c>
      <c r="BI9">
        <v>45</v>
      </c>
      <c r="BJ9" t="s">
        <v>35</v>
      </c>
      <c r="BK9" s="2">
        <v>46189.53297453704</v>
      </c>
      <c r="BL9" t="s">
        <v>36</v>
      </c>
      <c r="BM9" t="s">
        <v>13</v>
      </c>
      <c r="BN9">
        <v>0</v>
      </c>
      <c r="BO9">
        <v>2.7240000000000002</v>
      </c>
      <c r="BP9" s="3">
        <v>5114634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37</v>
      </c>
      <c r="C10" s="2">
        <v>46189.554212962961</v>
      </c>
      <c r="D10" t="s">
        <v>36</v>
      </c>
      <c r="E10" t="s">
        <v>13</v>
      </c>
      <c r="F10">
        <v>0</v>
      </c>
      <c r="G10">
        <v>6.1219999999999999</v>
      </c>
      <c r="H10" s="3">
        <v>1041</v>
      </c>
      <c r="I10">
        <v>2E-3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37</v>
      </c>
      <c r="Q10" s="2">
        <v>46189.554212962961</v>
      </c>
      <c r="R10" t="s">
        <v>36</v>
      </c>
      <c r="S10" t="s">
        <v>13</v>
      </c>
      <c r="T10">
        <v>0</v>
      </c>
      <c r="U10" t="s">
        <v>14</v>
      </c>
      <c r="V10" s="3" t="s">
        <v>14</v>
      </c>
      <c r="W10" t="s">
        <v>14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37</v>
      </c>
      <c r="AE10" s="2">
        <v>46189.554212962961</v>
      </c>
      <c r="AF10" t="s">
        <v>36</v>
      </c>
      <c r="AG10" t="s">
        <v>13</v>
      </c>
      <c r="AH10">
        <v>0</v>
      </c>
      <c r="AI10" t="s">
        <v>14</v>
      </c>
      <c r="AJ10" s="3" t="s">
        <v>14</v>
      </c>
      <c r="AK10" t="s">
        <v>14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8">
        <v>46</v>
      </c>
      <c r="AT10" s="16">
        <f t="shared" si="0"/>
        <v>4.0967802087659999</v>
      </c>
      <c r="AU10" s="17" t="e">
        <f t="shared" si="1"/>
        <v>#VALUE!</v>
      </c>
      <c r="AW10" s="9">
        <f t="shared" si="2"/>
        <v>8.3448227400000015</v>
      </c>
      <c r="AX10" s="10" t="e">
        <f t="shared" si="3"/>
        <v>#VALUE!</v>
      </c>
      <c r="AZ10" s="11">
        <f t="shared" si="4"/>
        <v>-1.1955054676599999</v>
      </c>
      <c r="BA10" s="12" t="e">
        <f t="shared" si="5"/>
        <v>#VALUE!</v>
      </c>
      <c r="BC10" s="14">
        <f t="shared" si="6"/>
        <v>0.364965702733</v>
      </c>
      <c r="BD10" s="15" t="e">
        <f t="shared" si="7"/>
        <v>#VALUE!</v>
      </c>
      <c r="BF10" s="16">
        <f t="shared" si="8"/>
        <v>4.0967802087659999</v>
      </c>
      <c r="BG10" s="17" t="e">
        <f t="shared" si="9"/>
        <v>#VALUE!</v>
      </c>
      <c r="BI10">
        <v>46</v>
      </c>
      <c r="BJ10" t="s">
        <v>37</v>
      </c>
      <c r="BK10" s="2">
        <v>46189.554212962961</v>
      </c>
      <c r="BL10" t="s">
        <v>36</v>
      </c>
      <c r="BM10" t="s">
        <v>13</v>
      </c>
      <c r="BN10">
        <v>0</v>
      </c>
      <c r="BO10">
        <v>2.7210000000000001</v>
      </c>
      <c r="BP10" s="3">
        <v>5133821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47</v>
      </c>
      <c r="B11" t="s">
        <v>38</v>
      </c>
      <c r="C11" s="2">
        <v>46189.575428240743</v>
      </c>
      <c r="D11" t="s">
        <v>36</v>
      </c>
      <c r="E11" t="s">
        <v>13</v>
      </c>
      <c r="F11">
        <v>0</v>
      </c>
      <c r="G11">
        <v>6.13</v>
      </c>
      <c r="H11" s="3">
        <v>860</v>
      </c>
      <c r="I11">
        <v>2E-3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38</v>
      </c>
      <c r="Q11" s="2">
        <v>46189.575428240743</v>
      </c>
      <c r="R11" t="s">
        <v>36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38</v>
      </c>
      <c r="AE11" s="2">
        <v>46189.575428240743</v>
      </c>
      <c r="AF11" t="s">
        <v>36</v>
      </c>
      <c r="AG11" t="s">
        <v>13</v>
      </c>
      <c r="AH11">
        <v>0</v>
      </c>
      <c r="AI11" t="s">
        <v>14</v>
      </c>
      <c r="AJ11" s="3" t="s">
        <v>14</v>
      </c>
      <c r="AK11" t="s">
        <v>14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8">
        <v>47</v>
      </c>
      <c r="AT11" s="16">
        <f t="shared" si="0"/>
        <v>3.6265531256000001</v>
      </c>
      <c r="AU11" s="17" t="e">
        <f t="shared" si="1"/>
        <v>#VALUE!</v>
      </c>
      <c r="AW11" s="9">
        <f t="shared" si="2"/>
        <v>9.0214840000000009</v>
      </c>
      <c r="AX11" s="10" t="e">
        <f t="shared" si="3"/>
        <v>#VALUE!</v>
      </c>
      <c r="AZ11" s="11">
        <f t="shared" si="4"/>
        <v>-1.6591592560000001</v>
      </c>
      <c r="BA11" s="12" t="e">
        <f t="shared" si="5"/>
        <v>#VALUE!</v>
      </c>
      <c r="BC11" s="14">
        <f t="shared" si="6"/>
        <v>-0.26819857720000018</v>
      </c>
      <c r="BD11" s="15" t="e">
        <f t="shared" si="7"/>
        <v>#VALUE!</v>
      </c>
      <c r="BF11" s="16">
        <f t="shared" si="8"/>
        <v>3.6265531256000001</v>
      </c>
      <c r="BG11" s="17" t="e">
        <f t="shared" si="9"/>
        <v>#VALUE!</v>
      </c>
      <c r="BI11">
        <v>47</v>
      </c>
      <c r="BJ11" t="s">
        <v>38</v>
      </c>
      <c r="BK11" s="2">
        <v>46189.575428240743</v>
      </c>
      <c r="BL11" t="s">
        <v>36</v>
      </c>
      <c r="BM11" t="s">
        <v>13</v>
      </c>
      <c r="BN11">
        <v>0</v>
      </c>
      <c r="BO11">
        <v>2.7349999999999999</v>
      </c>
      <c r="BP11" s="3">
        <v>4955342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48</v>
      </c>
      <c r="B12" t="s">
        <v>39</v>
      </c>
      <c r="C12" s="2">
        <v>46189.596643518518</v>
      </c>
      <c r="D12" t="s">
        <v>36</v>
      </c>
      <c r="E12" t="s">
        <v>13</v>
      </c>
      <c r="F12">
        <v>0</v>
      </c>
      <c r="G12">
        <v>6.1379999999999999</v>
      </c>
      <c r="H12" s="3">
        <v>903</v>
      </c>
      <c r="I12">
        <v>2E-3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39</v>
      </c>
      <c r="Q12" s="2">
        <v>46189.596643518518</v>
      </c>
      <c r="R12" t="s">
        <v>36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39</v>
      </c>
      <c r="AE12" s="2">
        <v>46189.596643518518</v>
      </c>
      <c r="AF12" t="s">
        <v>36</v>
      </c>
      <c r="AG12" t="s">
        <v>13</v>
      </c>
      <c r="AH12">
        <v>0</v>
      </c>
      <c r="AI12" t="s">
        <v>14</v>
      </c>
      <c r="AJ12" s="3" t="s">
        <v>14</v>
      </c>
      <c r="AK12" t="s">
        <v>14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8">
        <v>48</v>
      </c>
      <c r="AT12" s="16">
        <f t="shared" si="0"/>
        <v>3.7382865709740001</v>
      </c>
      <c r="AU12" s="17" t="e">
        <f t="shared" si="1"/>
        <v>#VALUE!</v>
      </c>
      <c r="AW12" s="9">
        <f t="shared" si="2"/>
        <v>8.8575258600000009</v>
      </c>
      <c r="AX12" s="10" t="e">
        <f t="shared" si="3"/>
        <v>#VALUE!</v>
      </c>
      <c r="AZ12" s="11">
        <f t="shared" si="4"/>
        <v>-1.54934852974</v>
      </c>
      <c r="BA12" s="12" t="e">
        <f t="shared" si="5"/>
        <v>#VALUE!</v>
      </c>
      <c r="BC12" s="14">
        <f t="shared" si="6"/>
        <v>-0.11782873136300021</v>
      </c>
      <c r="BD12" s="15" t="e">
        <f t="shared" si="7"/>
        <v>#VALUE!</v>
      </c>
      <c r="BF12" s="16">
        <f t="shared" si="8"/>
        <v>3.7382865709740001</v>
      </c>
      <c r="BG12" s="17" t="e">
        <f t="shared" si="9"/>
        <v>#VALUE!</v>
      </c>
      <c r="BI12">
        <v>48</v>
      </c>
      <c r="BJ12" t="s">
        <v>39</v>
      </c>
      <c r="BK12" s="2">
        <v>46189.596643518518</v>
      </c>
      <c r="BL12" t="s">
        <v>36</v>
      </c>
      <c r="BM12" t="s">
        <v>13</v>
      </c>
      <c r="BN12">
        <v>0</v>
      </c>
      <c r="BO12">
        <v>2.7320000000000002</v>
      </c>
      <c r="BP12" s="3">
        <v>5012291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49</v>
      </c>
      <c r="B13" t="s">
        <v>40</v>
      </c>
      <c r="C13" s="2">
        <v>46189.61787037037</v>
      </c>
      <c r="D13" t="s">
        <v>36</v>
      </c>
      <c r="E13" t="s">
        <v>13</v>
      </c>
      <c r="F13">
        <v>0</v>
      </c>
      <c r="G13">
        <v>6.1040000000000001</v>
      </c>
      <c r="H13" s="3">
        <v>741</v>
      </c>
      <c r="I13">
        <v>2E-3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40</v>
      </c>
      <c r="Q13" s="2">
        <v>46189.61787037037</v>
      </c>
      <c r="R13" t="s">
        <v>36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40</v>
      </c>
      <c r="AE13" s="2">
        <v>46189.61787037037</v>
      </c>
      <c r="AF13" t="s">
        <v>36</v>
      </c>
      <c r="AG13" t="s">
        <v>13</v>
      </c>
      <c r="AH13">
        <v>0</v>
      </c>
      <c r="AI13" t="s">
        <v>14</v>
      </c>
      <c r="AJ13" s="3" t="s">
        <v>14</v>
      </c>
      <c r="AK13" t="s">
        <v>14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8">
        <v>49</v>
      </c>
      <c r="AT13" s="16">
        <f t="shared" si="0"/>
        <v>3.3172657131659999</v>
      </c>
      <c r="AU13" s="17" t="e">
        <f t="shared" si="1"/>
        <v>#VALUE!</v>
      </c>
      <c r="AW13" s="9">
        <f t="shared" si="2"/>
        <v>9.4856387400000006</v>
      </c>
      <c r="AX13" s="10" t="e">
        <f t="shared" si="3"/>
        <v>#VALUE!</v>
      </c>
      <c r="AZ13" s="11">
        <f t="shared" si="4"/>
        <v>-1.9619525116600001</v>
      </c>
      <c r="BA13" s="12" t="e">
        <f t="shared" si="5"/>
        <v>#VALUE!</v>
      </c>
      <c r="BC13" s="14">
        <f t="shared" si="6"/>
        <v>-0.68417465506700026</v>
      </c>
      <c r="BD13" s="15" t="e">
        <f t="shared" si="7"/>
        <v>#VALUE!</v>
      </c>
      <c r="BF13" s="16">
        <f t="shared" si="8"/>
        <v>3.3172657131659999</v>
      </c>
      <c r="BG13" s="17" t="e">
        <f t="shared" si="9"/>
        <v>#VALUE!</v>
      </c>
      <c r="BI13">
        <v>49</v>
      </c>
      <c r="BJ13" t="s">
        <v>40</v>
      </c>
      <c r="BK13" s="2">
        <v>46189.61787037037</v>
      </c>
      <c r="BL13" t="s">
        <v>36</v>
      </c>
      <c r="BM13" t="s">
        <v>13</v>
      </c>
      <c r="BN13">
        <v>0</v>
      </c>
      <c r="BO13">
        <v>2.7349999999999999</v>
      </c>
      <c r="BP13" s="3">
        <v>4926119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50</v>
      </c>
      <c r="B14" t="s">
        <v>41</v>
      </c>
      <c r="C14" s="2">
        <v>46189.639108796298</v>
      </c>
      <c r="D14" t="s">
        <v>31</v>
      </c>
      <c r="E14" t="s">
        <v>13</v>
      </c>
      <c r="F14">
        <v>0</v>
      </c>
      <c r="G14">
        <v>6.0869999999999997</v>
      </c>
      <c r="H14" s="3">
        <v>1346</v>
      </c>
      <c r="I14">
        <v>3.0000000000000001E-3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41</v>
      </c>
      <c r="Q14" s="2">
        <v>46189.639108796298</v>
      </c>
      <c r="R14" t="s">
        <v>31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41</v>
      </c>
      <c r="AE14" s="2">
        <v>46189.639108796298</v>
      </c>
      <c r="AF14" t="s">
        <v>31</v>
      </c>
      <c r="AG14" t="s">
        <v>13</v>
      </c>
      <c r="AH14">
        <v>0</v>
      </c>
      <c r="AI14">
        <v>12.355</v>
      </c>
      <c r="AJ14" s="3">
        <v>1871</v>
      </c>
      <c r="AK14">
        <v>0.41199999999999998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8">
        <v>50</v>
      </c>
      <c r="AT14" s="16">
        <f t="shared" si="0"/>
        <v>4.8886012867759998</v>
      </c>
      <c r="AU14" s="17">
        <f t="shared" si="1"/>
        <v>392.31998794139002</v>
      </c>
      <c r="AW14" s="9">
        <f t="shared" si="2"/>
        <v>7.2846366400000004</v>
      </c>
      <c r="AX14" s="10">
        <f t="shared" si="3"/>
        <v>433.20735763990001</v>
      </c>
      <c r="AZ14" s="11">
        <f t="shared" si="4"/>
        <v>-0.40574054776000024</v>
      </c>
      <c r="BA14" s="12">
        <f t="shared" si="5"/>
        <v>417.44566166819999</v>
      </c>
      <c r="BC14" s="14">
        <f t="shared" si="6"/>
        <v>1.4331589039879997</v>
      </c>
      <c r="BD14" s="15">
        <f t="shared" si="7"/>
        <v>291.85492354613001</v>
      </c>
      <c r="BF14" s="16">
        <f t="shared" si="8"/>
        <v>4.8886012867759998</v>
      </c>
      <c r="BG14" s="17">
        <f t="shared" si="9"/>
        <v>392.31998794139002</v>
      </c>
      <c r="BI14">
        <v>50</v>
      </c>
      <c r="BJ14" t="s">
        <v>41</v>
      </c>
      <c r="BK14" s="2">
        <v>46189.639108796298</v>
      </c>
      <c r="BL14" t="s">
        <v>31</v>
      </c>
      <c r="BM14" t="s">
        <v>13</v>
      </c>
      <c r="BN14">
        <v>0</v>
      </c>
      <c r="BO14">
        <v>2.7370000000000001</v>
      </c>
      <c r="BP14" s="3">
        <v>4909110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51</v>
      </c>
      <c r="B15" t="s">
        <v>42</v>
      </c>
      <c r="C15" s="2">
        <v>46189.660300925927</v>
      </c>
      <c r="D15" t="s">
        <v>32</v>
      </c>
      <c r="E15" t="s">
        <v>13</v>
      </c>
      <c r="F15">
        <v>0</v>
      </c>
      <c r="G15">
        <v>6.0579999999999998</v>
      </c>
      <c r="H15" s="3">
        <v>683525</v>
      </c>
      <c r="I15">
        <v>1.389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42</v>
      </c>
      <c r="Q15" s="2">
        <v>46189.660300925927</v>
      </c>
      <c r="R15" t="s">
        <v>32</v>
      </c>
      <c r="S15" t="s">
        <v>13</v>
      </c>
      <c r="T15">
        <v>0</v>
      </c>
      <c r="U15">
        <v>6.0090000000000003</v>
      </c>
      <c r="V15" s="3">
        <v>6478</v>
      </c>
      <c r="W15">
        <v>1.627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42</v>
      </c>
      <c r="AE15" s="2">
        <v>46189.660300925927</v>
      </c>
      <c r="AF15" t="s">
        <v>32</v>
      </c>
      <c r="AG15" t="s">
        <v>13</v>
      </c>
      <c r="AH15">
        <v>0</v>
      </c>
      <c r="AI15">
        <v>12.35</v>
      </c>
      <c r="AJ15" s="3">
        <v>7203</v>
      </c>
      <c r="AK15">
        <v>1.323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8">
        <v>51</v>
      </c>
      <c r="AT15" s="16">
        <f t="shared" si="0"/>
        <v>1385.1766528774754</v>
      </c>
      <c r="AU15" s="17">
        <f t="shared" si="1"/>
        <v>1384.2040000501099</v>
      </c>
      <c r="AW15" s="9">
        <f t="shared" ref="AW15:AW16" si="10">IF(H15&lt;10000,((H15^2*0.00000054)+(H15*-0.004765)+(12.72)),(IF(H15&lt;200000,((H15^2*-0.000000001577)+(H15*0.003043)+(-10.42)),(IF(H15&lt;8000000,((H15^2*-0.0000000000186)+(H15*0.00194)+(154.1)),((V15^2*-0.00000002)+(V15*0.2565)+(-1032)))))))</f>
        <v>1471.4484604833751</v>
      </c>
      <c r="AX15" s="10">
        <f t="shared" ref="AX15:AX16" si="11">IF(AJ15&lt;45000,((-0.0000004561*AJ15^2)+(0.244*AJ15)+(-21.72)),((-0.0000000409*AJ15^2)+(0.2477*AJ15)+(-1777)))</f>
        <v>1712.1480683750999</v>
      </c>
      <c r="AZ15" s="11">
        <f t="shared" ref="AZ15:AZ16" si="12">IF(H15&lt;10000,((H15^2*0.00000005714)+(H15*0.002453)+(-3.811)),(IF(H15&lt;200000,((H15^2*-0.0000000002888)+(H15*0.002899)+(-4.321)),(IF(H15&lt;8000000,((H15^2*-0.0000000000062)+(H15*0.002143)+(157)),((V15^2*-0.000000031)+(V15*0.2771)+(-709.5)))))))</f>
        <v>1618.8973951611251</v>
      </c>
      <c r="BA15" s="12">
        <f t="shared" ref="BA15:BA16" si="13">IF(AJ15&lt;45000,((-0.0000000598*AJ15^2)+(0.205*AJ15)+(34.1)),((-0.00000002403*AJ15^2)+(0.2063*AJ15)+(-550.7)))</f>
        <v>1507.6123841018</v>
      </c>
      <c r="BC15" s="14">
        <f t="shared" ref="BC15:BC16" si="14">IF(H15&lt;10000,((H15^2*0.000000008493)+(H15*0.003482)+(-3.269)),(IF(H15&lt;200000,((H15^2*-0.000000000263)+(H15*0.002682)+(3.179)),(IF(H15&lt;8000000,((H15^2*-0.000000000005099)+(H15*0.002054)+(174.8)),((V15^2*-0.00000001014)+(V15*0.2415)+(1123)))))))</f>
        <v>1576.378064435738</v>
      </c>
      <c r="BD15" s="15">
        <f t="shared" ref="BD15:BD16" si="15">IF(AJ15&lt;45000,((-0.00000004907*AJ15^2)+(0.2277*AJ15)+(-134)),((-0.00000001062*AJ15^2)+(0.2147*AJ15)+(590.6)))</f>
        <v>1503.57719093437</v>
      </c>
      <c r="BF15" s="16">
        <f t="shared" si="8"/>
        <v>1385.1766528774754</v>
      </c>
      <c r="BG15" s="17">
        <f t="shared" si="9"/>
        <v>1384.2040000501099</v>
      </c>
      <c r="BI15">
        <v>51</v>
      </c>
      <c r="BJ15" t="s">
        <v>42</v>
      </c>
      <c r="BK15" s="2">
        <v>46189.660300925927</v>
      </c>
      <c r="BL15" t="s">
        <v>32</v>
      </c>
      <c r="BM15" t="s">
        <v>13</v>
      </c>
      <c r="BN15">
        <v>0</v>
      </c>
      <c r="BO15">
        <v>2.7349999999999999</v>
      </c>
      <c r="BP15" s="3">
        <v>4954138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52</v>
      </c>
      <c r="B16" t="s">
        <v>43</v>
      </c>
      <c r="C16" s="2">
        <v>46189.681527777779</v>
      </c>
      <c r="D16" t="s">
        <v>26</v>
      </c>
      <c r="E16" t="s">
        <v>13</v>
      </c>
      <c r="F16">
        <v>0</v>
      </c>
      <c r="G16">
        <v>6.0750000000000002</v>
      </c>
      <c r="H16" s="3">
        <v>2321</v>
      </c>
      <c r="I16">
        <v>5.0000000000000001E-3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43</v>
      </c>
      <c r="Q16" s="2">
        <v>46189.681527777779</v>
      </c>
      <c r="R16" t="s">
        <v>26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43</v>
      </c>
      <c r="AE16" s="2">
        <v>46189.681527777779</v>
      </c>
      <c r="AF16" t="s">
        <v>26</v>
      </c>
      <c r="AG16" t="s">
        <v>13</v>
      </c>
      <c r="AH16">
        <v>0</v>
      </c>
      <c r="AI16">
        <v>12.353999999999999</v>
      </c>
      <c r="AJ16" s="3">
        <v>1437</v>
      </c>
      <c r="AK16">
        <v>0.33800000000000002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8">
        <v>52</v>
      </c>
      <c r="AT16" s="16">
        <f t="shared" si="0"/>
        <v>7.4151975297260009</v>
      </c>
      <c r="AU16" s="17">
        <f t="shared" si="1"/>
        <v>311.67480524051001</v>
      </c>
      <c r="AW16" s="9">
        <f t="shared" si="10"/>
        <v>4.5694371399999998</v>
      </c>
      <c r="AX16" s="10">
        <f t="shared" si="11"/>
        <v>327.96616763910004</v>
      </c>
      <c r="AZ16" s="11">
        <f t="shared" si="12"/>
        <v>2.19022852274</v>
      </c>
      <c r="BA16" s="12">
        <f t="shared" si="13"/>
        <v>328.56151485380002</v>
      </c>
      <c r="BC16" s="14">
        <f t="shared" si="14"/>
        <v>4.8584741392129995</v>
      </c>
      <c r="BD16" s="15">
        <f t="shared" si="15"/>
        <v>193.10357197117003</v>
      </c>
      <c r="BF16" s="16">
        <f t="shared" si="8"/>
        <v>7.4151975297260009</v>
      </c>
      <c r="BG16" s="17">
        <f t="shared" si="9"/>
        <v>311.67480524051001</v>
      </c>
      <c r="BI16">
        <v>52</v>
      </c>
      <c r="BJ16" t="s">
        <v>43</v>
      </c>
      <c r="BK16" s="2">
        <v>46189.681527777779</v>
      </c>
      <c r="BL16" t="s">
        <v>26</v>
      </c>
      <c r="BM16" t="s">
        <v>13</v>
      </c>
      <c r="BN16">
        <v>0</v>
      </c>
      <c r="BO16">
        <v>2.7320000000000002</v>
      </c>
      <c r="BP16" s="3">
        <v>5001075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53</v>
      </c>
      <c r="B17" t="s">
        <v>44</v>
      </c>
      <c r="C17" s="2">
        <v>46189.702743055554</v>
      </c>
      <c r="D17">
        <v>221</v>
      </c>
      <c r="E17" t="s">
        <v>13</v>
      </c>
      <c r="F17">
        <v>0</v>
      </c>
      <c r="G17">
        <v>6.0270000000000001</v>
      </c>
      <c r="H17" s="3">
        <v>9788732</v>
      </c>
      <c r="I17">
        <v>20.347999999999999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44</v>
      </c>
      <c r="Q17" s="2">
        <v>46189.702743055554</v>
      </c>
      <c r="R17">
        <v>221</v>
      </c>
      <c r="S17" t="s">
        <v>13</v>
      </c>
      <c r="T17">
        <v>0</v>
      </c>
      <c r="U17">
        <v>5.9809999999999999</v>
      </c>
      <c r="V17" s="3">
        <v>79939</v>
      </c>
      <c r="W17">
        <v>18.297000000000001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44</v>
      </c>
      <c r="AE17" s="2">
        <v>46189.702743055554</v>
      </c>
      <c r="AF17">
        <v>221</v>
      </c>
      <c r="AG17" t="s">
        <v>13</v>
      </c>
      <c r="AH17">
        <v>0</v>
      </c>
      <c r="AI17">
        <v>12.243</v>
      </c>
      <c r="AJ17" s="3">
        <v>68705</v>
      </c>
      <c r="AK17">
        <v>11.827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8">
        <v>53</v>
      </c>
      <c r="AT17" s="16">
        <f t="shared" si="0"/>
        <v>19681.218748312738</v>
      </c>
      <c r="AU17" s="17">
        <f t="shared" si="1"/>
        <v>12857.173148710372</v>
      </c>
      <c r="AW17" s="9">
        <f t="shared" ref="AW17:AW40" si="16">IF(H17&lt;10000,((H17^2*0.00000054)+(H17*-0.004765)+(12.72)),(IF(H17&lt;200000,((H17^2*-0.000000001577)+(H17*0.003043)+(-10.42)),(IF(H17&lt;8000000,((H17^2*-0.0000000000186)+(H17*0.00194)+(154.1)),((V17^2*-0.00000002)+(V17*0.2565)+(-1032)))))))</f>
        <v>19344.548625580002</v>
      </c>
      <c r="AX17" s="10">
        <f t="shared" ref="AX17:AX40" si="17">IF(AJ17&lt;45000,((-0.0000004561*AJ17^2)+(0.244*AJ17)+(-21.72)),((-0.0000000409*AJ17^2)+(0.2477*AJ17)+(-1777)))</f>
        <v>15048.165079677499</v>
      </c>
      <c r="AZ17" s="11">
        <f t="shared" ref="AZ17:AZ40" si="18">IF(H17&lt;10000,((H17^2*0.00000005714)+(H17*0.002453)+(-3.811)),(IF(H17&lt;200000,((H17^2*-0.0000000002888)+(H17*0.002899)+(-4.321)),(IF(H17&lt;8000000,((H17^2*-0.0000000000062)+(H17*0.002143)+(157)),((V17^2*-0.000000031)+(V17*0.2771)+(-709.5)))))))</f>
        <v>21243.499344649001</v>
      </c>
      <c r="BA17" s="12">
        <f t="shared" ref="BA17:BA40" si="19">IF(AJ17&lt;45000,((-0.0000000598*AJ17^2)+(0.205*AJ17)+(34.1)),((-0.00000002403*AJ17^2)+(0.2063*AJ17)+(-550.7)))</f>
        <v>13509.71084008925</v>
      </c>
      <c r="BC17" s="14">
        <f t="shared" ref="BC17:BC40" si="20">IF(H17&lt;10000,((H17^2*0.000000008493)+(H17*0.003482)+(-3.269)),(IF(H17&lt;200000,((H17^2*-0.000000000263)+(H17*0.002682)+(3.179)),(IF(H17&lt;8000000,((H17^2*-0.000000000005099)+(H17*0.002054)+(174.8)),((V17^2*-0.00000001014)+(V17*0.2415)+(1123)))))))</f>
        <v>20363.471428669058</v>
      </c>
      <c r="BD17" s="15">
        <f t="shared" ref="BD17:BD40" si="21">IF(AJ17&lt;45000,((-0.00000004907*AJ17^2)+(0.2277*AJ17)+(-134)),((-0.00000001062*AJ17^2)+(0.2147*AJ17)+(590.6)))</f>
        <v>15291.4330959945</v>
      </c>
      <c r="BF17" s="16">
        <f t="shared" si="8"/>
        <v>19681.218748312738</v>
      </c>
      <c r="BG17" s="17">
        <f t="shared" si="9"/>
        <v>12857.173148710372</v>
      </c>
      <c r="BI17">
        <v>53</v>
      </c>
      <c r="BJ17" t="s">
        <v>44</v>
      </c>
      <c r="BK17" s="2">
        <v>46189.702743055554</v>
      </c>
      <c r="BL17">
        <v>221</v>
      </c>
      <c r="BM17" t="s">
        <v>13</v>
      </c>
      <c r="BN17">
        <v>0</v>
      </c>
      <c r="BO17">
        <v>2.903</v>
      </c>
      <c r="BP17" s="3">
        <v>517856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54</v>
      </c>
      <c r="B18" t="s">
        <v>45</v>
      </c>
      <c r="C18" s="2">
        <v>46189.723958333336</v>
      </c>
      <c r="D18">
        <v>91</v>
      </c>
      <c r="E18" t="s">
        <v>13</v>
      </c>
      <c r="F18">
        <v>0</v>
      </c>
      <c r="G18">
        <v>6.0510000000000002</v>
      </c>
      <c r="H18" s="3">
        <v>124585</v>
      </c>
      <c r="I18">
        <v>0.253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45</v>
      </c>
      <c r="Q18" s="2">
        <v>46189.723958333336</v>
      </c>
      <c r="R18">
        <v>91</v>
      </c>
      <c r="S18" t="s">
        <v>13</v>
      </c>
      <c r="T18">
        <v>0</v>
      </c>
      <c r="U18">
        <v>6.008</v>
      </c>
      <c r="V18" s="3">
        <v>1292</v>
      </c>
      <c r="W18">
        <v>0.45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45</v>
      </c>
      <c r="AE18" s="2">
        <v>46189.723958333336</v>
      </c>
      <c r="AF18">
        <v>91</v>
      </c>
      <c r="AG18" t="s">
        <v>13</v>
      </c>
      <c r="AH18">
        <v>0</v>
      </c>
      <c r="AI18">
        <v>12.278</v>
      </c>
      <c r="AJ18" s="3">
        <v>30121</v>
      </c>
      <c r="AK18">
        <v>5.2380000000000004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8">
        <v>54</v>
      </c>
      <c r="AT18" s="16">
        <f t="shared" si="0"/>
        <v>268.91103667451</v>
      </c>
      <c r="AU18" s="17">
        <f t="shared" si="1"/>
        <v>5670.6910594013907</v>
      </c>
      <c r="AW18" s="9">
        <f t="shared" si="16"/>
        <v>344.21487215117503</v>
      </c>
      <c r="AX18" s="10">
        <f t="shared" si="17"/>
        <v>6913.9960362398988</v>
      </c>
      <c r="AZ18" s="11">
        <f t="shared" si="18"/>
        <v>352.36832826142</v>
      </c>
      <c r="BA18" s="12">
        <f t="shared" si="19"/>
        <v>6154.6499764681994</v>
      </c>
      <c r="BC18" s="14">
        <f t="shared" si="20"/>
        <v>333.23383595482494</v>
      </c>
      <c r="BD18" s="15">
        <f t="shared" si="21"/>
        <v>6680.0317333661296</v>
      </c>
      <c r="BF18" s="16">
        <f t="shared" si="8"/>
        <v>268.91103667451</v>
      </c>
      <c r="BG18" s="17">
        <f t="shared" si="9"/>
        <v>5670.6910594013907</v>
      </c>
      <c r="BI18">
        <v>54</v>
      </c>
      <c r="BJ18" t="s">
        <v>45</v>
      </c>
      <c r="BK18" s="2">
        <v>46189.723958333336</v>
      </c>
      <c r="BL18">
        <v>91</v>
      </c>
      <c r="BM18" t="s">
        <v>13</v>
      </c>
      <c r="BN18">
        <v>0</v>
      </c>
      <c r="BO18">
        <v>2.8860000000000001</v>
      </c>
      <c r="BP18" s="3">
        <v>709777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55</v>
      </c>
      <c r="B19" t="s">
        <v>46</v>
      </c>
      <c r="C19" s="2">
        <v>46189.745196759257</v>
      </c>
      <c r="D19">
        <v>256</v>
      </c>
      <c r="E19" t="s">
        <v>13</v>
      </c>
      <c r="F19">
        <v>0</v>
      </c>
      <c r="G19">
        <v>6.0529999999999999</v>
      </c>
      <c r="H19" s="3">
        <v>37123</v>
      </c>
      <c r="I19">
        <v>7.4999999999999997E-2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46</v>
      </c>
      <c r="Q19" s="2">
        <v>46189.745196759257</v>
      </c>
      <c r="R19">
        <v>256</v>
      </c>
      <c r="S19" t="s">
        <v>13</v>
      </c>
      <c r="T19">
        <v>0</v>
      </c>
      <c r="U19">
        <v>5.98</v>
      </c>
      <c r="V19" s="3">
        <v>625</v>
      </c>
      <c r="W19">
        <v>0.29799999999999999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46</v>
      </c>
      <c r="AE19" s="2">
        <v>46189.745196759257</v>
      </c>
      <c r="AF19">
        <v>256</v>
      </c>
      <c r="AG19" t="s">
        <v>13</v>
      </c>
      <c r="AH19">
        <v>0</v>
      </c>
      <c r="AI19">
        <v>12.294</v>
      </c>
      <c r="AJ19" s="3">
        <v>516</v>
      </c>
      <c r="AK19">
        <v>0.18099999999999999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8">
        <v>55</v>
      </c>
      <c r="AT19" s="16">
        <f t="shared" si="0"/>
        <v>83.567416712644402</v>
      </c>
      <c r="AU19" s="17">
        <f t="shared" si="1"/>
        <v>140.58072930224</v>
      </c>
      <c r="AW19" s="9">
        <f t="shared" si="16"/>
        <v>100.371998287567</v>
      </c>
      <c r="AX19" s="10">
        <f t="shared" si="17"/>
        <v>104.0625606384</v>
      </c>
      <c r="AZ19" s="11">
        <f t="shared" si="18"/>
        <v>102.90057677314481</v>
      </c>
      <c r="BA19" s="12">
        <f t="shared" si="19"/>
        <v>139.8640778912</v>
      </c>
      <c r="BC19" s="14">
        <f t="shared" si="20"/>
        <v>102.380441195073</v>
      </c>
      <c r="BD19" s="15">
        <f t="shared" si="21"/>
        <v>-16.519865181919997</v>
      </c>
      <c r="BF19" s="16">
        <f t="shared" si="8"/>
        <v>83.567416712644402</v>
      </c>
      <c r="BG19" s="17">
        <f t="shared" si="9"/>
        <v>140.58072930224</v>
      </c>
      <c r="BI19">
        <v>55</v>
      </c>
      <c r="BJ19" t="s">
        <v>46</v>
      </c>
      <c r="BK19" s="2">
        <v>46189.745196759257</v>
      </c>
      <c r="BL19">
        <v>256</v>
      </c>
      <c r="BM19" t="s">
        <v>13</v>
      </c>
      <c r="BN19">
        <v>0</v>
      </c>
      <c r="BO19">
        <v>2.8839999999999999</v>
      </c>
      <c r="BP19" s="3">
        <v>759668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56</v>
      </c>
      <c r="B20" t="s">
        <v>47</v>
      </c>
      <c r="C20" s="2">
        <v>46189.766423611109</v>
      </c>
      <c r="D20">
        <v>403</v>
      </c>
      <c r="E20" t="s">
        <v>13</v>
      </c>
      <c r="F20">
        <v>0</v>
      </c>
      <c r="G20">
        <v>6.06</v>
      </c>
      <c r="H20" s="3">
        <v>41498</v>
      </c>
      <c r="I20">
        <v>8.4000000000000005E-2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47</v>
      </c>
      <c r="Q20" s="2">
        <v>46189.766423611109</v>
      </c>
      <c r="R20">
        <v>403</v>
      </c>
      <c r="S20" t="s">
        <v>13</v>
      </c>
      <c r="T20">
        <v>0</v>
      </c>
      <c r="U20">
        <v>6.0250000000000004</v>
      </c>
      <c r="V20" s="3">
        <v>466</v>
      </c>
      <c r="W20">
        <v>0.26200000000000001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47</v>
      </c>
      <c r="AE20" s="2">
        <v>46189.766423611109</v>
      </c>
      <c r="AF20">
        <v>403</v>
      </c>
      <c r="AG20" t="s">
        <v>13</v>
      </c>
      <c r="AH20">
        <v>0</v>
      </c>
      <c r="AI20">
        <v>12.324999999999999</v>
      </c>
      <c r="AJ20" s="3">
        <v>174</v>
      </c>
      <c r="AK20">
        <v>0.122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8">
        <v>56</v>
      </c>
      <c r="AT20" s="16">
        <f t="shared" si="0"/>
        <v>92.975447580894411</v>
      </c>
      <c r="AU20" s="17">
        <f t="shared" si="1"/>
        <v>77.062883578040001</v>
      </c>
      <c r="AW20" s="9">
        <f t="shared" si="16"/>
        <v>113.14268752569201</v>
      </c>
      <c r="AX20" s="10">
        <f t="shared" si="17"/>
        <v>20.722191116399998</v>
      </c>
      <c r="AZ20" s="11">
        <f t="shared" si="18"/>
        <v>115.48436413964481</v>
      </c>
      <c r="BA20" s="12">
        <f t="shared" si="19"/>
        <v>69.768189495200005</v>
      </c>
      <c r="BC20" s="14">
        <f t="shared" si="20"/>
        <v>114.023727906948</v>
      </c>
      <c r="BD20" s="15">
        <f t="shared" si="21"/>
        <v>-94.381685643319997</v>
      </c>
      <c r="BF20" s="16">
        <f t="shared" si="8"/>
        <v>92.975447580894411</v>
      </c>
      <c r="BG20" s="17">
        <f t="shared" si="9"/>
        <v>77.062883578040001</v>
      </c>
      <c r="BI20">
        <v>56</v>
      </c>
      <c r="BJ20" t="s">
        <v>47</v>
      </c>
      <c r="BK20" s="2">
        <v>46189.766423611109</v>
      </c>
      <c r="BL20">
        <v>403</v>
      </c>
      <c r="BM20" t="s">
        <v>13</v>
      </c>
      <c r="BN20">
        <v>0</v>
      </c>
      <c r="BO20">
        <v>2.891</v>
      </c>
      <c r="BP20" s="3">
        <v>793624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A21">
        <v>57</v>
      </c>
      <c r="B21" t="s">
        <v>48</v>
      </c>
      <c r="C21" s="2">
        <v>46189.787662037037</v>
      </c>
      <c r="D21">
        <v>326</v>
      </c>
      <c r="E21" t="s">
        <v>13</v>
      </c>
      <c r="F21">
        <v>0</v>
      </c>
      <c r="G21">
        <v>6.0830000000000002</v>
      </c>
      <c r="H21" s="3">
        <v>1556</v>
      </c>
      <c r="I21">
        <v>3.0000000000000001E-3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48</v>
      </c>
      <c r="Q21" s="2">
        <v>46189.787662037037</v>
      </c>
      <c r="R21">
        <v>326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48</v>
      </c>
      <c r="AE21" s="2">
        <v>46189.787662037037</v>
      </c>
      <c r="AF21">
        <v>326</v>
      </c>
      <c r="AG21" t="s">
        <v>13</v>
      </c>
      <c r="AH21">
        <v>0</v>
      </c>
      <c r="AI21">
        <v>12.227</v>
      </c>
      <c r="AJ21" s="3">
        <v>89609</v>
      </c>
      <c r="AK21">
        <v>15.396000000000001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8">
        <v>57</v>
      </c>
      <c r="AT21" s="16">
        <f t="shared" si="0"/>
        <v>5.4333879008960002</v>
      </c>
      <c r="AU21" s="17">
        <f t="shared" si="1"/>
        <v>16280.441768510034</v>
      </c>
      <c r="AW21" s="9">
        <f t="shared" si="16"/>
        <v>6.6130734400000009</v>
      </c>
      <c r="AX21" s="10">
        <f t="shared" si="17"/>
        <v>20090.731589167102</v>
      </c>
      <c r="AZ21" s="11">
        <f t="shared" si="18"/>
        <v>0.14421171104000008</v>
      </c>
      <c r="BA21" s="12">
        <f t="shared" si="19"/>
        <v>17742.68125766957</v>
      </c>
      <c r="BC21" s="14">
        <f t="shared" si="20"/>
        <v>2.1695547080479995</v>
      </c>
      <c r="BD21" s="15">
        <f t="shared" si="21"/>
        <v>19744.376112003778</v>
      </c>
      <c r="BF21" s="16">
        <f t="shared" si="8"/>
        <v>5.4333879008960002</v>
      </c>
      <c r="BG21" s="17">
        <f t="shared" si="9"/>
        <v>16280.441768510034</v>
      </c>
      <c r="BI21">
        <v>57</v>
      </c>
      <c r="BJ21" t="s">
        <v>48</v>
      </c>
      <c r="BK21" s="2">
        <v>46189.787662037037</v>
      </c>
      <c r="BL21">
        <v>326</v>
      </c>
      <c r="BM21" t="s">
        <v>13</v>
      </c>
      <c r="BN21">
        <v>0</v>
      </c>
      <c r="BO21">
        <v>2.8809999999999998</v>
      </c>
      <c r="BP21" s="3">
        <v>959411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35">
      <c r="A22">
        <v>58</v>
      </c>
      <c r="B22" t="s">
        <v>49</v>
      </c>
      <c r="C22" s="2">
        <v>46189.808900462966</v>
      </c>
      <c r="D22">
        <v>369</v>
      </c>
      <c r="E22" t="s">
        <v>13</v>
      </c>
      <c r="F22">
        <v>0</v>
      </c>
      <c r="G22">
        <v>6.0640000000000001</v>
      </c>
      <c r="H22" s="3">
        <v>9073</v>
      </c>
      <c r="I22">
        <v>1.9E-2</v>
      </c>
      <c r="J22" t="s">
        <v>14</v>
      </c>
      <c r="K22" t="s">
        <v>14</v>
      </c>
      <c r="L22" t="s">
        <v>14</v>
      </c>
      <c r="M22" t="s">
        <v>14</v>
      </c>
      <c r="O22">
        <v>58</v>
      </c>
      <c r="P22" t="s">
        <v>49</v>
      </c>
      <c r="Q22" s="2">
        <v>46189.808900462966</v>
      </c>
      <c r="R22">
        <v>369</v>
      </c>
      <c r="S22" t="s">
        <v>13</v>
      </c>
      <c r="T22">
        <v>0</v>
      </c>
      <c r="U22" t="s">
        <v>14</v>
      </c>
      <c r="V22" s="3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C22">
        <v>58</v>
      </c>
      <c r="AD22" t="s">
        <v>49</v>
      </c>
      <c r="AE22" s="2">
        <v>46189.808900462966</v>
      </c>
      <c r="AF22">
        <v>369</v>
      </c>
      <c r="AG22" t="s">
        <v>13</v>
      </c>
      <c r="AH22">
        <v>0</v>
      </c>
      <c r="AI22">
        <v>12.252000000000001</v>
      </c>
      <c r="AJ22" s="3">
        <v>71590</v>
      </c>
      <c r="AK22">
        <v>12.32</v>
      </c>
      <c r="AL22" t="s">
        <v>14</v>
      </c>
      <c r="AM22" t="s">
        <v>14</v>
      </c>
      <c r="AN22" t="s">
        <v>14</v>
      </c>
      <c r="AO22" t="s">
        <v>14</v>
      </c>
      <c r="AQ22">
        <v>1</v>
      </c>
      <c r="AS22" s="8">
        <v>58</v>
      </c>
      <c r="AT22" s="16">
        <f t="shared" si="0"/>
        <v>24.718431012094001</v>
      </c>
      <c r="AU22" s="17">
        <f t="shared" si="1"/>
        <v>13329.506154939489</v>
      </c>
      <c r="AW22" s="9">
        <f t="shared" si="16"/>
        <v>13.939592659999997</v>
      </c>
      <c r="AX22" s="10">
        <f t="shared" si="17"/>
        <v>15746.225260710002</v>
      </c>
      <c r="AZ22" s="11">
        <f t="shared" si="18"/>
        <v>23.14879545906</v>
      </c>
      <c r="BA22" s="12">
        <f t="shared" si="19"/>
        <v>14095.160171757001</v>
      </c>
      <c r="BC22" s="14">
        <f t="shared" si="20"/>
        <v>29.022324061196997</v>
      </c>
      <c r="BD22" s="15">
        <f t="shared" si="21"/>
        <v>15906.544139578</v>
      </c>
      <c r="BF22" s="16">
        <f t="shared" si="8"/>
        <v>24.718431012094001</v>
      </c>
      <c r="BG22" s="17">
        <f t="shared" si="9"/>
        <v>13329.506154939489</v>
      </c>
      <c r="BI22">
        <v>58</v>
      </c>
      <c r="BJ22" t="s">
        <v>49</v>
      </c>
      <c r="BK22" s="2">
        <v>46189.808900462966</v>
      </c>
      <c r="BL22">
        <v>369</v>
      </c>
      <c r="BM22" t="s">
        <v>13</v>
      </c>
      <c r="BN22">
        <v>0</v>
      </c>
      <c r="BO22">
        <v>2.895</v>
      </c>
      <c r="BP22" s="3">
        <v>729904</v>
      </c>
      <c r="BQ22">
        <v>0</v>
      </c>
      <c r="BR22" t="s">
        <v>14</v>
      </c>
      <c r="BS22" t="s">
        <v>14</v>
      </c>
      <c r="BT22" t="s">
        <v>14</v>
      </c>
      <c r="BU22" t="s">
        <v>14</v>
      </c>
    </row>
    <row r="23" spans="1:73" x14ac:dyDescent="0.35">
      <c r="A23">
        <v>59</v>
      </c>
      <c r="B23" t="s">
        <v>50</v>
      </c>
      <c r="C23" s="2">
        <v>46189.830127314817</v>
      </c>
      <c r="D23">
        <v>204</v>
      </c>
      <c r="E23" t="s">
        <v>13</v>
      </c>
      <c r="F23">
        <v>0</v>
      </c>
      <c r="G23">
        <v>6.0590000000000002</v>
      </c>
      <c r="H23" s="3">
        <v>111545</v>
      </c>
      <c r="I23">
        <v>0.22600000000000001</v>
      </c>
      <c r="J23" t="s">
        <v>14</v>
      </c>
      <c r="K23" t="s">
        <v>14</v>
      </c>
      <c r="L23" t="s">
        <v>14</v>
      </c>
      <c r="M23" t="s">
        <v>14</v>
      </c>
      <c r="O23">
        <v>59</v>
      </c>
      <c r="P23" t="s">
        <v>50</v>
      </c>
      <c r="Q23" s="2">
        <v>46189.830127314817</v>
      </c>
      <c r="R23">
        <v>204</v>
      </c>
      <c r="S23" t="s">
        <v>13</v>
      </c>
      <c r="T23">
        <v>0</v>
      </c>
      <c r="U23">
        <v>6.0250000000000004</v>
      </c>
      <c r="V23" s="3">
        <v>1044</v>
      </c>
      <c r="W23">
        <v>0.39400000000000002</v>
      </c>
      <c r="X23" t="s">
        <v>14</v>
      </c>
      <c r="Y23" t="s">
        <v>14</v>
      </c>
      <c r="Z23" t="s">
        <v>14</v>
      </c>
      <c r="AA23" t="s">
        <v>14</v>
      </c>
      <c r="AC23">
        <v>59</v>
      </c>
      <c r="AD23" t="s">
        <v>50</v>
      </c>
      <c r="AE23" s="2">
        <v>46189.830127314817</v>
      </c>
      <c r="AF23">
        <v>204</v>
      </c>
      <c r="AG23" t="s">
        <v>13</v>
      </c>
      <c r="AH23">
        <v>0</v>
      </c>
      <c r="AI23">
        <v>12.292999999999999</v>
      </c>
      <c r="AJ23" s="3">
        <v>27017</v>
      </c>
      <c r="AK23">
        <v>4.7080000000000002</v>
      </c>
      <c r="AL23" t="s">
        <v>14</v>
      </c>
      <c r="AM23" t="s">
        <v>14</v>
      </c>
      <c r="AN23" t="s">
        <v>14</v>
      </c>
      <c r="AO23" t="s">
        <v>14</v>
      </c>
      <c r="AQ23">
        <v>1</v>
      </c>
      <c r="AS23" s="8">
        <v>59</v>
      </c>
      <c r="AT23" s="16">
        <f t="shared" si="0"/>
        <v>241.64282316378998</v>
      </c>
      <c r="AU23" s="17">
        <f t="shared" si="1"/>
        <v>5087.9306755633106</v>
      </c>
      <c r="AW23" s="9">
        <f t="shared" si="16"/>
        <v>309.38994836157502</v>
      </c>
      <c r="AX23" s="10">
        <f t="shared" si="17"/>
        <v>6237.5122683870995</v>
      </c>
      <c r="AZ23" s="11">
        <f t="shared" si="18"/>
        <v>315.45462250717998</v>
      </c>
      <c r="BA23" s="12">
        <f t="shared" si="19"/>
        <v>5528.9358863178004</v>
      </c>
      <c r="BC23" s="14">
        <f t="shared" si="20"/>
        <v>299.07036851242492</v>
      </c>
      <c r="BD23" s="15">
        <f t="shared" si="21"/>
        <v>5981.9538095587704</v>
      </c>
      <c r="BF23" s="16">
        <f t="shared" si="8"/>
        <v>241.64282316378998</v>
      </c>
      <c r="BG23" s="17">
        <f t="shared" si="9"/>
        <v>5087.9306755633106</v>
      </c>
      <c r="BI23">
        <v>59</v>
      </c>
      <c r="BJ23" t="s">
        <v>50</v>
      </c>
      <c r="BK23" s="2">
        <v>46189.830127314817</v>
      </c>
      <c r="BL23">
        <v>204</v>
      </c>
      <c r="BM23" t="s">
        <v>13</v>
      </c>
      <c r="BN23">
        <v>0</v>
      </c>
      <c r="BO23">
        <v>2.8919999999999999</v>
      </c>
      <c r="BP23" s="3">
        <v>734473</v>
      </c>
      <c r="BQ23">
        <v>0</v>
      </c>
      <c r="BR23" t="s">
        <v>14</v>
      </c>
      <c r="BS23" t="s">
        <v>14</v>
      </c>
      <c r="BT23" t="s">
        <v>14</v>
      </c>
      <c r="BU23" t="s">
        <v>14</v>
      </c>
    </row>
    <row r="24" spans="1:73" x14ac:dyDescent="0.35">
      <c r="A24">
        <v>60</v>
      </c>
      <c r="B24" t="s">
        <v>51</v>
      </c>
      <c r="C24" s="2">
        <v>46189.851342592592</v>
      </c>
      <c r="D24">
        <v>101</v>
      </c>
      <c r="E24" t="s">
        <v>13</v>
      </c>
      <c r="F24">
        <v>0</v>
      </c>
      <c r="G24">
        <v>6.06</v>
      </c>
      <c r="H24" s="3">
        <v>29762</v>
      </c>
      <c r="I24">
        <v>0.06</v>
      </c>
      <c r="J24" t="s">
        <v>14</v>
      </c>
      <c r="K24" t="s">
        <v>14</v>
      </c>
      <c r="L24" t="s">
        <v>14</v>
      </c>
      <c r="M24" t="s">
        <v>14</v>
      </c>
      <c r="O24">
        <v>60</v>
      </c>
      <c r="P24" t="s">
        <v>51</v>
      </c>
      <c r="Q24" s="2">
        <v>46189.851342592592</v>
      </c>
      <c r="R24">
        <v>101</v>
      </c>
      <c r="S24" t="s">
        <v>13</v>
      </c>
      <c r="T24">
        <v>0</v>
      </c>
      <c r="U24" t="s">
        <v>14</v>
      </c>
      <c r="V24" s="3" t="s">
        <v>14</v>
      </c>
      <c r="W24" t="s">
        <v>14</v>
      </c>
      <c r="X24" t="s">
        <v>14</v>
      </c>
      <c r="Y24" t="s">
        <v>14</v>
      </c>
      <c r="Z24" t="s">
        <v>14</v>
      </c>
      <c r="AA24" t="s">
        <v>14</v>
      </c>
      <c r="AC24">
        <v>60</v>
      </c>
      <c r="AD24" t="s">
        <v>51</v>
      </c>
      <c r="AE24" s="2">
        <v>46189.851342592592</v>
      </c>
      <c r="AF24">
        <v>101</v>
      </c>
      <c r="AG24" t="s">
        <v>13</v>
      </c>
      <c r="AH24">
        <v>0</v>
      </c>
      <c r="AI24">
        <v>12.266</v>
      </c>
      <c r="AJ24" s="3">
        <v>53753</v>
      </c>
      <c r="AK24">
        <v>9.2739999999999991</v>
      </c>
      <c r="AL24" t="s">
        <v>14</v>
      </c>
      <c r="AM24" t="s">
        <v>14</v>
      </c>
      <c r="AN24" t="s">
        <v>14</v>
      </c>
      <c r="AO24" t="s">
        <v>14</v>
      </c>
      <c r="AQ24">
        <v>1</v>
      </c>
      <c r="AS24" s="8">
        <v>60</v>
      </c>
      <c r="AT24" s="16">
        <f t="shared" si="0"/>
        <v>67.705753671198408</v>
      </c>
      <c r="AU24" s="17">
        <f t="shared" si="1"/>
        <v>10409.836377037047</v>
      </c>
      <c r="AW24" s="9">
        <f t="shared" si="16"/>
        <v>78.748896232412008</v>
      </c>
      <c r="AX24" s="10">
        <f t="shared" si="17"/>
        <v>11419.4422531319</v>
      </c>
      <c r="AZ24" s="11">
        <f t="shared" si="18"/>
        <v>81.703225705212802</v>
      </c>
      <c r="BA24" s="12">
        <f t="shared" si="19"/>
        <v>10469.11197823373</v>
      </c>
      <c r="BC24" s="14">
        <f t="shared" si="20"/>
        <v>82.767724742628005</v>
      </c>
      <c r="BD24" s="15">
        <f t="shared" si="21"/>
        <v>12100.68383120442</v>
      </c>
      <c r="BF24" s="16">
        <f t="shared" si="8"/>
        <v>67.705753671198408</v>
      </c>
      <c r="BG24" s="17">
        <f t="shared" si="9"/>
        <v>10409.836377037047</v>
      </c>
      <c r="BI24">
        <v>60</v>
      </c>
      <c r="BJ24" t="s">
        <v>51</v>
      </c>
      <c r="BK24" s="2">
        <v>46189.851342592592</v>
      </c>
      <c r="BL24">
        <v>101</v>
      </c>
      <c r="BM24" t="s">
        <v>13</v>
      </c>
      <c r="BN24">
        <v>0</v>
      </c>
      <c r="BO24">
        <v>2.8759999999999999</v>
      </c>
      <c r="BP24" s="3">
        <v>995424</v>
      </c>
      <c r="BQ24">
        <v>0</v>
      </c>
      <c r="BR24" t="s">
        <v>14</v>
      </c>
      <c r="BS24" t="s">
        <v>14</v>
      </c>
      <c r="BT24" t="s">
        <v>14</v>
      </c>
      <c r="BU24" t="s">
        <v>14</v>
      </c>
    </row>
    <row r="25" spans="1:73" x14ac:dyDescent="0.35">
      <c r="A25">
        <v>61</v>
      </c>
      <c r="B25" t="s">
        <v>52</v>
      </c>
      <c r="C25" s="2">
        <v>46189.872569444444</v>
      </c>
      <c r="D25">
        <v>85</v>
      </c>
      <c r="E25" t="s">
        <v>13</v>
      </c>
      <c r="F25">
        <v>0</v>
      </c>
      <c r="G25">
        <v>6.0819999999999999</v>
      </c>
      <c r="H25" s="3">
        <v>1860</v>
      </c>
      <c r="I25">
        <v>4.0000000000000001E-3</v>
      </c>
      <c r="J25" t="s">
        <v>14</v>
      </c>
      <c r="K25" t="s">
        <v>14</v>
      </c>
      <c r="L25" t="s">
        <v>14</v>
      </c>
      <c r="M25" t="s">
        <v>14</v>
      </c>
      <c r="O25">
        <v>61</v>
      </c>
      <c r="P25" t="s">
        <v>52</v>
      </c>
      <c r="Q25" s="2">
        <v>46189.872569444444</v>
      </c>
      <c r="R25">
        <v>85</v>
      </c>
      <c r="S25" t="s">
        <v>13</v>
      </c>
      <c r="T25">
        <v>0</v>
      </c>
      <c r="U25" t="s">
        <v>14</v>
      </c>
      <c r="V25" t="s">
        <v>14</v>
      </c>
      <c r="W25" t="s">
        <v>14</v>
      </c>
      <c r="X25" t="s">
        <v>14</v>
      </c>
      <c r="Y25" t="s">
        <v>14</v>
      </c>
      <c r="Z25" t="s">
        <v>14</v>
      </c>
      <c r="AA25" t="s">
        <v>14</v>
      </c>
      <c r="AC25">
        <v>61</v>
      </c>
      <c r="AD25" t="s">
        <v>52</v>
      </c>
      <c r="AE25" s="2">
        <v>46189.872569444444</v>
      </c>
      <c r="AF25">
        <v>85</v>
      </c>
      <c r="AG25" t="s">
        <v>13</v>
      </c>
      <c r="AH25">
        <v>0</v>
      </c>
      <c r="AI25">
        <v>12.218</v>
      </c>
      <c r="AJ25" s="3">
        <v>97792</v>
      </c>
      <c r="AK25">
        <v>16.792000000000002</v>
      </c>
      <c r="AL25" t="s">
        <v>14</v>
      </c>
      <c r="AM25" t="s">
        <v>14</v>
      </c>
      <c r="AN25" t="s">
        <v>14</v>
      </c>
      <c r="AO25" t="s">
        <v>14</v>
      </c>
      <c r="AQ25">
        <v>1</v>
      </c>
      <c r="AS25" s="8">
        <v>61</v>
      </c>
      <c r="AT25" s="16">
        <f t="shared" si="0"/>
        <v>6.2214510456000003</v>
      </c>
      <c r="AU25" s="17">
        <f t="shared" si="1"/>
        <v>17621.044801100186</v>
      </c>
      <c r="AW25" s="9">
        <f t="shared" si="16"/>
        <v>5.7252840000000011</v>
      </c>
      <c r="AX25" s="10">
        <f t="shared" si="17"/>
        <v>22054.940441702402</v>
      </c>
      <c r="AZ25" s="11">
        <f t="shared" si="18"/>
        <v>0.94926154399999962</v>
      </c>
      <c r="BA25" s="12">
        <f t="shared" si="19"/>
        <v>19393.984095406078</v>
      </c>
      <c r="BC25" s="14">
        <f t="shared" si="20"/>
        <v>3.2369023827999994</v>
      </c>
      <c r="BD25" s="15">
        <f t="shared" si="21"/>
        <v>21484.980416696319</v>
      </c>
      <c r="BF25" s="16">
        <f t="shared" si="8"/>
        <v>6.2214510456000003</v>
      </c>
      <c r="BG25" s="17">
        <f t="shared" si="9"/>
        <v>17621.044801100186</v>
      </c>
      <c r="BI25">
        <v>61</v>
      </c>
      <c r="BJ25" t="s">
        <v>52</v>
      </c>
      <c r="BK25" s="2">
        <v>46189.872569444444</v>
      </c>
      <c r="BL25">
        <v>85</v>
      </c>
      <c r="BM25" t="s">
        <v>13</v>
      </c>
      <c r="BN25">
        <v>0</v>
      </c>
      <c r="BO25">
        <v>2.89</v>
      </c>
      <c r="BP25" s="3">
        <v>834550</v>
      </c>
      <c r="BQ25">
        <v>0</v>
      </c>
      <c r="BR25" t="s">
        <v>14</v>
      </c>
      <c r="BS25" t="s">
        <v>14</v>
      </c>
      <c r="BT25" t="s">
        <v>14</v>
      </c>
      <c r="BU25" t="s">
        <v>14</v>
      </c>
    </row>
    <row r="26" spans="1:73" x14ac:dyDescent="0.35">
      <c r="A26">
        <v>62</v>
      </c>
      <c r="B26" t="s">
        <v>53</v>
      </c>
      <c r="C26" s="2">
        <v>46189.893807870372</v>
      </c>
      <c r="D26">
        <v>359</v>
      </c>
      <c r="E26" t="s">
        <v>13</v>
      </c>
      <c r="F26">
        <v>0</v>
      </c>
      <c r="G26">
        <v>6.0549999999999997</v>
      </c>
      <c r="H26" s="3">
        <v>38005</v>
      </c>
      <c r="I26">
        <v>7.6999999999999999E-2</v>
      </c>
      <c r="J26" t="s">
        <v>14</v>
      </c>
      <c r="K26" t="s">
        <v>14</v>
      </c>
      <c r="L26" t="s">
        <v>14</v>
      </c>
      <c r="M26" t="s">
        <v>14</v>
      </c>
      <c r="O26">
        <v>62</v>
      </c>
      <c r="P26" t="s">
        <v>53</v>
      </c>
      <c r="Q26" s="2">
        <v>46189.893807870372</v>
      </c>
      <c r="R26">
        <v>359</v>
      </c>
      <c r="S26" t="s">
        <v>13</v>
      </c>
      <c r="T26">
        <v>0</v>
      </c>
      <c r="U26" t="s">
        <v>14</v>
      </c>
      <c r="V26" s="3" t="s">
        <v>14</v>
      </c>
      <c r="W26" t="s">
        <v>14</v>
      </c>
      <c r="X26" t="s">
        <v>14</v>
      </c>
      <c r="Y26" t="s">
        <v>14</v>
      </c>
      <c r="Z26" t="s">
        <v>14</v>
      </c>
      <c r="AA26" t="s">
        <v>14</v>
      </c>
      <c r="AC26">
        <v>62</v>
      </c>
      <c r="AD26" t="s">
        <v>53</v>
      </c>
      <c r="AE26" s="2">
        <v>46189.893807870372</v>
      </c>
      <c r="AF26">
        <v>359</v>
      </c>
      <c r="AG26" t="s">
        <v>13</v>
      </c>
      <c r="AH26">
        <v>0</v>
      </c>
      <c r="AI26">
        <v>12.265000000000001</v>
      </c>
      <c r="AJ26" s="3">
        <v>138</v>
      </c>
      <c r="AK26">
        <v>0.11600000000000001</v>
      </c>
      <c r="AL26" t="s">
        <v>14</v>
      </c>
      <c r="AM26" t="s">
        <v>14</v>
      </c>
      <c r="AN26" t="s">
        <v>14</v>
      </c>
      <c r="AO26" t="s">
        <v>14</v>
      </c>
      <c r="AQ26">
        <v>2</v>
      </c>
      <c r="AR26" t="s">
        <v>68</v>
      </c>
      <c r="AS26" s="8">
        <v>62</v>
      </c>
      <c r="AT26" s="16">
        <f t="shared" si="0"/>
        <v>85.465235358590007</v>
      </c>
      <c r="AU26" s="17">
        <f t="shared" si="1"/>
        <v>70.377281584759999</v>
      </c>
      <c r="AW26" s="9">
        <f t="shared" si="16"/>
        <v>102.951427700575</v>
      </c>
      <c r="AX26" s="10">
        <f t="shared" si="17"/>
        <v>11.943314031599996</v>
      </c>
      <c r="AZ26" s="11">
        <f t="shared" si="18"/>
        <v>105.43835804878</v>
      </c>
      <c r="BA26" s="12">
        <f t="shared" si="19"/>
        <v>62.388861168800005</v>
      </c>
      <c r="BC26" s="14">
        <f t="shared" si="20"/>
        <v>104.728538053425</v>
      </c>
      <c r="BD26" s="15">
        <f t="shared" si="21"/>
        <v>-102.57833448907999</v>
      </c>
      <c r="BF26" s="16">
        <f t="shared" si="8"/>
        <v>85.465235358590007</v>
      </c>
      <c r="BG26" s="17">
        <f t="shared" si="9"/>
        <v>70.377281584759999</v>
      </c>
      <c r="BI26">
        <v>62</v>
      </c>
      <c r="BJ26" t="s">
        <v>53</v>
      </c>
      <c r="BK26" s="2">
        <v>46189.893807870372</v>
      </c>
      <c r="BL26">
        <v>359</v>
      </c>
      <c r="BM26" t="s">
        <v>13</v>
      </c>
      <c r="BN26">
        <v>0</v>
      </c>
      <c r="BO26">
        <v>2.8730000000000002</v>
      </c>
      <c r="BP26" s="3">
        <v>990405</v>
      </c>
      <c r="BQ26">
        <v>0</v>
      </c>
      <c r="BR26" t="s">
        <v>14</v>
      </c>
      <c r="BS26" t="s">
        <v>14</v>
      </c>
      <c r="BT26" t="s">
        <v>14</v>
      </c>
      <c r="BU26" t="s">
        <v>14</v>
      </c>
    </row>
    <row r="27" spans="1:73" x14ac:dyDescent="0.35">
      <c r="A27">
        <v>63</v>
      </c>
      <c r="B27" t="s">
        <v>54</v>
      </c>
      <c r="C27" s="2">
        <v>46189.915034722224</v>
      </c>
      <c r="D27">
        <v>350</v>
      </c>
      <c r="E27" t="s">
        <v>13</v>
      </c>
      <c r="F27">
        <v>0</v>
      </c>
      <c r="G27">
        <v>6.0650000000000004</v>
      </c>
      <c r="H27" s="3">
        <v>9857</v>
      </c>
      <c r="I27">
        <v>0.02</v>
      </c>
      <c r="J27" t="s">
        <v>14</v>
      </c>
      <c r="K27" t="s">
        <v>14</v>
      </c>
      <c r="L27" t="s">
        <v>14</v>
      </c>
      <c r="M27" t="s">
        <v>14</v>
      </c>
      <c r="O27">
        <v>63</v>
      </c>
      <c r="P27" t="s">
        <v>54</v>
      </c>
      <c r="Q27" s="2">
        <v>46189.915034722224</v>
      </c>
      <c r="R27">
        <v>350</v>
      </c>
      <c r="S27" t="s">
        <v>13</v>
      </c>
      <c r="T27">
        <v>0</v>
      </c>
      <c r="U27" t="s">
        <v>14</v>
      </c>
      <c r="V27" t="s">
        <v>14</v>
      </c>
      <c r="W27" t="s">
        <v>14</v>
      </c>
      <c r="X27" t="s">
        <v>14</v>
      </c>
      <c r="Y27" t="s">
        <v>14</v>
      </c>
      <c r="Z27" t="s">
        <v>14</v>
      </c>
      <c r="AA27" t="s">
        <v>14</v>
      </c>
      <c r="AC27">
        <v>63</v>
      </c>
      <c r="AD27" t="s">
        <v>54</v>
      </c>
      <c r="AE27" s="2">
        <v>46189.915034722224</v>
      </c>
      <c r="AF27">
        <v>350</v>
      </c>
      <c r="AG27" t="s">
        <v>13</v>
      </c>
      <c r="AH27">
        <v>0</v>
      </c>
      <c r="AI27">
        <v>12.327</v>
      </c>
      <c r="AJ27" s="3">
        <v>4345</v>
      </c>
      <c r="AK27">
        <v>0.83499999999999996</v>
      </c>
      <c r="AL27" t="s">
        <v>14</v>
      </c>
      <c r="AM27" t="s">
        <v>14</v>
      </c>
      <c r="AN27" t="s">
        <v>14</v>
      </c>
      <c r="AO27" t="s">
        <v>14</v>
      </c>
      <c r="AQ27">
        <v>1</v>
      </c>
      <c r="AS27" s="8">
        <v>63</v>
      </c>
      <c r="AT27" s="16">
        <f t="shared" si="0"/>
        <v>26.705631092413999</v>
      </c>
      <c r="AU27" s="17">
        <f t="shared" si="1"/>
        <v>852.29218030474999</v>
      </c>
      <c r="AW27" s="9">
        <f t="shared" si="16"/>
        <v>18.218037459999998</v>
      </c>
      <c r="AX27" s="10">
        <f t="shared" si="17"/>
        <v>1029.8492766975</v>
      </c>
      <c r="AZ27" s="11">
        <f t="shared" si="18"/>
        <v>25.919969055859998</v>
      </c>
      <c r="BA27" s="12">
        <f t="shared" si="19"/>
        <v>923.6960343049999</v>
      </c>
      <c r="BC27" s="14">
        <f t="shared" si="20"/>
        <v>31.878257693357</v>
      </c>
      <c r="BD27" s="15">
        <f t="shared" si="21"/>
        <v>854.43010624325007</v>
      </c>
      <c r="BF27" s="16">
        <f t="shared" si="8"/>
        <v>26.705631092413999</v>
      </c>
      <c r="BG27" s="17">
        <f t="shared" si="9"/>
        <v>852.29218030474999</v>
      </c>
      <c r="BI27">
        <v>63</v>
      </c>
      <c r="BJ27" t="s">
        <v>54</v>
      </c>
      <c r="BK27" s="2">
        <v>46189.915034722224</v>
      </c>
      <c r="BL27">
        <v>350</v>
      </c>
      <c r="BM27" t="s">
        <v>13</v>
      </c>
      <c r="BN27">
        <v>0</v>
      </c>
      <c r="BO27">
        <v>2.899</v>
      </c>
      <c r="BP27" s="3">
        <v>685281</v>
      </c>
      <c r="BQ27">
        <v>0</v>
      </c>
      <c r="BR27" t="s">
        <v>14</v>
      </c>
      <c r="BS27" t="s">
        <v>14</v>
      </c>
      <c r="BT27" t="s">
        <v>14</v>
      </c>
      <c r="BU27" t="s">
        <v>14</v>
      </c>
    </row>
    <row r="28" spans="1:73" x14ac:dyDescent="0.35">
      <c r="A28">
        <v>64</v>
      </c>
      <c r="B28" t="s">
        <v>55</v>
      </c>
      <c r="C28" s="2">
        <v>46189.936249999999</v>
      </c>
      <c r="D28">
        <v>195</v>
      </c>
      <c r="E28" t="s">
        <v>13</v>
      </c>
      <c r="F28">
        <v>0</v>
      </c>
      <c r="G28">
        <v>6.02</v>
      </c>
      <c r="H28" s="3">
        <v>13378122</v>
      </c>
      <c r="I28">
        <v>28.071999999999999</v>
      </c>
      <c r="J28" t="s">
        <v>14</v>
      </c>
      <c r="K28" t="s">
        <v>14</v>
      </c>
      <c r="L28" t="s">
        <v>14</v>
      </c>
      <c r="M28" t="s">
        <v>14</v>
      </c>
      <c r="O28">
        <v>64</v>
      </c>
      <c r="P28" t="s">
        <v>55</v>
      </c>
      <c r="Q28" s="2">
        <v>46189.936249999999</v>
      </c>
      <c r="R28">
        <v>195</v>
      </c>
      <c r="S28" t="s">
        <v>13</v>
      </c>
      <c r="T28">
        <v>0</v>
      </c>
      <c r="U28">
        <v>5.9749999999999996</v>
      </c>
      <c r="V28" s="3">
        <v>110915</v>
      </c>
      <c r="W28">
        <v>25.32</v>
      </c>
      <c r="X28" t="s">
        <v>14</v>
      </c>
      <c r="Y28" t="s">
        <v>14</v>
      </c>
      <c r="Z28" t="s">
        <v>14</v>
      </c>
      <c r="AA28" t="s">
        <v>14</v>
      </c>
      <c r="AC28">
        <v>64</v>
      </c>
      <c r="AD28" t="s">
        <v>55</v>
      </c>
      <c r="AE28" s="2">
        <v>46189.936249999999</v>
      </c>
      <c r="AF28">
        <v>195</v>
      </c>
      <c r="AG28" t="s">
        <v>13</v>
      </c>
      <c r="AH28">
        <v>0</v>
      </c>
      <c r="AI28">
        <v>12.273999999999999</v>
      </c>
      <c r="AJ28" s="3">
        <v>49755</v>
      </c>
      <c r="AK28">
        <v>8.5909999999999993</v>
      </c>
      <c r="AL28" t="s">
        <v>14</v>
      </c>
      <c r="AM28" t="s">
        <v>14</v>
      </c>
      <c r="AN28" t="s">
        <v>14</v>
      </c>
      <c r="AO28" t="s">
        <v>14</v>
      </c>
      <c r="AQ28">
        <v>1</v>
      </c>
      <c r="AS28" s="8">
        <v>64</v>
      </c>
      <c r="AT28" s="16">
        <f t="shared" si="0"/>
        <v>26427.544409766051</v>
      </c>
      <c r="AU28" s="17">
        <f t="shared" si="1"/>
        <v>9755.6184559810717</v>
      </c>
      <c r="AW28" s="9">
        <f t="shared" si="16"/>
        <v>27171.654755500003</v>
      </c>
      <c r="AX28" s="10">
        <f t="shared" si="17"/>
        <v>10446.0630949775</v>
      </c>
      <c r="AZ28" s="11">
        <f t="shared" si="18"/>
        <v>29643.680246025</v>
      </c>
      <c r="BA28" s="12">
        <f t="shared" si="19"/>
        <v>9654.2687925992486</v>
      </c>
      <c r="BC28" s="14">
        <f t="shared" si="20"/>
        <v>27784.2288285385</v>
      </c>
      <c r="BD28" s="15">
        <f t="shared" si="21"/>
        <v>11246.708052534499</v>
      </c>
      <c r="BF28" s="16">
        <f t="shared" si="8"/>
        <v>26427.544409766051</v>
      </c>
      <c r="BG28" s="17">
        <f t="shared" si="9"/>
        <v>9755.6184559810717</v>
      </c>
      <c r="BI28">
        <v>64</v>
      </c>
      <c r="BJ28" t="s">
        <v>55</v>
      </c>
      <c r="BK28" s="2">
        <v>46189.936249999999</v>
      </c>
      <c r="BL28">
        <v>195</v>
      </c>
      <c r="BM28" t="s">
        <v>13</v>
      </c>
      <c r="BN28">
        <v>0</v>
      </c>
      <c r="BO28">
        <v>2.9020000000000001</v>
      </c>
      <c r="BP28" s="3">
        <v>588362</v>
      </c>
      <c r="BQ28">
        <v>0</v>
      </c>
      <c r="BR28" t="s">
        <v>14</v>
      </c>
      <c r="BS28" t="s">
        <v>14</v>
      </c>
      <c r="BT28" t="s">
        <v>14</v>
      </c>
      <c r="BU28" t="s">
        <v>14</v>
      </c>
    </row>
    <row r="29" spans="1:73" x14ac:dyDescent="0.35">
      <c r="A29">
        <v>65</v>
      </c>
      <c r="B29" t="s">
        <v>56</v>
      </c>
      <c r="C29" s="2">
        <v>46189.957453703704</v>
      </c>
      <c r="D29">
        <v>57</v>
      </c>
      <c r="E29" t="s">
        <v>13</v>
      </c>
      <c r="F29">
        <v>0</v>
      </c>
      <c r="G29">
        <v>6.0629999999999997</v>
      </c>
      <c r="H29" s="3">
        <v>39361</v>
      </c>
      <c r="I29">
        <v>0.08</v>
      </c>
      <c r="J29" t="s">
        <v>14</v>
      </c>
      <c r="K29" t="s">
        <v>14</v>
      </c>
      <c r="L29" t="s">
        <v>14</v>
      </c>
      <c r="M29" t="s">
        <v>14</v>
      </c>
      <c r="O29">
        <v>65</v>
      </c>
      <c r="P29" t="s">
        <v>56</v>
      </c>
      <c r="Q29" s="2">
        <v>46189.957453703704</v>
      </c>
      <c r="R29">
        <v>57</v>
      </c>
      <c r="S29" t="s">
        <v>13</v>
      </c>
      <c r="T29">
        <v>0</v>
      </c>
      <c r="U29" t="s">
        <v>14</v>
      </c>
      <c r="V29" s="3" t="s">
        <v>14</v>
      </c>
      <c r="W29" t="s">
        <v>14</v>
      </c>
      <c r="X29" t="s">
        <v>14</v>
      </c>
      <c r="Y29" t="s">
        <v>14</v>
      </c>
      <c r="Z29" t="s">
        <v>14</v>
      </c>
      <c r="AA29" t="s">
        <v>14</v>
      </c>
      <c r="AC29">
        <v>65</v>
      </c>
      <c r="AD29" t="s">
        <v>56</v>
      </c>
      <c r="AE29" s="2">
        <v>46189.957453703704</v>
      </c>
      <c r="AF29">
        <v>57</v>
      </c>
      <c r="AG29" t="s">
        <v>13</v>
      </c>
      <c r="AH29">
        <v>0</v>
      </c>
      <c r="AI29">
        <v>12.38</v>
      </c>
      <c r="AJ29" s="3">
        <v>234</v>
      </c>
      <c r="AK29" s="13">
        <v>0.13200000000000001</v>
      </c>
      <c r="AL29" t="s">
        <v>14</v>
      </c>
      <c r="AM29" t="s">
        <v>14</v>
      </c>
      <c r="AN29" t="s">
        <v>14</v>
      </c>
      <c r="AO29" t="s">
        <v>14</v>
      </c>
      <c r="AQ29">
        <v>1</v>
      </c>
      <c r="AS29" s="8">
        <v>65</v>
      </c>
      <c r="AT29" s="16">
        <f t="shared" si="0"/>
        <v>88.381827875975617</v>
      </c>
      <c r="AU29" s="17">
        <f t="shared" si="1"/>
        <v>88.205759717239999</v>
      </c>
      <c r="AW29" s="9">
        <f t="shared" si="16"/>
        <v>106.91229531778301</v>
      </c>
      <c r="AX29" s="10">
        <f t="shared" si="17"/>
        <v>35.351025788400001</v>
      </c>
      <c r="AZ29" s="11">
        <f t="shared" si="18"/>
        <v>109.33910453289521</v>
      </c>
      <c r="BA29" s="12">
        <f t="shared" si="19"/>
        <v>82.066725591199997</v>
      </c>
      <c r="BC29" s="14">
        <f t="shared" si="20"/>
        <v>108.337739171577</v>
      </c>
      <c r="BD29" s="15">
        <f t="shared" si="21"/>
        <v>-80.720886876919991</v>
      </c>
      <c r="BF29" s="16">
        <f t="shared" si="8"/>
        <v>88.381827875975617</v>
      </c>
      <c r="BG29" s="17">
        <f t="shared" si="9"/>
        <v>88.205759717239999</v>
      </c>
      <c r="BI29">
        <v>65</v>
      </c>
      <c r="BJ29" t="s">
        <v>56</v>
      </c>
      <c r="BK29" s="2">
        <v>46189.957453703704</v>
      </c>
      <c r="BL29">
        <v>57</v>
      </c>
      <c r="BM29" t="s">
        <v>13</v>
      </c>
      <c r="BN29">
        <v>0</v>
      </c>
      <c r="BO29">
        <v>2.8940000000000001</v>
      </c>
      <c r="BP29" s="3">
        <v>769717</v>
      </c>
      <c r="BQ29">
        <v>0</v>
      </c>
      <c r="BR29" t="s">
        <v>14</v>
      </c>
      <c r="BS29" t="s">
        <v>14</v>
      </c>
      <c r="BT29" t="s">
        <v>14</v>
      </c>
      <c r="BU29" t="s">
        <v>14</v>
      </c>
    </row>
    <row r="30" spans="1:73" x14ac:dyDescent="0.35">
      <c r="A30">
        <v>66</v>
      </c>
      <c r="B30" t="s">
        <v>57</v>
      </c>
      <c r="C30" s="2">
        <v>46189.978692129633</v>
      </c>
      <c r="D30">
        <v>274</v>
      </c>
      <c r="E30" t="s">
        <v>13</v>
      </c>
      <c r="F30">
        <v>0</v>
      </c>
      <c r="G30">
        <v>6.0720000000000001</v>
      </c>
      <c r="H30" s="3">
        <v>1688</v>
      </c>
      <c r="I30">
        <v>4.0000000000000001E-3</v>
      </c>
      <c r="J30" t="s">
        <v>14</v>
      </c>
      <c r="K30" t="s">
        <v>14</v>
      </c>
      <c r="L30" t="s">
        <v>14</v>
      </c>
      <c r="M30" t="s">
        <v>14</v>
      </c>
      <c r="O30">
        <v>66</v>
      </c>
      <c r="P30" t="s">
        <v>57</v>
      </c>
      <c r="Q30" s="2">
        <v>46189.978692129633</v>
      </c>
      <c r="R30">
        <v>274</v>
      </c>
      <c r="S30" t="s">
        <v>13</v>
      </c>
      <c r="T30">
        <v>0</v>
      </c>
      <c r="U30" t="s">
        <v>14</v>
      </c>
      <c r="V30" t="s">
        <v>14</v>
      </c>
      <c r="W30" t="s">
        <v>14</v>
      </c>
      <c r="X30" t="s">
        <v>14</v>
      </c>
      <c r="Y30" t="s">
        <v>14</v>
      </c>
      <c r="Z30" t="s">
        <v>14</v>
      </c>
      <c r="AA30" t="s">
        <v>14</v>
      </c>
      <c r="AC30">
        <v>66</v>
      </c>
      <c r="AD30" t="s">
        <v>57</v>
      </c>
      <c r="AE30" s="2">
        <v>46189.978692129633</v>
      </c>
      <c r="AF30">
        <v>274</v>
      </c>
      <c r="AG30" t="s">
        <v>13</v>
      </c>
      <c r="AH30">
        <v>0</v>
      </c>
      <c r="AI30">
        <v>12.21</v>
      </c>
      <c r="AJ30" s="3">
        <v>92514</v>
      </c>
      <c r="AK30">
        <v>15.891999999999999</v>
      </c>
      <c r="AL30" t="s">
        <v>14</v>
      </c>
      <c r="AM30" t="s">
        <v>14</v>
      </c>
      <c r="AN30" t="s">
        <v>14</v>
      </c>
      <c r="AO30" t="s">
        <v>14</v>
      </c>
      <c r="AQ30">
        <v>1</v>
      </c>
      <c r="AS30" s="8">
        <v>66</v>
      </c>
      <c r="AT30" s="16">
        <f t="shared" ref="AT30:AT40" si="22">IF($H30&lt;10000,(($H30^2*-0.000000003714)+($H30*0.002605)+(1.389)),(IF($H30&lt;200000,(($H30^2*-0.0000000003764)+($H30*0.00218)+(3.158)),(IF($H30&lt;8000000,(($H30^2*-0.000000000004719)+($H30*0.001816)+(146.1)),(($V30^2*0.000000002578)+($V30*0.2173)+(2294)))))))</f>
        <v>5.7756575363840001</v>
      </c>
      <c r="AU30" s="17">
        <f t="shared" ref="AU30:AU40" si="23">IF($AJ30&lt;45000,((0.00000003579*$AJ30^2)+(0.1857*$AJ30)+(44.75)),((0.0000000022829*$AJ30^2)+(0.1634*$AJ30)+(1620)))</f>
        <v>16756.326576283449</v>
      </c>
      <c r="AW30" s="9">
        <f t="shared" si="16"/>
        <v>6.2153257600000007</v>
      </c>
      <c r="AX30" s="10">
        <f t="shared" si="17"/>
        <v>20788.6612359836</v>
      </c>
      <c r="AZ30" s="11">
        <f t="shared" si="18"/>
        <v>0.49247551615999985</v>
      </c>
      <c r="BA30" s="12">
        <f t="shared" si="19"/>
        <v>18329.269270090121</v>
      </c>
      <c r="BC30" s="14">
        <f t="shared" si="20"/>
        <v>2.6328154785919997</v>
      </c>
      <c r="BD30" s="15">
        <f t="shared" si="21"/>
        <v>20362.460917118478</v>
      </c>
      <c r="BF30" s="16">
        <f t="shared" ref="BF30:BF40" si="24">IF($H30&lt;10000,(($H30^2*-0.000000003714)+($H30*0.002605)+(1.389)),(IF($H30&lt;200000,(($H30^2*-0.0000000003764)+($H30*0.00218)+(3.158)),(IF($H30&lt;8000000,(($H30^2*-0.000000000004719)+($H30*0.001816)+(146.1)),(($V30^2*0.000000002578)+($V30*0.2173)+(2294)))))))</f>
        <v>5.7756575363840001</v>
      </c>
      <c r="BG30" s="17">
        <f t="shared" ref="BG30:BG40" si="25">IF($AJ30&lt;45000,((0.00000003579*$AJ30^2)+(0.1857*$AJ30)+(44.75)),((0.0000000022829*$AJ30^2)+(0.1634*$AJ30)+(1620)))</f>
        <v>16756.326576283449</v>
      </c>
      <c r="BI30">
        <v>66</v>
      </c>
      <c r="BJ30" t="s">
        <v>57</v>
      </c>
      <c r="BK30" s="2">
        <v>46189.978692129633</v>
      </c>
      <c r="BL30">
        <v>274</v>
      </c>
      <c r="BM30" t="s">
        <v>13</v>
      </c>
      <c r="BN30">
        <v>0</v>
      </c>
      <c r="BO30">
        <v>2.8730000000000002</v>
      </c>
      <c r="BP30" s="3">
        <v>955126</v>
      </c>
      <c r="BQ30">
        <v>0</v>
      </c>
      <c r="BR30" t="s">
        <v>14</v>
      </c>
      <c r="BS30" t="s">
        <v>14</v>
      </c>
      <c r="BT30" t="s">
        <v>14</v>
      </c>
      <c r="BU30" t="s">
        <v>14</v>
      </c>
    </row>
    <row r="31" spans="1:73" x14ac:dyDescent="0.35">
      <c r="A31">
        <v>67</v>
      </c>
      <c r="B31" t="s">
        <v>58</v>
      </c>
      <c r="C31" s="2">
        <v>46189.999918981484</v>
      </c>
      <c r="D31">
        <v>244</v>
      </c>
      <c r="E31" t="s">
        <v>13</v>
      </c>
      <c r="F31">
        <v>0</v>
      </c>
      <c r="G31">
        <v>6.0350000000000001</v>
      </c>
      <c r="H31" s="3">
        <v>7024150</v>
      </c>
      <c r="I31">
        <v>14.497999999999999</v>
      </c>
      <c r="J31" t="s">
        <v>14</v>
      </c>
      <c r="K31" t="s">
        <v>14</v>
      </c>
      <c r="L31" t="s">
        <v>14</v>
      </c>
      <c r="M31" t="s">
        <v>14</v>
      </c>
      <c r="O31">
        <v>67</v>
      </c>
      <c r="P31" t="s">
        <v>58</v>
      </c>
      <c r="Q31" s="2">
        <v>46189.999918981484</v>
      </c>
      <c r="R31">
        <v>244</v>
      </c>
      <c r="S31" t="s">
        <v>13</v>
      </c>
      <c r="T31">
        <v>0</v>
      </c>
      <c r="U31">
        <v>5.9909999999999997</v>
      </c>
      <c r="V31" s="3">
        <v>58178</v>
      </c>
      <c r="W31">
        <v>13.361000000000001</v>
      </c>
      <c r="X31" t="s">
        <v>14</v>
      </c>
      <c r="Y31" t="s">
        <v>14</v>
      </c>
      <c r="Z31" t="s">
        <v>14</v>
      </c>
      <c r="AA31" t="s">
        <v>14</v>
      </c>
      <c r="AC31">
        <v>67</v>
      </c>
      <c r="AD31" t="s">
        <v>58</v>
      </c>
      <c r="AE31" s="2">
        <v>46189.999918981484</v>
      </c>
      <c r="AF31">
        <v>244</v>
      </c>
      <c r="AG31" t="s">
        <v>13</v>
      </c>
      <c r="AH31">
        <v>0</v>
      </c>
      <c r="AI31">
        <v>12.256</v>
      </c>
      <c r="AJ31" s="3">
        <v>55244</v>
      </c>
      <c r="AK31">
        <v>9.5289999999999999</v>
      </c>
      <c r="AL31" t="s">
        <v>14</v>
      </c>
      <c r="AM31" t="s">
        <v>14</v>
      </c>
      <c r="AN31" t="s">
        <v>14</v>
      </c>
      <c r="AO31" t="s">
        <v>14</v>
      </c>
      <c r="AQ31">
        <v>1</v>
      </c>
      <c r="AS31" s="8">
        <v>67</v>
      </c>
      <c r="AT31" s="16">
        <f t="shared" si="22"/>
        <v>12669.127153873022</v>
      </c>
      <c r="AU31" s="17">
        <f t="shared" si="23"/>
        <v>10653.836781450735</v>
      </c>
      <c r="AW31" s="9">
        <f t="shared" si="16"/>
        <v>12863.251492061501</v>
      </c>
      <c r="AX31" s="10">
        <f t="shared" si="17"/>
        <v>11782.1161089776</v>
      </c>
      <c r="AZ31" s="11">
        <f t="shared" si="18"/>
        <v>14903.8536140205</v>
      </c>
      <c r="BA31" s="12">
        <f t="shared" si="19"/>
        <v>10772.800054149919</v>
      </c>
      <c r="BC31" s="14">
        <f t="shared" si="20"/>
        <v>14350.826154248471</v>
      </c>
      <c r="BD31" s="15">
        <f t="shared" si="21"/>
        <v>12419.075626927681</v>
      </c>
      <c r="BF31" s="16">
        <f t="shared" si="24"/>
        <v>12669.127153873022</v>
      </c>
      <c r="BG31" s="17">
        <f t="shared" si="25"/>
        <v>10653.836781450735</v>
      </c>
      <c r="BI31">
        <v>67</v>
      </c>
      <c r="BJ31" t="s">
        <v>58</v>
      </c>
      <c r="BK31" s="2">
        <v>46189.999918981484</v>
      </c>
      <c r="BL31">
        <v>244</v>
      </c>
      <c r="BM31" t="s">
        <v>13</v>
      </c>
      <c r="BN31">
        <v>0</v>
      </c>
      <c r="BO31">
        <v>2.8980000000000001</v>
      </c>
      <c r="BP31" s="3">
        <v>613495</v>
      </c>
      <c r="BQ31">
        <v>0</v>
      </c>
      <c r="BR31" t="s">
        <v>14</v>
      </c>
      <c r="BS31" t="s">
        <v>14</v>
      </c>
      <c r="BT31" t="s">
        <v>14</v>
      </c>
      <c r="BU31" t="s">
        <v>14</v>
      </c>
    </row>
    <row r="32" spans="1:73" x14ac:dyDescent="0.35">
      <c r="A32">
        <v>68</v>
      </c>
      <c r="B32" t="s">
        <v>59</v>
      </c>
      <c r="C32" s="2">
        <v>46190.021180555559</v>
      </c>
      <c r="D32">
        <v>227</v>
      </c>
      <c r="E32" t="s">
        <v>13</v>
      </c>
      <c r="F32">
        <v>0</v>
      </c>
      <c r="G32">
        <v>6.0270000000000001</v>
      </c>
      <c r="H32" s="3">
        <v>6573798</v>
      </c>
      <c r="I32">
        <v>13.553000000000001</v>
      </c>
      <c r="J32" t="s">
        <v>14</v>
      </c>
      <c r="K32" t="s">
        <v>14</v>
      </c>
      <c r="L32" t="s">
        <v>14</v>
      </c>
      <c r="M32" t="s">
        <v>14</v>
      </c>
      <c r="O32">
        <v>68</v>
      </c>
      <c r="P32" t="s">
        <v>59</v>
      </c>
      <c r="Q32" s="2">
        <v>46190.021180555559</v>
      </c>
      <c r="R32">
        <v>227</v>
      </c>
      <c r="S32" t="s">
        <v>13</v>
      </c>
      <c r="T32">
        <v>0</v>
      </c>
      <c r="U32">
        <v>5.9809999999999999</v>
      </c>
      <c r="V32" s="3">
        <v>55157</v>
      </c>
      <c r="W32">
        <v>12.676</v>
      </c>
      <c r="X32" t="s">
        <v>14</v>
      </c>
      <c r="Y32" t="s">
        <v>14</v>
      </c>
      <c r="Z32" t="s">
        <v>14</v>
      </c>
      <c r="AA32" t="s">
        <v>14</v>
      </c>
      <c r="AC32">
        <v>68</v>
      </c>
      <c r="AD32" t="s">
        <v>59</v>
      </c>
      <c r="AE32" s="2">
        <v>46190.021180555559</v>
      </c>
      <c r="AF32">
        <v>227</v>
      </c>
      <c r="AG32" t="s">
        <v>13</v>
      </c>
      <c r="AH32">
        <v>0</v>
      </c>
      <c r="AI32">
        <v>12.234</v>
      </c>
      <c r="AJ32" s="3">
        <v>66714</v>
      </c>
      <c r="AK32">
        <v>11.487</v>
      </c>
      <c r="AL32" t="s">
        <v>14</v>
      </c>
      <c r="AM32" t="s">
        <v>14</v>
      </c>
      <c r="AN32" t="s">
        <v>14</v>
      </c>
      <c r="AO32" t="s">
        <v>14</v>
      </c>
      <c r="AQ32">
        <v>1</v>
      </c>
      <c r="AS32" s="8">
        <v>68</v>
      </c>
      <c r="AT32" s="16">
        <f t="shared" si="22"/>
        <v>11880.186431736669</v>
      </c>
      <c r="AU32" s="17">
        <f t="shared" si="23"/>
        <v>12531.228234972486</v>
      </c>
      <c r="AW32" s="9">
        <f t="shared" si="16"/>
        <v>12103.472465306646</v>
      </c>
      <c r="AX32" s="10">
        <f t="shared" si="17"/>
        <v>14566.021806143599</v>
      </c>
      <c r="AZ32" s="11">
        <f t="shared" si="18"/>
        <v>13976.717229102214</v>
      </c>
      <c r="BA32" s="12">
        <f t="shared" si="19"/>
        <v>13105.44649016212</v>
      </c>
      <c r="BC32" s="14">
        <f t="shared" si="20"/>
        <v>13457.028724081641</v>
      </c>
      <c r="BD32" s="15">
        <f t="shared" si="21"/>
        <v>14866.82875220648</v>
      </c>
      <c r="BF32" s="16">
        <f t="shared" si="24"/>
        <v>11880.186431736669</v>
      </c>
      <c r="BG32" s="17">
        <f t="shared" si="25"/>
        <v>12531.228234972486</v>
      </c>
      <c r="BI32">
        <v>68</v>
      </c>
      <c r="BJ32" t="s">
        <v>59</v>
      </c>
      <c r="BK32" s="2">
        <v>46190.021180555559</v>
      </c>
      <c r="BL32">
        <v>227</v>
      </c>
      <c r="BM32" t="s">
        <v>13</v>
      </c>
      <c r="BN32">
        <v>0</v>
      </c>
      <c r="BO32">
        <v>2.8780000000000001</v>
      </c>
      <c r="BP32" s="3">
        <v>776418</v>
      </c>
      <c r="BQ32">
        <v>0</v>
      </c>
      <c r="BR32" t="s">
        <v>14</v>
      </c>
      <c r="BS32" t="s">
        <v>14</v>
      </c>
      <c r="BT32" t="s">
        <v>14</v>
      </c>
      <c r="BU32" t="s">
        <v>14</v>
      </c>
    </row>
    <row r="33" spans="1:73" x14ac:dyDescent="0.35">
      <c r="A33">
        <v>69</v>
      </c>
      <c r="B33" t="s">
        <v>60</v>
      </c>
      <c r="C33" s="2">
        <v>46190.042407407411</v>
      </c>
      <c r="D33">
        <v>104</v>
      </c>
      <c r="E33" t="s">
        <v>13</v>
      </c>
      <c r="F33">
        <v>0</v>
      </c>
      <c r="G33">
        <v>6.0609999999999999</v>
      </c>
      <c r="H33" s="3">
        <v>35850</v>
      </c>
      <c r="I33">
        <v>7.2999999999999995E-2</v>
      </c>
      <c r="J33" t="s">
        <v>14</v>
      </c>
      <c r="K33" t="s">
        <v>14</v>
      </c>
      <c r="L33" t="s">
        <v>14</v>
      </c>
      <c r="M33" t="s">
        <v>14</v>
      </c>
      <c r="O33">
        <v>69</v>
      </c>
      <c r="P33" t="s">
        <v>60</v>
      </c>
      <c r="Q33" s="2">
        <v>46190.042407407411</v>
      </c>
      <c r="R33">
        <v>104</v>
      </c>
      <c r="S33" t="s">
        <v>13</v>
      </c>
      <c r="T33">
        <v>0</v>
      </c>
      <c r="U33" t="s">
        <v>14</v>
      </c>
      <c r="V33" s="3" t="s">
        <v>14</v>
      </c>
      <c r="W33" t="s">
        <v>14</v>
      </c>
      <c r="X33" t="s">
        <v>14</v>
      </c>
      <c r="Y33" t="s">
        <v>14</v>
      </c>
      <c r="Z33" t="s">
        <v>14</v>
      </c>
      <c r="AA33" t="s">
        <v>14</v>
      </c>
      <c r="AC33">
        <v>69</v>
      </c>
      <c r="AD33" t="s">
        <v>60</v>
      </c>
      <c r="AE33" s="2">
        <v>46190.042407407411</v>
      </c>
      <c r="AF33">
        <v>104</v>
      </c>
      <c r="AG33" t="s">
        <v>13</v>
      </c>
      <c r="AH33">
        <v>0</v>
      </c>
      <c r="AI33">
        <v>12.319000000000001</v>
      </c>
      <c r="AJ33" s="3">
        <v>7348</v>
      </c>
      <c r="AK33">
        <v>1.3480000000000001</v>
      </c>
      <c r="AL33" t="s">
        <v>14</v>
      </c>
      <c r="AM33" t="s">
        <v>14</v>
      </c>
      <c r="AN33" t="s">
        <v>14</v>
      </c>
      <c r="AO33" t="s">
        <v>14</v>
      </c>
      <c r="AQ33">
        <v>1</v>
      </c>
      <c r="AS33" s="8">
        <v>69</v>
      </c>
      <c r="AT33" s="16">
        <f t="shared" si="22"/>
        <v>80.827242251000001</v>
      </c>
      <c r="AU33" s="17">
        <f t="shared" si="23"/>
        <v>1411.2060131921601</v>
      </c>
      <c r="AW33" s="9">
        <f t="shared" si="16"/>
        <v>96.6447541175</v>
      </c>
      <c r="AX33" s="10">
        <f t="shared" si="17"/>
        <v>1746.5657452656001</v>
      </c>
      <c r="AZ33" s="11">
        <f t="shared" si="18"/>
        <v>99.236977742000008</v>
      </c>
      <c r="BA33" s="12">
        <f t="shared" si="19"/>
        <v>1537.2112123807999</v>
      </c>
      <c r="BC33" s="14">
        <f t="shared" si="20"/>
        <v>98.990686482499996</v>
      </c>
      <c r="BD33" s="15">
        <f t="shared" si="21"/>
        <v>1536.4901583867202</v>
      </c>
      <c r="BF33" s="16">
        <f t="shared" si="24"/>
        <v>80.827242251000001</v>
      </c>
      <c r="BG33" s="17">
        <f t="shared" si="25"/>
        <v>1411.2060131921601</v>
      </c>
      <c r="BI33">
        <v>69</v>
      </c>
      <c r="BJ33" t="s">
        <v>60</v>
      </c>
      <c r="BK33" s="2">
        <v>46190.042407407411</v>
      </c>
      <c r="BL33">
        <v>104</v>
      </c>
      <c r="BM33" t="s">
        <v>13</v>
      </c>
      <c r="BN33">
        <v>0</v>
      </c>
      <c r="BO33">
        <v>2.887</v>
      </c>
      <c r="BP33" s="3">
        <v>847602</v>
      </c>
      <c r="BQ33">
        <v>0</v>
      </c>
      <c r="BR33" t="s">
        <v>14</v>
      </c>
      <c r="BS33" t="s">
        <v>14</v>
      </c>
      <c r="BT33" t="s">
        <v>14</v>
      </c>
      <c r="BU33" t="s">
        <v>14</v>
      </c>
    </row>
    <row r="34" spans="1:73" x14ac:dyDescent="0.35">
      <c r="A34">
        <v>70</v>
      </c>
      <c r="B34" t="s">
        <v>61</v>
      </c>
      <c r="C34" s="2">
        <v>46190.063657407409</v>
      </c>
      <c r="D34">
        <v>51</v>
      </c>
      <c r="E34" t="s">
        <v>13</v>
      </c>
      <c r="F34">
        <v>0</v>
      </c>
      <c r="G34">
        <v>6.0830000000000002</v>
      </c>
      <c r="H34" s="3">
        <v>1515</v>
      </c>
      <c r="I34">
        <v>3.0000000000000001E-3</v>
      </c>
      <c r="J34" t="s">
        <v>14</v>
      </c>
      <c r="K34" t="s">
        <v>14</v>
      </c>
      <c r="L34" t="s">
        <v>14</v>
      </c>
      <c r="M34" t="s">
        <v>14</v>
      </c>
      <c r="O34">
        <v>70</v>
      </c>
      <c r="P34" t="s">
        <v>61</v>
      </c>
      <c r="Q34" s="2">
        <v>46190.063657407409</v>
      </c>
      <c r="R34">
        <v>51</v>
      </c>
      <c r="S34" t="s">
        <v>13</v>
      </c>
      <c r="T34">
        <v>0</v>
      </c>
      <c r="U34" t="s">
        <v>14</v>
      </c>
      <c r="V34" t="s">
        <v>14</v>
      </c>
      <c r="W34" t="s">
        <v>14</v>
      </c>
      <c r="X34" t="s">
        <v>14</v>
      </c>
      <c r="Y34" t="s">
        <v>14</v>
      </c>
      <c r="Z34" t="s">
        <v>14</v>
      </c>
      <c r="AA34" t="s">
        <v>14</v>
      </c>
      <c r="AC34">
        <v>70</v>
      </c>
      <c r="AD34" t="s">
        <v>61</v>
      </c>
      <c r="AE34" s="2">
        <v>46190.063657407409</v>
      </c>
      <c r="AF34">
        <v>51</v>
      </c>
      <c r="AG34" t="s">
        <v>13</v>
      </c>
      <c r="AH34">
        <v>0</v>
      </c>
      <c r="AI34">
        <v>12.231999999999999</v>
      </c>
      <c r="AJ34" s="3">
        <v>86303</v>
      </c>
      <c r="AK34">
        <v>14.832000000000001</v>
      </c>
      <c r="AL34" t="s">
        <v>14</v>
      </c>
      <c r="AM34" t="s">
        <v>14</v>
      </c>
      <c r="AN34" t="s">
        <v>14</v>
      </c>
      <c r="AO34" t="s">
        <v>14</v>
      </c>
      <c r="AQ34">
        <v>1</v>
      </c>
      <c r="AS34" s="8">
        <v>70</v>
      </c>
      <c r="AT34" s="16">
        <f t="shared" si="22"/>
        <v>5.3270505343500005</v>
      </c>
      <c r="AU34" s="17">
        <f t="shared" si="23"/>
        <v>15738.913713607164</v>
      </c>
      <c r="AW34" s="9">
        <f t="shared" si="16"/>
        <v>6.7404465</v>
      </c>
      <c r="AX34" s="10">
        <f t="shared" si="17"/>
        <v>19295.621400611901</v>
      </c>
      <c r="AZ34" s="11">
        <f t="shared" si="18"/>
        <v>3.6444156499999547E-2</v>
      </c>
      <c r="BA34" s="12">
        <f t="shared" si="19"/>
        <v>17074.628466349728</v>
      </c>
      <c r="BC34" s="14">
        <f t="shared" si="20"/>
        <v>2.0257233459249999</v>
      </c>
      <c r="BD34" s="15">
        <f t="shared" si="21"/>
        <v>19040.754133068422</v>
      </c>
      <c r="BF34" s="16">
        <f t="shared" si="24"/>
        <v>5.3270505343500005</v>
      </c>
      <c r="BG34" s="17">
        <f t="shared" si="25"/>
        <v>15738.913713607164</v>
      </c>
      <c r="BI34">
        <v>70</v>
      </c>
      <c r="BJ34" t="s">
        <v>61</v>
      </c>
      <c r="BK34" s="2">
        <v>46190.063657407409</v>
      </c>
      <c r="BL34">
        <v>51</v>
      </c>
      <c r="BM34" t="s">
        <v>13</v>
      </c>
      <c r="BN34">
        <v>0</v>
      </c>
      <c r="BO34">
        <v>2.8879999999999999</v>
      </c>
      <c r="BP34" s="3">
        <v>815923</v>
      </c>
      <c r="BQ34">
        <v>0</v>
      </c>
      <c r="BR34" t="s">
        <v>14</v>
      </c>
      <c r="BS34" t="s">
        <v>14</v>
      </c>
      <c r="BT34" t="s">
        <v>14</v>
      </c>
      <c r="BU34" t="s">
        <v>14</v>
      </c>
    </row>
    <row r="35" spans="1:73" x14ac:dyDescent="0.35">
      <c r="A35">
        <v>71</v>
      </c>
      <c r="B35" t="s">
        <v>62</v>
      </c>
      <c r="C35" s="2">
        <v>46190.08489583333</v>
      </c>
      <c r="D35">
        <v>37</v>
      </c>
      <c r="E35" t="s">
        <v>13</v>
      </c>
      <c r="F35">
        <v>0</v>
      </c>
      <c r="G35">
        <v>6.0510000000000002</v>
      </c>
      <c r="H35" s="3">
        <v>26951</v>
      </c>
      <c r="I35">
        <v>5.5E-2</v>
      </c>
      <c r="J35" t="s">
        <v>14</v>
      </c>
      <c r="K35" t="s">
        <v>14</v>
      </c>
      <c r="L35" t="s">
        <v>14</v>
      </c>
      <c r="M35" t="s">
        <v>14</v>
      </c>
      <c r="O35">
        <v>71</v>
      </c>
      <c r="P35" t="s">
        <v>62</v>
      </c>
      <c r="Q35" s="2">
        <v>46190.08489583333</v>
      </c>
      <c r="R35">
        <v>37</v>
      </c>
      <c r="S35" t="s">
        <v>13</v>
      </c>
      <c r="T35">
        <v>0</v>
      </c>
      <c r="U35" t="s">
        <v>14</v>
      </c>
      <c r="V35" t="s">
        <v>14</v>
      </c>
      <c r="W35" t="s">
        <v>14</v>
      </c>
      <c r="X35" t="s">
        <v>14</v>
      </c>
      <c r="Y35" t="s">
        <v>14</v>
      </c>
      <c r="Z35" t="s">
        <v>14</v>
      </c>
      <c r="AA35" t="s">
        <v>14</v>
      </c>
      <c r="AC35">
        <v>71</v>
      </c>
      <c r="AD35" t="s">
        <v>62</v>
      </c>
      <c r="AE35" s="2">
        <v>46190.08489583333</v>
      </c>
      <c r="AF35">
        <v>37</v>
      </c>
      <c r="AG35" t="s">
        <v>13</v>
      </c>
      <c r="AH35">
        <v>0</v>
      </c>
      <c r="AI35">
        <v>12.249000000000001</v>
      </c>
      <c r="AJ35" s="3">
        <v>54306</v>
      </c>
      <c r="AK35">
        <v>9.3689999999999998</v>
      </c>
      <c r="AL35" t="s">
        <v>14</v>
      </c>
      <c r="AM35" t="s">
        <v>14</v>
      </c>
      <c r="AN35" t="s">
        <v>14</v>
      </c>
      <c r="AO35" t="s">
        <v>14</v>
      </c>
      <c r="AQ35">
        <v>1</v>
      </c>
      <c r="AS35" s="8">
        <v>71</v>
      </c>
      <c r="AT35" s="16">
        <f t="shared" si="22"/>
        <v>61.637779450663601</v>
      </c>
      <c r="AU35" s="17">
        <f t="shared" si="23"/>
        <v>10500.332995440824</v>
      </c>
      <c r="AW35" s="9">
        <f t="shared" si="16"/>
        <v>70.446428955623006</v>
      </c>
      <c r="AX35" s="10">
        <f t="shared" si="17"/>
        <v>11553.9763070876</v>
      </c>
      <c r="AZ35" s="11">
        <f t="shared" si="18"/>
        <v>73.600177271391203</v>
      </c>
      <c r="BA35" s="12">
        <f t="shared" si="19"/>
        <v>10581.75992648692</v>
      </c>
      <c r="BC35" s="14">
        <f t="shared" si="20"/>
        <v>75.270550266537001</v>
      </c>
      <c r="BD35" s="15">
        <f t="shared" si="21"/>
        <v>12218.778315825681</v>
      </c>
      <c r="BF35" s="16">
        <f t="shared" si="24"/>
        <v>61.637779450663601</v>
      </c>
      <c r="BG35" s="17">
        <f t="shared" si="25"/>
        <v>10500.332995440824</v>
      </c>
      <c r="BI35">
        <v>71</v>
      </c>
      <c r="BJ35" t="s">
        <v>62</v>
      </c>
      <c r="BK35" s="2">
        <v>46190.08489583333</v>
      </c>
      <c r="BL35">
        <v>37</v>
      </c>
      <c r="BM35" t="s">
        <v>13</v>
      </c>
      <c r="BN35">
        <v>0</v>
      </c>
      <c r="BO35">
        <v>2.8769999999999998</v>
      </c>
      <c r="BP35" s="3">
        <v>837755</v>
      </c>
      <c r="BQ35">
        <v>0</v>
      </c>
      <c r="BR35" t="s">
        <v>14</v>
      </c>
      <c r="BS35" t="s">
        <v>14</v>
      </c>
      <c r="BT35" t="s">
        <v>14</v>
      </c>
      <c r="BU35" t="s">
        <v>14</v>
      </c>
    </row>
    <row r="36" spans="1:73" x14ac:dyDescent="0.35">
      <c r="A36">
        <v>72</v>
      </c>
      <c r="B36" t="s">
        <v>63</v>
      </c>
      <c r="C36" s="2">
        <v>46190.106122685182</v>
      </c>
      <c r="D36">
        <v>31</v>
      </c>
      <c r="E36" t="s">
        <v>13</v>
      </c>
      <c r="F36">
        <v>0</v>
      </c>
      <c r="G36">
        <v>6.0590000000000002</v>
      </c>
      <c r="H36" s="3">
        <v>31114</v>
      </c>
      <c r="I36">
        <v>6.3E-2</v>
      </c>
      <c r="J36" t="s">
        <v>14</v>
      </c>
      <c r="K36" t="s">
        <v>14</v>
      </c>
      <c r="L36" t="s">
        <v>14</v>
      </c>
      <c r="M36" t="s">
        <v>14</v>
      </c>
      <c r="O36">
        <v>72</v>
      </c>
      <c r="P36" t="s">
        <v>63</v>
      </c>
      <c r="Q36" s="2">
        <v>46190.106122685182</v>
      </c>
      <c r="R36">
        <v>31</v>
      </c>
      <c r="S36" t="s">
        <v>13</v>
      </c>
      <c r="T36">
        <v>0</v>
      </c>
      <c r="U36" t="s">
        <v>14</v>
      </c>
      <c r="V36" s="3" t="s">
        <v>14</v>
      </c>
      <c r="W36" t="s">
        <v>14</v>
      </c>
      <c r="X36" t="s">
        <v>14</v>
      </c>
      <c r="Y36" t="s">
        <v>14</v>
      </c>
      <c r="Z36" t="s">
        <v>14</v>
      </c>
      <c r="AA36" t="s">
        <v>14</v>
      </c>
      <c r="AC36">
        <v>72</v>
      </c>
      <c r="AD36" t="s">
        <v>63</v>
      </c>
      <c r="AE36" s="2">
        <v>46190.106122685182</v>
      </c>
      <c r="AF36">
        <v>31</v>
      </c>
      <c r="AG36" t="s">
        <v>13</v>
      </c>
      <c r="AH36">
        <v>0</v>
      </c>
      <c r="AI36">
        <v>12.32</v>
      </c>
      <c r="AJ36" s="3">
        <v>6244</v>
      </c>
      <c r="AK36">
        <v>1.159</v>
      </c>
      <c r="AL36" t="s">
        <v>14</v>
      </c>
      <c r="AM36" t="s">
        <v>14</v>
      </c>
      <c r="AN36" t="s">
        <v>14</v>
      </c>
      <c r="AO36" t="s">
        <v>14</v>
      </c>
      <c r="AQ36">
        <v>1</v>
      </c>
      <c r="AS36" s="8">
        <v>72</v>
      </c>
      <c r="AT36" s="16">
        <f t="shared" si="22"/>
        <v>70.622134313105605</v>
      </c>
      <c r="AU36" s="17">
        <f t="shared" si="23"/>
        <v>1205.65616391344</v>
      </c>
      <c r="AW36" s="9">
        <f t="shared" si="16"/>
        <v>82.733238269308004</v>
      </c>
      <c r="AX36" s="10">
        <f t="shared" si="17"/>
        <v>1484.0337848304</v>
      </c>
      <c r="AZ36" s="11">
        <f t="shared" si="18"/>
        <v>85.598904208355208</v>
      </c>
      <c r="BA36" s="12">
        <f t="shared" si="19"/>
        <v>1311.7885453471999</v>
      </c>
      <c r="BC36" s="14">
        <f t="shared" si="20"/>
        <v>86.372142698052002</v>
      </c>
      <c r="BD36" s="15">
        <f t="shared" si="21"/>
        <v>1285.8456816084802</v>
      </c>
      <c r="BF36" s="16">
        <f t="shared" si="24"/>
        <v>70.622134313105605</v>
      </c>
      <c r="BG36" s="17">
        <f t="shared" si="25"/>
        <v>1205.65616391344</v>
      </c>
      <c r="BI36">
        <v>72</v>
      </c>
      <c r="BJ36" t="s">
        <v>63</v>
      </c>
      <c r="BK36" s="2">
        <v>46190.106122685182</v>
      </c>
      <c r="BL36">
        <v>31</v>
      </c>
      <c r="BM36" t="s">
        <v>13</v>
      </c>
      <c r="BN36">
        <v>0</v>
      </c>
      <c r="BO36">
        <v>2.8929999999999998</v>
      </c>
      <c r="BP36" s="3">
        <v>733180</v>
      </c>
      <c r="BQ36">
        <v>0</v>
      </c>
      <c r="BR36" t="s">
        <v>14</v>
      </c>
      <c r="BS36" t="s">
        <v>14</v>
      </c>
      <c r="BT36" t="s">
        <v>14</v>
      </c>
      <c r="BU36" t="s">
        <v>14</v>
      </c>
    </row>
    <row r="37" spans="1:73" x14ac:dyDescent="0.35">
      <c r="A37">
        <v>73</v>
      </c>
      <c r="B37" t="s">
        <v>64</v>
      </c>
      <c r="C37" s="2">
        <v>46190.127372685187</v>
      </c>
      <c r="D37">
        <v>402</v>
      </c>
      <c r="E37" t="s">
        <v>13</v>
      </c>
      <c r="F37">
        <v>0</v>
      </c>
      <c r="G37">
        <v>6.0620000000000003</v>
      </c>
      <c r="H37" s="3">
        <v>39729</v>
      </c>
      <c r="I37">
        <v>8.1000000000000003E-2</v>
      </c>
      <c r="J37" t="s">
        <v>14</v>
      </c>
      <c r="K37" t="s">
        <v>14</v>
      </c>
      <c r="L37" t="s">
        <v>14</v>
      </c>
      <c r="M37" t="s">
        <v>14</v>
      </c>
      <c r="O37">
        <v>73</v>
      </c>
      <c r="P37" t="s">
        <v>64</v>
      </c>
      <c r="Q37" s="2">
        <v>46190.127372685187</v>
      </c>
      <c r="R37">
        <v>402</v>
      </c>
      <c r="S37" t="s">
        <v>13</v>
      </c>
      <c r="T37">
        <v>0</v>
      </c>
      <c r="U37" t="s">
        <v>14</v>
      </c>
      <c r="V37" s="3" t="s">
        <v>14</v>
      </c>
      <c r="W37" t="s">
        <v>14</v>
      </c>
      <c r="X37" t="s">
        <v>14</v>
      </c>
      <c r="Y37" t="s">
        <v>14</v>
      </c>
      <c r="Z37" t="s">
        <v>14</v>
      </c>
      <c r="AA37" t="s">
        <v>14</v>
      </c>
      <c r="AC37">
        <v>73</v>
      </c>
      <c r="AD37" t="s">
        <v>64</v>
      </c>
      <c r="AE37" s="2">
        <v>46190.127372685187</v>
      </c>
      <c r="AF37">
        <v>402</v>
      </c>
      <c r="AG37" t="s">
        <v>13</v>
      </c>
      <c r="AH37">
        <v>0</v>
      </c>
      <c r="AI37">
        <v>12.337</v>
      </c>
      <c r="AJ37" s="3">
        <v>190</v>
      </c>
      <c r="AK37">
        <v>0.125</v>
      </c>
      <c r="AL37" t="s">
        <v>14</v>
      </c>
      <c r="AM37" t="s">
        <v>14</v>
      </c>
      <c r="AN37" t="s">
        <v>14</v>
      </c>
      <c r="AO37" t="s">
        <v>14</v>
      </c>
      <c r="AQ37">
        <v>1</v>
      </c>
      <c r="AS37" s="8">
        <v>73</v>
      </c>
      <c r="AT37" s="16">
        <f t="shared" si="22"/>
        <v>89.173112708807608</v>
      </c>
      <c r="AU37" s="17">
        <f t="shared" si="23"/>
        <v>80.034292018999992</v>
      </c>
      <c r="AW37" s="9">
        <f t="shared" si="16"/>
        <v>107.986220543543</v>
      </c>
      <c r="AX37" s="10">
        <f t="shared" si="17"/>
        <v>24.623534790000001</v>
      </c>
      <c r="AZ37" s="11">
        <f t="shared" si="18"/>
        <v>110.3975309742392</v>
      </c>
      <c r="BA37" s="12">
        <f t="shared" si="19"/>
        <v>73.047841219999995</v>
      </c>
      <c r="BC37" s="14">
        <f t="shared" si="20"/>
        <v>109.317060525017</v>
      </c>
      <c r="BD37" s="15">
        <f t="shared" si="21"/>
        <v>-90.738771426999989</v>
      </c>
      <c r="BF37" s="16">
        <f t="shared" si="24"/>
        <v>89.173112708807608</v>
      </c>
      <c r="BG37" s="17">
        <f t="shared" si="25"/>
        <v>80.034292018999992</v>
      </c>
      <c r="BI37">
        <v>73</v>
      </c>
      <c r="BJ37" t="s">
        <v>64</v>
      </c>
      <c r="BK37" s="2">
        <v>46190.127372685187</v>
      </c>
      <c r="BL37">
        <v>402</v>
      </c>
      <c r="BM37" t="s">
        <v>13</v>
      </c>
      <c r="BN37">
        <v>0</v>
      </c>
      <c r="BO37">
        <v>2.8919999999999999</v>
      </c>
      <c r="BP37" s="3">
        <v>790939</v>
      </c>
      <c r="BQ37">
        <v>0</v>
      </c>
      <c r="BR37" t="s">
        <v>14</v>
      </c>
      <c r="BS37" t="s">
        <v>14</v>
      </c>
      <c r="BT37" t="s">
        <v>14</v>
      </c>
      <c r="BU37" t="s">
        <v>14</v>
      </c>
    </row>
    <row r="38" spans="1:73" x14ac:dyDescent="0.35">
      <c r="A38">
        <v>74</v>
      </c>
      <c r="B38" t="s">
        <v>65</v>
      </c>
      <c r="C38" s="2">
        <v>46190.148587962962</v>
      </c>
      <c r="D38">
        <v>34</v>
      </c>
      <c r="E38" t="s">
        <v>13</v>
      </c>
      <c r="F38">
        <v>0</v>
      </c>
      <c r="G38">
        <v>6.0659999999999998</v>
      </c>
      <c r="H38" s="3">
        <v>4902</v>
      </c>
      <c r="I38">
        <v>0.01</v>
      </c>
      <c r="J38" t="s">
        <v>14</v>
      </c>
      <c r="K38" t="s">
        <v>14</v>
      </c>
      <c r="L38" t="s">
        <v>14</v>
      </c>
      <c r="M38" t="s">
        <v>14</v>
      </c>
      <c r="O38">
        <v>74</v>
      </c>
      <c r="P38" t="s">
        <v>65</v>
      </c>
      <c r="Q38" s="2">
        <v>46190.148587962962</v>
      </c>
      <c r="R38">
        <v>34</v>
      </c>
      <c r="S38" t="s">
        <v>13</v>
      </c>
      <c r="T38">
        <v>0</v>
      </c>
      <c r="U38" t="s">
        <v>14</v>
      </c>
      <c r="V38" t="s">
        <v>14</v>
      </c>
      <c r="W38" t="s">
        <v>14</v>
      </c>
      <c r="X38" t="s">
        <v>14</v>
      </c>
      <c r="Y38" t="s">
        <v>14</v>
      </c>
      <c r="Z38" t="s">
        <v>14</v>
      </c>
      <c r="AA38" t="s">
        <v>14</v>
      </c>
      <c r="AC38">
        <v>74</v>
      </c>
      <c r="AD38" t="s">
        <v>65</v>
      </c>
      <c r="AE38" s="2">
        <v>46190.148587962962</v>
      </c>
      <c r="AF38">
        <v>34</v>
      </c>
      <c r="AG38" t="s">
        <v>13</v>
      </c>
      <c r="AH38">
        <v>0</v>
      </c>
      <c r="AI38">
        <v>12.323</v>
      </c>
      <c r="AJ38" s="3">
        <v>6741</v>
      </c>
      <c r="AK38">
        <v>1.244</v>
      </c>
      <c r="AL38" t="s">
        <v>14</v>
      </c>
      <c r="AM38" t="s">
        <v>14</v>
      </c>
      <c r="AN38" t="s">
        <v>14</v>
      </c>
      <c r="AO38" t="s">
        <v>14</v>
      </c>
      <c r="AQ38">
        <v>1</v>
      </c>
      <c r="AS38" s="8">
        <v>74</v>
      </c>
      <c r="AT38" s="16">
        <f t="shared" si="22"/>
        <v>14.069464050743999</v>
      </c>
      <c r="AU38" s="17">
        <f t="shared" si="23"/>
        <v>1298.1800362889899</v>
      </c>
      <c r="AW38" s="9">
        <f t="shared" si="16"/>
        <v>2.3379561600000009</v>
      </c>
      <c r="AX38" s="10">
        <f t="shared" si="17"/>
        <v>1602.3583229558999</v>
      </c>
      <c r="AZ38" s="11">
        <f t="shared" si="18"/>
        <v>9.5866575725599983</v>
      </c>
      <c r="BA38" s="12">
        <f t="shared" si="19"/>
        <v>1413.2876233561999</v>
      </c>
      <c r="BC38" s="14">
        <f t="shared" si="20"/>
        <v>14.003847426771999</v>
      </c>
      <c r="BD38" s="15">
        <f t="shared" si="21"/>
        <v>1398.69590615533</v>
      </c>
      <c r="BF38" s="16">
        <f t="shared" si="24"/>
        <v>14.069464050743999</v>
      </c>
      <c r="BG38" s="17">
        <f t="shared" si="25"/>
        <v>1298.1800362889899</v>
      </c>
      <c r="BI38">
        <v>74</v>
      </c>
      <c r="BJ38" t="s">
        <v>65</v>
      </c>
      <c r="BK38" s="2">
        <v>46190.148587962962</v>
      </c>
      <c r="BL38">
        <v>34</v>
      </c>
      <c r="BM38" t="s">
        <v>13</v>
      </c>
      <c r="BN38">
        <v>0</v>
      </c>
      <c r="BO38">
        <v>2.891</v>
      </c>
      <c r="BP38" s="3">
        <v>792998</v>
      </c>
      <c r="BQ38">
        <v>0</v>
      </c>
      <c r="BR38" t="s">
        <v>14</v>
      </c>
      <c r="BS38" t="s">
        <v>14</v>
      </c>
      <c r="BT38" t="s">
        <v>14</v>
      </c>
      <c r="BU38" t="s">
        <v>14</v>
      </c>
    </row>
    <row r="39" spans="1:73" x14ac:dyDescent="0.35">
      <c r="A39">
        <v>75</v>
      </c>
      <c r="B39" t="s">
        <v>66</v>
      </c>
      <c r="C39" s="2">
        <v>46190.16983796296</v>
      </c>
      <c r="D39">
        <v>310</v>
      </c>
      <c r="E39" t="s">
        <v>13</v>
      </c>
      <c r="F39">
        <v>0</v>
      </c>
      <c r="G39">
        <v>6.0549999999999997</v>
      </c>
      <c r="H39" s="3">
        <v>8683</v>
      </c>
      <c r="I39">
        <v>1.7999999999999999E-2</v>
      </c>
      <c r="J39" t="s">
        <v>14</v>
      </c>
      <c r="K39" t="s">
        <v>14</v>
      </c>
      <c r="L39" t="s">
        <v>14</v>
      </c>
      <c r="M39" t="s">
        <v>14</v>
      </c>
      <c r="O39">
        <v>75</v>
      </c>
      <c r="P39" t="s">
        <v>66</v>
      </c>
      <c r="Q39" s="2">
        <v>46190.16983796296</v>
      </c>
      <c r="R39">
        <v>310</v>
      </c>
      <c r="S39" t="s">
        <v>13</v>
      </c>
      <c r="T39">
        <v>0</v>
      </c>
      <c r="U39" t="s">
        <v>14</v>
      </c>
      <c r="V39" s="3" t="s">
        <v>14</v>
      </c>
      <c r="W39" t="s">
        <v>14</v>
      </c>
      <c r="X39" t="s">
        <v>14</v>
      </c>
      <c r="Y39" t="s">
        <v>14</v>
      </c>
      <c r="Z39" t="s">
        <v>14</v>
      </c>
      <c r="AA39" t="s">
        <v>14</v>
      </c>
      <c r="AC39">
        <v>75</v>
      </c>
      <c r="AD39" t="s">
        <v>66</v>
      </c>
      <c r="AE39" s="2">
        <v>46190.16983796296</v>
      </c>
      <c r="AF39">
        <v>310</v>
      </c>
      <c r="AG39" t="s">
        <v>13</v>
      </c>
      <c r="AH39">
        <v>0</v>
      </c>
      <c r="AI39">
        <v>12.223000000000001</v>
      </c>
      <c r="AJ39" s="3">
        <v>80679</v>
      </c>
      <c r="AK39">
        <v>13.872</v>
      </c>
      <c r="AL39" t="s">
        <v>14</v>
      </c>
      <c r="AM39" t="s">
        <v>14</v>
      </c>
      <c r="AN39" t="s">
        <v>14</v>
      </c>
      <c r="AO39" t="s">
        <v>14</v>
      </c>
      <c r="AQ39">
        <v>1</v>
      </c>
      <c r="AS39" s="8">
        <v>75</v>
      </c>
      <c r="AT39" s="16">
        <f t="shared" si="22"/>
        <v>23.728199867853998</v>
      </c>
      <c r="AU39" s="17">
        <f t="shared" si="23"/>
        <v>14817.8082267665</v>
      </c>
      <c r="AW39" s="9">
        <f t="shared" si="16"/>
        <v>12.05852906</v>
      </c>
      <c r="AX39" s="10">
        <f t="shared" si="17"/>
        <v>17940.966067423102</v>
      </c>
      <c r="AZ39" s="11">
        <f t="shared" si="18"/>
        <v>21.796440101459996</v>
      </c>
      <c r="BA39" s="12">
        <f t="shared" si="19"/>
        <v>15936.964001984772</v>
      </c>
      <c r="BC39" s="14">
        <f t="shared" si="20"/>
        <v>27.605531395077001</v>
      </c>
      <c r="BD39" s="15">
        <f t="shared" si="21"/>
        <v>17843.254646944577</v>
      </c>
      <c r="BF39" s="16">
        <f t="shared" si="24"/>
        <v>23.728199867853998</v>
      </c>
      <c r="BG39" s="17">
        <f t="shared" si="25"/>
        <v>14817.8082267665</v>
      </c>
      <c r="BI39">
        <v>75</v>
      </c>
      <c r="BJ39" t="s">
        <v>66</v>
      </c>
      <c r="BK39" s="2">
        <v>46190.16983796296</v>
      </c>
      <c r="BL39">
        <v>310</v>
      </c>
      <c r="BM39" t="s">
        <v>13</v>
      </c>
      <c r="BN39">
        <v>0</v>
      </c>
      <c r="BO39">
        <v>2.8759999999999999</v>
      </c>
      <c r="BP39" s="3">
        <v>871908</v>
      </c>
      <c r="BQ39">
        <v>0</v>
      </c>
      <c r="BR39" t="s">
        <v>14</v>
      </c>
      <c r="BS39" t="s">
        <v>14</v>
      </c>
      <c r="BT39" t="s">
        <v>14</v>
      </c>
      <c r="BU39" t="s">
        <v>14</v>
      </c>
    </row>
    <row r="40" spans="1:73" x14ac:dyDescent="0.35">
      <c r="A40">
        <v>76</v>
      </c>
      <c r="B40" t="s">
        <v>67</v>
      </c>
      <c r="C40" s="2">
        <v>46190.191076388888</v>
      </c>
      <c r="D40">
        <v>242</v>
      </c>
      <c r="E40" t="s">
        <v>13</v>
      </c>
      <c r="F40">
        <v>0</v>
      </c>
      <c r="G40">
        <v>6.06</v>
      </c>
      <c r="H40" s="3">
        <v>44426</v>
      </c>
      <c r="I40">
        <v>0.09</v>
      </c>
      <c r="J40" t="s">
        <v>14</v>
      </c>
      <c r="K40" t="s">
        <v>14</v>
      </c>
      <c r="L40" t="s">
        <v>14</v>
      </c>
      <c r="M40" t="s">
        <v>14</v>
      </c>
      <c r="O40">
        <v>76</v>
      </c>
      <c r="P40" t="s">
        <v>67</v>
      </c>
      <c r="Q40" s="2">
        <v>46190.191076388888</v>
      </c>
      <c r="R40">
        <v>242</v>
      </c>
      <c r="S40" t="s">
        <v>13</v>
      </c>
      <c r="T40">
        <v>0</v>
      </c>
      <c r="U40" t="s">
        <v>14</v>
      </c>
      <c r="V40" t="s">
        <v>14</v>
      </c>
      <c r="W40" t="s">
        <v>14</v>
      </c>
      <c r="X40" t="s">
        <v>14</v>
      </c>
      <c r="Y40" t="s">
        <v>14</v>
      </c>
      <c r="Z40" t="s">
        <v>14</v>
      </c>
      <c r="AA40" t="s">
        <v>14</v>
      </c>
      <c r="AC40">
        <v>76</v>
      </c>
      <c r="AD40" t="s">
        <v>67</v>
      </c>
      <c r="AE40" s="2">
        <v>46190.191076388888</v>
      </c>
      <c r="AF40">
        <v>242</v>
      </c>
      <c r="AG40" t="s">
        <v>13</v>
      </c>
      <c r="AH40">
        <v>0</v>
      </c>
      <c r="AI40">
        <v>12.353999999999999</v>
      </c>
      <c r="AJ40" s="3">
        <v>36</v>
      </c>
      <c r="AK40">
        <v>9.8000000000000004E-2</v>
      </c>
      <c r="AL40" t="s">
        <v>14</v>
      </c>
      <c r="AM40" t="s">
        <v>14</v>
      </c>
      <c r="AN40" t="s">
        <v>14</v>
      </c>
      <c r="AO40" t="s">
        <v>14</v>
      </c>
      <c r="AQ40">
        <v>1</v>
      </c>
      <c r="AS40" s="8">
        <v>76</v>
      </c>
      <c r="AT40" s="16">
        <f t="shared" si="22"/>
        <v>99.263790809233598</v>
      </c>
      <c r="AU40" s="17">
        <f t="shared" si="23"/>
        <v>51.435246383840003</v>
      </c>
      <c r="AW40" s="9">
        <f t="shared" si="16"/>
        <v>121.655841236348</v>
      </c>
      <c r="AX40" s="10">
        <f t="shared" si="17"/>
        <v>-12.9365911056</v>
      </c>
      <c r="AZ40" s="11">
        <f t="shared" si="18"/>
        <v>123.89997825533121</v>
      </c>
      <c r="BA40" s="12">
        <f t="shared" si="19"/>
        <v>41.479922499200001</v>
      </c>
      <c r="BC40" s="14">
        <f t="shared" si="20"/>
        <v>121.810456927812</v>
      </c>
      <c r="BD40" s="15">
        <f t="shared" si="21"/>
        <v>-125.80286359471999</v>
      </c>
      <c r="BF40" s="16">
        <f t="shared" si="24"/>
        <v>99.263790809233598</v>
      </c>
      <c r="BG40" s="17">
        <f t="shared" si="25"/>
        <v>51.435246383840003</v>
      </c>
      <c r="BI40">
        <v>76</v>
      </c>
      <c r="BJ40" t="s">
        <v>67</v>
      </c>
      <c r="BK40" s="2">
        <v>46190.191076388888</v>
      </c>
      <c r="BL40">
        <v>242</v>
      </c>
      <c r="BM40" t="s">
        <v>13</v>
      </c>
      <c r="BN40">
        <v>0</v>
      </c>
      <c r="BO40">
        <v>2.875</v>
      </c>
      <c r="BP40" s="3">
        <v>1075270</v>
      </c>
      <c r="BQ40">
        <v>0</v>
      </c>
      <c r="BR40" t="s">
        <v>14</v>
      </c>
      <c r="BS40" t="s">
        <v>14</v>
      </c>
      <c r="BT40" t="s">
        <v>14</v>
      </c>
      <c r="BU40" t="s">
        <v>14</v>
      </c>
    </row>
    <row r="41" spans="1:73" x14ac:dyDescent="0.35">
      <c r="C41" s="2"/>
      <c r="H41" s="3"/>
      <c r="Q41" s="2"/>
      <c r="AE41" s="2"/>
      <c r="AJ41" s="3"/>
      <c r="AS41" s="8"/>
      <c r="AT41" s="14"/>
      <c r="AU41" s="15"/>
      <c r="AW41" s="9"/>
      <c r="AX41" s="10"/>
      <c r="AZ41" s="11"/>
      <c r="BA41" s="12"/>
      <c r="BC41" s="14"/>
      <c r="BD41" s="15"/>
      <c r="BF41" s="14"/>
      <c r="BG41" s="15"/>
      <c r="BK41" s="2"/>
      <c r="BP41" s="3"/>
    </row>
    <row r="42" spans="1:73" x14ac:dyDescent="0.35">
      <c r="C42" s="2"/>
      <c r="H42" s="3"/>
      <c r="Q42" s="2"/>
      <c r="AE42" s="2"/>
      <c r="AS42" s="8"/>
      <c r="AT42" s="14"/>
      <c r="AU42" s="15"/>
      <c r="AW42" s="9"/>
      <c r="AX42" s="10"/>
      <c r="AZ42" s="11"/>
      <c r="BA42" s="12"/>
      <c r="BC42" s="14"/>
      <c r="BD42" s="15"/>
      <c r="BF42" s="14"/>
      <c r="BG42" s="15"/>
      <c r="BK42" s="2"/>
      <c r="BP42" s="3"/>
    </row>
    <row r="43" spans="1:73" x14ac:dyDescent="0.35">
      <c r="C43" s="2"/>
      <c r="H43" s="3"/>
      <c r="Q43" s="2"/>
      <c r="AE43" s="2"/>
      <c r="AS43" s="8"/>
      <c r="AT43" s="14"/>
      <c r="AU43" s="15"/>
      <c r="AW43" s="9"/>
      <c r="AX43" s="10"/>
      <c r="AZ43" s="11"/>
      <c r="BA43" s="12"/>
      <c r="BC43" s="14"/>
      <c r="BD43" s="15"/>
      <c r="BF43" s="14"/>
      <c r="BG43" s="15"/>
      <c r="BK43" s="2"/>
      <c r="BP4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2026-06-18T20:21:11Z</dcterms:modified>
</cp:coreProperties>
</file>