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A9632AF2-B70C-4662-BACD-566A21454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<sst xmlns="http://schemas.openxmlformats.org/spreadsheetml/2006/main" count="491" uniqueCount="51">
  <si>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</si>
  <si>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</si>
  <si>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</si>
  <si>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</si>
  <si>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</si>
  <si>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</si>
  <si>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</si>
  <si>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</si>
  <si>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</si>
  <si>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</si>
  <si>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</si>
  <si>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</si>
  <si>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</si>
  <si>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</si>
  <si>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</si>
  <si>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</si>
  <si>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</si>
  <si>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</si>
  <si>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</si>
  <si>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</si>
  <si>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</si>
  <si>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</si>
  <si>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</si>
  <si>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</si>
  <si>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</si>
  <si>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</si>
  <si>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</si>
  <si>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</si>
  <si>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</si>
  <si>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</si>
  <si>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</si>
  <si>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</si>
  <si>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</si>
  <si>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</si>
  <si>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</si>
  <si>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FMI20260618_001.gcd</t>
  </si>
  <si>
    <t>FMI20260618_002.gcd</t>
  </si>
  <si>
    <t>FMI20260618_003.gcd</t>
  </si>
  <si>
    <t>FMI20260618_004.gcd</t>
  </si>
  <si>
    <t>helium flushed</t>
  </si>
  <si>
    <t>FMI20260618_005.gcd</t>
  </si>
  <si>
    <t>FMI20260618_006.gcd</t>
  </si>
  <si>
    <t>FMI20260618_007.gcd</t>
  </si>
  <si>
    <t>FMI20260618_008.gcd</t>
  </si>
  <si>
    <t>FMI20260618_009.gcd</t>
  </si>
  <si>
    <t>FMI20260618_010.gcd</t>
  </si>
  <si>
    <t>FMI20260618_011.gcd</t>
  </si>
  <si>
    <t>FMI20260618_012.gcd</t>
  </si>
  <si>
    <t>FMI20260618_013.gcd</t>
  </si>
  <si>
    <t>FMI20260618_014.gcd</t>
  </si>
  <si>
    <t>FMI20260618_015.gcd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</si>
</sst>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B4" workbookViewId="0">
      <selection activeCell="AL18" sqref="AL18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46191.617546296293</v>
      </c>
      <c r="D9" t="s">
        <v>31</v>
      </c>
      <c r="E9" t="s">
        <v>13</v>
      </c>
      <c r="F9">
        <v>0</v>
      </c>
      <c r="G9">
        <v>6.1050000000000004</v>
      </c>
      <c r="H9" s="3">
        <v>1823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46191.617546296293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46191.617546296293</v>
      </c>
      <c r="AF9" t="s">
        <v>31</v>
      </c>
      <c r="AG9" t="s">
        <v>13</v>
      </c>
      <c r="AH9">
        <v>0</v>
      </c>
      <c r="AI9">
        <v>12.378</v>
      </c>
      <c r="AJ9" s="3">
        <v>2282</v>
      </c>
      <c r="AK9">
        <v>0.48199999999999998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3" si="0">IF($H9&lt;10000,(($H9^2*-0.000000003714)+($H9*0.002605)+(1.389)),(IF($H9&lt;200000,(($H9^2*-0.0000000003764)+($H9*0.00218)+(3.158)),(IF($H9&lt;8000000,(($H9^2*-0.000000000004719)+($H9*0.001816)+(146.1)),(($V9^2*0.000000002578)+($V9*0.2173)+(2294)))))))</f>
        <v>6.1255721560940009</v>
      </c>
      <c r="AU9" s="17">
        <f t="shared" ref="AU9:AU23" si="1">IF($AJ9&lt;45000,((0.00000003579*$AJ9^2)+(0.1857*$AJ9)+(44.75)),((0.0000000022829*$AJ9^2)+(0.1634*$AJ9)+(1620)))</f>
        <v>468.70377728395999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5.8280026600000001</v>
      </c>
      <c r="AX9" s="10">
        <f t="shared" ref="AX9:AX14" si="3">IF(AJ9&lt;45000,((-0.0000004561*AJ9^2)+(0.244*AJ9)+(-21.72)),((-0.0000000409*AJ9^2)+(0.2477*AJ9)+(-1777)))</f>
        <v>532.71284830359991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0.85071401905999977</v>
      </c>
      <c r="BA9" s="12">
        <f t="shared" ref="BA9:BA14" si="5">IF(AJ9&lt;45000,((-0.0000000598*AJ9^2)+(0.205*AJ9)+(34.1)),((-0.00000002403*AJ9^2)+(0.2063*AJ9)+(-550.7)))</f>
        <v>501.59859006479996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3.1069110331969991</v>
      </c>
      <c r="BD9" s="15">
        <f t="shared" ref="BD9:BD14" si="7">IF(AJ9&lt;45000,((-0.00000004907*AJ9^2)+(0.2277*AJ9)+(-134)),((-0.00000001062*AJ9^2)+(0.2147*AJ9)+(590.6)))</f>
        <v>385.35586679732</v>
      </c>
      <c r="BF9" s="16">
        <f t="shared" ref="BF9:BF23" si="8">IF($H9&lt;10000,(($H9^2*-0.000000003714)+($H9*0.002605)+(1.389)),(IF($H9&lt;200000,(($H9^2*-0.0000000003764)+($H9*0.00218)+(3.158)),(IF($H9&lt;8000000,(($H9^2*-0.000000000004719)+($H9*0.001816)+(146.1)),(($V9^2*0.000000002578)+($V9*0.2173)+(2294)))))))</f>
        <v>6.1255721560940009</v>
      </c>
      <c r="BG9" s="17">
        <f t="shared" ref="BG9:BG23" si="9">IF($AJ9&lt;45000,((0.00000003579*$AJ9^2)+(0.1857*$AJ9)+(44.75)),((0.0000000022829*$AJ9^2)+(0.1634*$AJ9)+(1620)))</f>
        <v>468.70377728395999</v>
      </c>
      <c r="BI9">
        <v>45</v>
      </c>
      <c r="BJ9" t="s">
        <v>35</v>
      </c>
      <c r="BK9" s="2">
        <v>46191.617546296293</v>
      </c>
      <c r="BL9" t="s">
        <v>31</v>
      </c>
      <c r="BM9" t="s">
        <v>13</v>
      </c>
      <c r="BN9">
        <v>0</v>
      </c>
      <c r="BO9">
        <v>2.722</v>
      </c>
      <c r="BP9" s="3">
        <v>5196280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46191.638773148145</v>
      </c>
      <c r="D10" t="s">
        <v>32</v>
      </c>
      <c r="E10" t="s">
        <v>13</v>
      </c>
      <c r="F10">
        <v>0</v>
      </c>
      <c r="G10">
        <v>6.0529999999999999</v>
      </c>
      <c r="H10" s="3">
        <v>1030734</v>
      </c>
      <c r="I10">
        <v>2.0960000000000001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46191.638773148145</v>
      </c>
      <c r="R10" t="s">
        <v>32</v>
      </c>
      <c r="S10" t="s">
        <v>13</v>
      </c>
      <c r="T10">
        <v>0</v>
      </c>
      <c r="U10">
        <v>6.0060000000000002</v>
      </c>
      <c r="V10" s="3">
        <v>9834</v>
      </c>
      <c r="W10">
        <v>2.3889999999999998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46191.638773148145</v>
      </c>
      <c r="AF10" t="s">
        <v>32</v>
      </c>
      <c r="AG10" t="s">
        <v>13</v>
      </c>
      <c r="AH10">
        <v>0</v>
      </c>
      <c r="AI10">
        <v>12.348000000000001</v>
      </c>
      <c r="AJ10" s="3">
        <v>8456</v>
      </c>
      <c r="AK10">
        <v>1.5369999999999999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2012.8994190408503</v>
      </c>
      <c r="AU10" s="17">
        <f t="shared" si="1"/>
        <v>1617.58832586944</v>
      </c>
      <c r="AW10" s="9">
        <f t="shared" si="2"/>
        <v>2133.9630860351385</v>
      </c>
      <c r="AX10" s="10">
        <f t="shared" si="3"/>
        <v>2008.9310547904001</v>
      </c>
      <c r="AZ10" s="11">
        <f t="shared" si="4"/>
        <v>2359.2760040117128</v>
      </c>
      <c r="BA10" s="12">
        <f t="shared" si="5"/>
        <v>1763.3040646271998</v>
      </c>
      <c r="BC10" s="14">
        <f t="shared" si="6"/>
        <v>2286.510394260923</v>
      </c>
      <c r="BD10" s="15">
        <f t="shared" si="7"/>
        <v>1787.9225018604802</v>
      </c>
      <c r="BF10" s="16">
        <f t="shared" si="8"/>
        <v>2012.8994190408503</v>
      </c>
      <c r="BG10" s="17">
        <f t="shared" si="9"/>
        <v>1617.58832586944</v>
      </c>
      <c r="BI10">
        <v>46</v>
      </c>
      <c r="BJ10" t="s">
        <v>36</v>
      </c>
      <c r="BK10" s="2">
        <v>46191.638773148145</v>
      </c>
      <c r="BL10" t="s">
        <v>32</v>
      </c>
      <c r="BM10" t="s">
        <v>13</v>
      </c>
      <c r="BN10">
        <v>0</v>
      </c>
      <c r="BO10">
        <v>2.73</v>
      </c>
      <c r="BP10" s="3">
        <v>5047690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46191.66002314815</v>
      </c>
      <c r="D11" t="s">
        <v>26</v>
      </c>
      <c r="E11" t="s">
        <v>13</v>
      </c>
      <c r="F11">
        <v>0</v>
      </c>
      <c r="G11">
        <v>6.09</v>
      </c>
      <c r="H11" s="3">
        <v>2619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46191.66002314815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46191.66002314815</v>
      </c>
      <c r="AF11" t="s">
        <v>26</v>
      </c>
      <c r="AG11" t="s">
        <v>13</v>
      </c>
      <c r="AH11">
        <v>0</v>
      </c>
      <c r="AI11">
        <v>12.356</v>
      </c>
      <c r="AJ11" s="3">
        <v>1333</v>
      </c>
      <c r="AK11">
        <v>0.32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8.1860200760459989</v>
      </c>
      <c r="AU11" s="17">
        <f t="shared" si="1"/>
        <v>292.35169485731001</v>
      </c>
      <c r="AW11" s="9">
        <f t="shared" si="2"/>
        <v>3.9444119400000002</v>
      </c>
      <c r="AX11" s="10">
        <f t="shared" si="3"/>
        <v>302.72156092709997</v>
      </c>
      <c r="AZ11" s="11">
        <f t="shared" si="4"/>
        <v>3.00533945954</v>
      </c>
      <c r="BA11" s="12">
        <f t="shared" si="5"/>
        <v>307.2587420378</v>
      </c>
      <c r="BC11" s="14">
        <f t="shared" si="6"/>
        <v>5.9086128543730005</v>
      </c>
      <c r="BD11" s="15">
        <f t="shared" si="7"/>
        <v>169.43690805677005</v>
      </c>
      <c r="BF11" s="16">
        <f t="shared" si="8"/>
        <v>8.1860200760459989</v>
      </c>
      <c r="BG11" s="17">
        <f t="shared" si="9"/>
        <v>292.35169485731001</v>
      </c>
      <c r="BI11">
        <v>47</v>
      </c>
      <c r="BJ11" t="s">
        <v>37</v>
      </c>
      <c r="BK11" s="2">
        <v>46191.66002314815</v>
      </c>
      <c r="BL11" t="s">
        <v>26</v>
      </c>
      <c r="BM11" t="s">
        <v>13</v>
      </c>
      <c r="BN11">
        <v>0</v>
      </c>
      <c r="BO11">
        <v>2.73</v>
      </c>
      <c r="BP11" s="3">
        <v>5087584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46191.681273148148</v>
      </c>
      <c r="D12" t="s">
        <v>39</v>
      </c>
      <c r="E12" t="s">
        <v>13</v>
      </c>
      <c r="F12">
        <v>0</v>
      </c>
      <c r="G12">
        <v>6.109</v>
      </c>
      <c r="H12" s="3">
        <v>1153</v>
      </c>
      <c r="I12">
        <v>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46191.681273148148</v>
      </c>
      <c r="R12" t="s">
        <v>39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46191.681273148148</v>
      </c>
      <c r="AF12" t="s">
        <v>39</v>
      </c>
      <c r="AG12" t="s">
        <v>13</v>
      </c>
      <c r="AH12">
        <v>0</v>
      </c>
      <c r="AI12">
        <v>12.43</v>
      </c>
      <c r="AJ12" s="3">
        <v>38</v>
      </c>
      <c r="AK12">
        <v>9.9000000000000005E-2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4.3876275749740001</v>
      </c>
      <c r="AU12" s="17">
        <f t="shared" si="1"/>
        <v>51.806651680759998</v>
      </c>
      <c r="AW12" s="9">
        <f t="shared" si="2"/>
        <v>7.943835860000001</v>
      </c>
      <c r="AX12" s="10">
        <f t="shared" si="3"/>
        <v>-12.448658608399999</v>
      </c>
      <c r="AZ12" s="11">
        <f t="shared" si="4"/>
        <v>-0.90672856973999982</v>
      </c>
      <c r="BA12" s="12">
        <f t="shared" si="5"/>
        <v>41.889913648800004</v>
      </c>
      <c r="BC12" s="14">
        <f t="shared" si="6"/>
        <v>0.75703667063699953</v>
      </c>
      <c r="BD12" s="15">
        <f t="shared" si="7"/>
        <v>-125.34747085708</v>
      </c>
      <c r="BF12" s="16">
        <f t="shared" si="8"/>
        <v>4.3876275749740001</v>
      </c>
      <c r="BG12" s="17">
        <f t="shared" si="9"/>
        <v>51.806651680759998</v>
      </c>
      <c r="BI12">
        <v>48</v>
      </c>
      <c r="BJ12" t="s">
        <v>38</v>
      </c>
      <c r="BK12" s="2">
        <v>46191.681273148148</v>
      </c>
      <c r="BL12" t="s">
        <v>39</v>
      </c>
      <c r="BM12" t="s">
        <v>13</v>
      </c>
      <c r="BN12">
        <v>0</v>
      </c>
      <c r="BO12">
        <v>2.9260000000000002</v>
      </c>
      <c r="BP12" s="3">
        <v>212576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40</v>
      </c>
      <c r="C13" s="2">
        <v>46191.702499999999</v>
      </c>
      <c r="D13" t="s">
        <v>39</v>
      </c>
      <c r="E13" t="s">
        <v>13</v>
      </c>
      <c r="F13">
        <v>0</v>
      </c>
      <c r="G13">
        <v>6.1210000000000004</v>
      </c>
      <c r="H13" s="3">
        <v>1046</v>
      </c>
      <c r="I13">
        <v>2E-3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46191.702499999999</v>
      </c>
      <c r="R13" t="s">
        <v>39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46191.702499999999</v>
      </c>
      <c r="AF13" t="s">
        <v>39</v>
      </c>
      <c r="AG13" t="s">
        <v>13</v>
      </c>
      <c r="AH13">
        <v>0</v>
      </c>
      <c r="AI13">
        <v>12.500999999999999</v>
      </c>
      <c r="AJ13" s="3">
        <v>6</v>
      </c>
      <c r="AK13">
        <v>9.2999999999999999E-2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4.1097664531760003</v>
      </c>
      <c r="AU13" s="17">
        <f t="shared" si="1"/>
        <v>45.86420128844</v>
      </c>
      <c r="AW13" s="9">
        <f t="shared" si="2"/>
        <v>8.3266326399999997</v>
      </c>
      <c r="AX13" s="10">
        <f t="shared" si="3"/>
        <v>-20.256016419599998</v>
      </c>
      <c r="AZ13" s="11">
        <f t="shared" si="4"/>
        <v>-1.18264421176</v>
      </c>
      <c r="BA13" s="12">
        <f t="shared" si="5"/>
        <v>35.329997847200005</v>
      </c>
      <c r="BC13" s="14">
        <f t="shared" si="6"/>
        <v>0.38246432718799994</v>
      </c>
      <c r="BD13" s="15">
        <f t="shared" si="7"/>
        <v>-132.63380176652001</v>
      </c>
      <c r="BF13" s="16">
        <f t="shared" si="8"/>
        <v>4.1097664531760003</v>
      </c>
      <c r="BG13" s="17">
        <f t="shared" si="9"/>
        <v>45.86420128844</v>
      </c>
      <c r="BI13">
        <v>49</v>
      </c>
      <c r="BJ13" t="s">
        <v>40</v>
      </c>
      <c r="BK13" s="2">
        <v>46191.702499999999</v>
      </c>
      <c r="BL13" t="s">
        <v>39</v>
      </c>
      <c r="BM13" t="s">
        <v>13</v>
      </c>
      <c r="BN13">
        <v>0</v>
      </c>
      <c r="BO13">
        <v>2.9249999999999998</v>
      </c>
      <c r="BP13" s="3">
        <v>226529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41</v>
      </c>
      <c r="C14" s="2">
        <v>46191.723738425928</v>
      </c>
      <c r="D14">
        <v>240</v>
      </c>
      <c r="E14" t="s">
        <v>13</v>
      </c>
      <c r="F14">
        <v>0</v>
      </c>
      <c r="G14">
        <v>6.0650000000000004</v>
      </c>
      <c r="H14" s="3">
        <v>5823</v>
      </c>
      <c r="I14">
        <v>1.2E-2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41</v>
      </c>
      <c r="Q14" s="2">
        <v>46191.723738425928</v>
      </c>
      <c r="R14">
        <v>240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41</v>
      </c>
      <c r="AE14" s="2">
        <v>46191.723738425928</v>
      </c>
      <c r="AF14">
        <v>240</v>
      </c>
      <c r="AG14" t="s">
        <v>13</v>
      </c>
      <c r="AH14">
        <v>0</v>
      </c>
      <c r="AI14">
        <v>12.259</v>
      </c>
      <c r="AJ14" s="3">
        <v>40594</v>
      </c>
      <c r="AK14">
        <v>7.0270000000000001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16.431983180094001</v>
      </c>
      <c r="AU14" s="17">
        <f t="shared" si="1"/>
        <v>7642.0331688004399</v>
      </c>
      <c r="AW14" s="9">
        <f t="shared" si="2"/>
        <v>3.2833626600000034</v>
      </c>
      <c r="AX14" s="10">
        <f t="shared" si="3"/>
        <v>9131.6211995003996</v>
      </c>
      <c r="AZ14" s="11">
        <f t="shared" si="4"/>
        <v>12.410283779059998</v>
      </c>
      <c r="BA14" s="12">
        <f t="shared" si="5"/>
        <v>8257.3272044071982</v>
      </c>
      <c r="BC14" s="14">
        <f t="shared" si="6"/>
        <v>17.294660945197002</v>
      </c>
      <c r="BD14" s="15">
        <f t="shared" si="7"/>
        <v>9028.3926799374804</v>
      </c>
      <c r="BF14" s="16">
        <f t="shared" si="8"/>
        <v>16.431983180094001</v>
      </c>
      <c r="BG14" s="17">
        <f t="shared" si="9"/>
        <v>7642.0331688004399</v>
      </c>
      <c r="BI14">
        <v>50</v>
      </c>
      <c r="BJ14" t="s">
        <v>41</v>
      </c>
      <c r="BK14" s="2">
        <v>46191.723738425928</v>
      </c>
      <c r="BL14">
        <v>240</v>
      </c>
      <c r="BM14" t="s">
        <v>13</v>
      </c>
      <c r="BN14">
        <v>0</v>
      </c>
      <c r="BO14">
        <v>2.887</v>
      </c>
      <c r="BP14" s="3">
        <v>819741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42</v>
      </c>
      <c r="C15" s="2">
        <v>46191.744953703703</v>
      </c>
      <c r="D15">
        <v>7</v>
      </c>
      <c r="E15" t="s">
        <v>13</v>
      </c>
      <c r="F15">
        <v>0</v>
      </c>
      <c r="G15">
        <v>6.0640000000000001</v>
      </c>
      <c r="H15" s="3">
        <v>16416</v>
      </c>
      <c r="I15">
        <v>3.3000000000000002E-2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42</v>
      </c>
      <c r="Q15" s="2">
        <v>46191.744953703703</v>
      </c>
      <c r="R15">
        <v>7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42</v>
      </c>
      <c r="AE15" s="2">
        <v>46191.744953703703</v>
      </c>
      <c r="AF15">
        <v>7</v>
      </c>
      <c r="AG15" t="s">
        <v>13</v>
      </c>
      <c r="AH15">
        <v>0</v>
      </c>
      <c r="AI15">
        <v>12.315</v>
      </c>
      <c r="AJ15" s="3">
        <v>3943</v>
      </c>
      <c r="AK15">
        <v>0.76600000000000001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38.843445824921602</v>
      </c>
      <c r="AU15" s="17">
        <f t="shared" si="1"/>
        <v>777.52153604170996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39.108910066687997</v>
      </c>
      <c r="AX15" s="10">
        <f t="shared" ref="AX15:AX16" si="11">IF(AJ15&lt;45000,((-0.0000004561*AJ15^2)+(0.244*AJ15)+(-21.72)),((-0.0000000409*AJ15^2)+(0.2477*AJ15)+(-1777)))</f>
        <v>933.28089973109991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43.191156715827205</v>
      </c>
      <c r="BA15" s="12">
        <f t="shared" ref="BA15:BA16" si="13">IF(AJ15&lt;45000,((-0.0000000598*AJ15^2)+(0.205*AJ15)+(34.1)),((-0.00000002403*AJ15^2)+(0.2063*AJ15)+(-550.7)))</f>
        <v>841.48527450979998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47.135837430272005</v>
      </c>
      <c r="BD15" s="15">
        <f t="shared" ref="BD15:BD16" si="15">IF(AJ15&lt;45000,((-0.00000004907*AJ15^2)+(0.2277*AJ15)+(-134)),((-0.00000001062*AJ15^2)+(0.2147*AJ15)+(590.6)))</f>
        <v>763.05819649157002</v>
      </c>
      <c r="BF15" s="16">
        <f t="shared" si="8"/>
        <v>38.843445824921602</v>
      </c>
      <c r="BG15" s="17">
        <f t="shared" si="9"/>
        <v>777.52153604170996</v>
      </c>
      <c r="BI15">
        <v>51</v>
      </c>
      <c r="BJ15" t="s">
        <v>42</v>
      </c>
      <c r="BK15" s="2">
        <v>46191.744953703703</v>
      </c>
      <c r="BL15">
        <v>7</v>
      </c>
      <c r="BM15" t="s">
        <v>13</v>
      </c>
      <c r="BN15">
        <v>0</v>
      </c>
      <c r="BO15">
        <v>2.89</v>
      </c>
      <c r="BP15" s="3">
        <v>795127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43</v>
      </c>
      <c r="C16" s="2">
        <v>46191.766180555554</v>
      </c>
      <c r="D16">
        <v>103</v>
      </c>
      <c r="E16" t="s">
        <v>13</v>
      </c>
      <c r="F16">
        <v>0</v>
      </c>
      <c r="G16">
        <v>6.0579999999999998</v>
      </c>
      <c r="H16" s="3">
        <v>16533</v>
      </c>
      <c r="I16">
        <v>3.4000000000000002E-2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43</v>
      </c>
      <c r="Q16" s="2">
        <v>46191.766180555554</v>
      </c>
      <c r="R16">
        <v>103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43</v>
      </c>
      <c r="AE16" s="2">
        <v>46191.766180555554</v>
      </c>
      <c r="AF16">
        <v>103</v>
      </c>
      <c r="AG16" t="s">
        <v>13</v>
      </c>
      <c r="AH16">
        <v>0</v>
      </c>
      <c r="AI16">
        <v>12.317</v>
      </c>
      <c r="AJ16" s="3">
        <v>3805</v>
      </c>
      <c r="AK16">
        <v>0.74199999999999999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39.097054790500408</v>
      </c>
      <c r="AU16" s="17">
        <f t="shared" si="1"/>
        <v>751.85666851475003</v>
      </c>
      <c r="AW16" s="9">
        <f t="shared" si="10"/>
        <v>39.458861679647001</v>
      </c>
      <c r="AX16" s="10">
        <f t="shared" si="11"/>
        <v>900.0965727974999</v>
      </c>
      <c r="AZ16" s="11">
        <f t="shared" si="12"/>
        <v>43.529226382296798</v>
      </c>
      <c r="BA16" s="12">
        <f t="shared" si="13"/>
        <v>813.25921410499996</v>
      </c>
      <c r="BC16" s="14">
        <f t="shared" si="14"/>
        <v>47.448617556593</v>
      </c>
      <c r="BD16" s="15">
        <f t="shared" si="15"/>
        <v>731.68806331325004</v>
      </c>
      <c r="BF16" s="16">
        <f t="shared" si="8"/>
        <v>39.097054790500408</v>
      </c>
      <c r="BG16" s="17">
        <f t="shared" si="9"/>
        <v>751.85666851475003</v>
      </c>
      <c r="BI16">
        <v>52</v>
      </c>
      <c r="BJ16" t="s">
        <v>43</v>
      </c>
      <c r="BK16" s="2">
        <v>46191.766180555554</v>
      </c>
      <c r="BL16">
        <v>103</v>
      </c>
      <c r="BM16" t="s">
        <v>13</v>
      </c>
      <c r="BN16">
        <v>0</v>
      </c>
      <c r="BO16">
        <v>2.8879999999999999</v>
      </c>
      <c r="BP16" s="3">
        <v>721144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44</v>
      </c>
      <c r="C17" s="2">
        <v>46191.787430555552</v>
      </c>
      <c r="D17">
        <v>186</v>
      </c>
      <c r="E17" t="s">
        <v>13</v>
      </c>
      <c r="F17">
        <v>0</v>
      </c>
      <c r="G17">
        <v>6.0670000000000002</v>
      </c>
      <c r="H17" s="3">
        <v>5964</v>
      </c>
      <c r="I17">
        <v>1.2E-2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44</v>
      </c>
      <c r="Q17" s="2">
        <v>46191.787430555552</v>
      </c>
      <c r="R17">
        <v>186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44</v>
      </c>
      <c r="AE17" s="2">
        <v>46191.787430555552</v>
      </c>
      <c r="AF17">
        <v>186</v>
      </c>
      <c r="AG17" t="s">
        <v>13</v>
      </c>
      <c r="AH17">
        <v>0</v>
      </c>
      <c r="AI17">
        <v>12.278</v>
      </c>
      <c r="AJ17" s="3">
        <v>39624</v>
      </c>
      <c r="AK17">
        <v>6.8609999999999998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16.793115634656001</v>
      </c>
      <c r="AU17" s="17">
        <f t="shared" si="1"/>
        <v>7459.1192966470398</v>
      </c>
      <c r="AW17" s="9">
        <f t="shared" ref="AW17:AW23" si="16">IF(H17&lt;10000,((H17^2*0.00000054)+(H17*-0.004765)+(12.72)),(IF(H17&lt;200000,((H17^2*-0.000000001577)+(H17*0.003043)+(-10.42)),(IF(H17&lt;8000000,((H17^2*-0.0000000000186)+(H17*0.00194)+(154.1)),((V17^2*-0.00000002)+(V17*0.2565)+(-1032)))))))</f>
        <v>3.5089598400000011</v>
      </c>
      <c r="AX17" s="10">
        <f t="shared" ref="AX17:AX23" si="17">IF(AJ17&lt;45000,((-0.0000004561*AJ17^2)+(0.244*AJ17)+(-21.72)),((-0.0000000409*AJ17^2)+(0.2477*AJ17)+(-1777)))</f>
        <v>8930.4310064063993</v>
      </c>
      <c r="AZ17" s="11">
        <f t="shared" ref="AZ17:AZ23" si="18">IF(H17&lt;10000,((H17^2*0.00000005714)+(H17*0.002453)+(-3.811)),(IF(H17&lt;200000,((H17^2*-0.0000000002888)+(H17*0.002899)+(-4.321)),(IF(H17&lt;8000000,((H17^2*-0.0000000000062)+(H17*0.002143)+(157)),((V17^2*-0.000000031)+(V17*0.2771)+(-709.5)))))))</f>
        <v>12.851121573439997</v>
      </c>
      <c r="BA17" s="12">
        <f t="shared" ref="BA17:BA23" si="19">IF(AJ17&lt;45000,((-0.0000000598*AJ17^2)+(0.205*AJ17)+(34.1)),((-0.00000002403*AJ17^2)+(0.2063*AJ17)+(-550.7)))</f>
        <v>8063.1303297151999</v>
      </c>
      <c r="BC17" s="14">
        <f t="shared" ref="BC17:BC23" si="20">IF(H17&lt;10000,((H17^2*0.000000008493)+(H17*0.003482)+(-3.269)),(IF(H17&lt;200000,((H17^2*-0.000000000263)+(H17*0.002682)+(3.179)),(IF(H17&lt;8000000,((H17^2*-0.000000000005099)+(H17*0.002054)+(174.8)),((V17^2*-0.00000001014)+(V17*0.2415)+(1123)))))))</f>
        <v>17.799738030927998</v>
      </c>
      <c r="BD17" s="15">
        <f t="shared" ref="BD17:BD23" si="21">IF(AJ17&lt;45000,((-0.00000004907*AJ17^2)+(0.2277*AJ17)+(-134)),((-0.00000001062*AJ17^2)+(0.2147*AJ17)+(590.6)))</f>
        <v>8811.3418882796796</v>
      </c>
      <c r="BF17" s="16">
        <f t="shared" si="8"/>
        <v>16.793115634656001</v>
      </c>
      <c r="BG17" s="17">
        <f t="shared" si="9"/>
        <v>7459.1192966470398</v>
      </c>
      <c r="BI17">
        <v>53</v>
      </c>
      <c r="BJ17" t="s">
        <v>44</v>
      </c>
      <c r="BK17" s="2">
        <v>46191.787430555552</v>
      </c>
      <c r="BL17">
        <v>186</v>
      </c>
      <c r="BM17" t="s">
        <v>13</v>
      </c>
      <c r="BN17">
        <v>0</v>
      </c>
      <c r="BO17">
        <v>2.8780000000000001</v>
      </c>
      <c r="BP17" s="3">
        <v>989671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45</v>
      </c>
      <c r="C18" s="2">
        <v>46191.808634259258</v>
      </c>
      <c r="D18">
        <v>366</v>
      </c>
      <c r="E18" t="s">
        <v>13</v>
      </c>
      <c r="F18">
        <v>0</v>
      </c>
      <c r="G18">
        <v>6.0620000000000003</v>
      </c>
      <c r="H18" s="3">
        <v>16868</v>
      </c>
      <c r="I18">
        <v>3.4000000000000002E-2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45</v>
      </c>
      <c r="Q18" s="2">
        <v>46191.808634259258</v>
      </c>
      <c r="R18">
        <v>366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45</v>
      </c>
      <c r="AE18" s="2">
        <v>46191.808634259258</v>
      </c>
      <c r="AF18">
        <v>366</v>
      </c>
      <c r="AG18" t="s">
        <v>13</v>
      </c>
      <c r="AH18">
        <v>0</v>
      </c>
      <c r="AI18">
        <v>12.327</v>
      </c>
      <c r="AJ18" s="3">
        <v>3843</v>
      </c>
      <c r="AK18">
        <v>0.749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39.823143124806407</v>
      </c>
      <c r="AU18" s="17">
        <f t="shared" si="1"/>
        <v>758.9236699477101</v>
      </c>
      <c r="AW18" s="9">
        <f t="shared" si="16"/>
        <v>40.460621098352</v>
      </c>
      <c r="AX18" s="10">
        <f t="shared" si="17"/>
        <v>909.23601919110001</v>
      </c>
      <c r="AZ18" s="11">
        <f t="shared" si="18"/>
        <v>44.497159902348798</v>
      </c>
      <c r="BA18" s="12">
        <f t="shared" si="19"/>
        <v>821.03183478979997</v>
      </c>
      <c r="BC18" s="14">
        <f t="shared" si="20"/>
        <v>48.344144761488003</v>
      </c>
      <c r="BD18" s="15">
        <f t="shared" si="21"/>
        <v>740.32640239356999</v>
      </c>
      <c r="BF18" s="16">
        <f t="shared" si="8"/>
        <v>39.823143124806407</v>
      </c>
      <c r="BG18" s="17">
        <f t="shared" si="9"/>
        <v>758.9236699477101</v>
      </c>
      <c r="BI18">
        <v>54</v>
      </c>
      <c r="BJ18" t="s">
        <v>45</v>
      </c>
      <c r="BK18" s="2">
        <v>46191.808634259258</v>
      </c>
      <c r="BL18">
        <v>366</v>
      </c>
      <c r="BM18" t="s">
        <v>13</v>
      </c>
      <c r="BN18">
        <v>0</v>
      </c>
      <c r="BO18">
        <v>2.895</v>
      </c>
      <c r="BP18" s="3">
        <v>712392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46</v>
      </c>
      <c r="C19" s="2">
        <v>46191.829884259256</v>
      </c>
      <c r="D19">
        <v>122</v>
      </c>
      <c r="E19" t="s">
        <v>13</v>
      </c>
      <c r="F19">
        <v>0</v>
      </c>
      <c r="G19">
        <v>6.0609999999999999</v>
      </c>
      <c r="H19" s="3">
        <v>4355</v>
      </c>
      <c r="I19">
        <v>8.9999999999999993E-3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46</v>
      </c>
      <c r="Q19" s="2">
        <v>46191.829884259256</v>
      </c>
      <c r="R19">
        <v>122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46</v>
      </c>
      <c r="AE19" s="2">
        <v>46191.829884259256</v>
      </c>
      <c r="AF19">
        <v>122</v>
      </c>
      <c r="AG19" t="s">
        <v>13</v>
      </c>
      <c r="AH19">
        <v>0</v>
      </c>
      <c r="AI19">
        <v>12.268000000000001</v>
      </c>
      <c r="AJ19" s="3">
        <v>50795</v>
      </c>
      <c r="AK19">
        <v>8.7690000000000001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12.66333518315</v>
      </c>
      <c r="AU19" s="17">
        <f t="shared" si="1"/>
        <v>9925.7931833998719</v>
      </c>
      <c r="AW19" s="9">
        <f t="shared" si="16"/>
        <v>2.2100785000000016</v>
      </c>
      <c r="AX19" s="10">
        <f t="shared" si="17"/>
        <v>10699.3941001775</v>
      </c>
      <c r="AZ19" s="11">
        <f t="shared" si="18"/>
        <v>7.9555336684999993</v>
      </c>
      <c r="BA19" s="12">
        <f t="shared" si="19"/>
        <v>9866.3079274392494</v>
      </c>
      <c r="BC19" s="14">
        <f t="shared" si="20"/>
        <v>12.056188450324999</v>
      </c>
      <c r="BD19" s="15">
        <f t="shared" si="21"/>
        <v>11468.8854978945</v>
      </c>
      <c r="BF19" s="16">
        <f t="shared" si="8"/>
        <v>12.66333518315</v>
      </c>
      <c r="BG19" s="17">
        <f t="shared" si="9"/>
        <v>9925.7931833998719</v>
      </c>
      <c r="BI19">
        <v>55</v>
      </c>
      <c r="BJ19" t="s">
        <v>46</v>
      </c>
      <c r="BK19" s="2">
        <v>46191.829884259256</v>
      </c>
      <c r="BL19">
        <v>122</v>
      </c>
      <c r="BM19" t="s">
        <v>13</v>
      </c>
      <c r="BN19">
        <v>0</v>
      </c>
      <c r="BO19">
        <v>2.8849999999999998</v>
      </c>
      <c r="BP19" s="3">
        <v>812739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47</v>
      </c>
      <c r="C20" s="2">
        <v>46191.851111111115</v>
      </c>
      <c r="D20">
        <v>165</v>
      </c>
      <c r="E20" t="s">
        <v>13</v>
      </c>
      <c r="F20">
        <v>0</v>
      </c>
      <c r="G20">
        <v>6.0679999999999996</v>
      </c>
      <c r="H20" s="3">
        <v>4157</v>
      </c>
      <c r="I20">
        <v>8.9999999999999993E-3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47</v>
      </c>
      <c r="Q20" s="2">
        <v>46191.851111111115</v>
      </c>
      <c r="R20">
        <v>165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47</v>
      </c>
      <c r="AE20" s="2">
        <v>46191.851111111115</v>
      </c>
      <c r="AF20">
        <v>165</v>
      </c>
      <c r="AG20" t="s">
        <v>13</v>
      </c>
      <c r="AH20">
        <v>0</v>
      </c>
      <c r="AI20">
        <v>12.255000000000001</v>
      </c>
      <c r="AJ20" s="3">
        <v>57591</v>
      </c>
      <c r="AK20">
        <v>9.9290000000000003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12.153804669614001</v>
      </c>
      <c r="AU20" s="17">
        <f t="shared" si="1"/>
        <v>11037.941147578194</v>
      </c>
      <c r="AW20" s="9">
        <f t="shared" si="16"/>
        <v>2.2434454600000002</v>
      </c>
      <c r="AX20" s="10">
        <f t="shared" si="17"/>
        <v>12352.6367178071</v>
      </c>
      <c r="AZ20" s="11">
        <f t="shared" si="18"/>
        <v>7.3735372838599993</v>
      </c>
      <c r="BA20" s="12">
        <f t="shared" si="19"/>
        <v>11250.62243955757</v>
      </c>
      <c r="BC20" s="14">
        <f t="shared" si="20"/>
        <v>11.352438551957</v>
      </c>
      <c r="BD20" s="15">
        <f t="shared" si="21"/>
        <v>12920.16409875578</v>
      </c>
      <c r="BF20" s="16">
        <f t="shared" si="8"/>
        <v>12.153804669614001</v>
      </c>
      <c r="BG20" s="17">
        <f t="shared" si="9"/>
        <v>11037.941147578194</v>
      </c>
      <c r="BI20">
        <v>56</v>
      </c>
      <c r="BJ20" t="s">
        <v>47</v>
      </c>
      <c r="BK20" s="2">
        <v>46191.851111111115</v>
      </c>
      <c r="BL20">
        <v>165</v>
      </c>
      <c r="BM20" t="s">
        <v>13</v>
      </c>
      <c r="BN20">
        <v>0</v>
      </c>
      <c r="BO20">
        <v>2.8879999999999999</v>
      </c>
      <c r="BP20" s="3">
        <v>770708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48</v>
      </c>
      <c r="C21" s="2">
        <v>46191.872349537036</v>
      </c>
      <c r="D21">
        <v>163</v>
      </c>
      <c r="E21" t="s">
        <v>13</v>
      </c>
      <c r="F21">
        <v>0</v>
      </c>
      <c r="G21">
        <v>6.0629999999999997</v>
      </c>
      <c r="H21" s="3">
        <v>8699</v>
      </c>
      <c r="I21">
        <v>1.7999999999999999E-2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48</v>
      </c>
      <c r="Q21" s="2">
        <v>46191.872349537036</v>
      </c>
      <c r="R21">
        <v>163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48</v>
      </c>
      <c r="AE21" s="2">
        <v>46191.872349537036</v>
      </c>
      <c r="AF21">
        <v>163</v>
      </c>
      <c r="AG21" t="s">
        <v>13</v>
      </c>
      <c r="AH21">
        <v>0</v>
      </c>
      <c r="AI21">
        <v>12.275</v>
      </c>
      <c r="AJ21" s="3">
        <v>42716</v>
      </c>
      <c r="AK21">
        <v>7.3890000000000002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23.768846959885998</v>
      </c>
      <c r="AU21" s="17">
        <f t="shared" si="1"/>
        <v>8042.4156617182407</v>
      </c>
      <c r="AW21" s="9">
        <f t="shared" si="16"/>
        <v>12.132469539999997</v>
      </c>
      <c r="AX21" s="10">
        <f t="shared" si="17"/>
        <v>9568.7580991983996</v>
      </c>
      <c r="AZ21" s="11">
        <f t="shared" si="18"/>
        <v>21.851579421139999</v>
      </c>
      <c r="BA21" s="12">
        <f t="shared" si="19"/>
        <v>8681.7655319711994</v>
      </c>
      <c r="BC21" s="14">
        <f t="shared" si="20"/>
        <v>27.663605400293001</v>
      </c>
      <c r="BD21" s="15">
        <f t="shared" si="21"/>
        <v>9502.897297890082</v>
      </c>
      <c r="BF21" s="16">
        <f t="shared" si="8"/>
        <v>23.768846959885998</v>
      </c>
      <c r="BG21" s="17">
        <f t="shared" si="9"/>
        <v>8042.4156617182407</v>
      </c>
      <c r="BI21">
        <v>57</v>
      </c>
      <c r="BJ21" t="s">
        <v>48</v>
      </c>
      <c r="BK21" s="2">
        <v>46191.872349537036</v>
      </c>
      <c r="BL21">
        <v>163</v>
      </c>
      <c r="BM21" t="s">
        <v>13</v>
      </c>
      <c r="BN21">
        <v>0</v>
      </c>
      <c r="BO21">
        <v>2.8839999999999999</v>
      </c>
      <c r="BP21" s="3">
        <v>878782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A22">
        <v>58</v>
      </c>
      <c r="B22" t="s">
        <v>49</v>
      </c>
      <c r="C22" s="2">
        <v>46191.893564814818</v>
      </c>
      <c r="D22">
        <v>341</v>
      </c>
      <c r="E22" t="s">
        <v>13</v>
      </c>
      <c r="F22">
        <v>0</v>
      </c>
      <c r="G22">
        <v>6.0590000000000002</v>
      </c>
      <c r="H22" s="3">
        <v>17171</v>
      </c>
      <c r="I22">
        <v>3.5000000000000003E-2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49</v>
      </c>
      <c r="Q22" s="2">
        <v>46191.893564814818</v>
      </c>
      <c r="R22">
        <v>341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49</v>
      </c>
      <c r="AE22" s="2">
        <v>46191.893564814818</v>
      </c>
      <c r="AF22">
        <v>341</v>
      </c>
      <c r="AG22" t="s">
        <v>13</v>
      </c>
      <c r="AH22">
        <v>0</v>
      </c>
      <c r="AI22">
        <v>12.284000000000001</v>
      </c>
      <c r="AJ22" s="3">
        <v>3826</v>
      </c>
      <c r="AK22">
        <v>0.746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40.479801004087605</v>
      </c>
      <c r="AU22" s="17">
        <f t="shared" si="1"/>
        <v>755.76210389803998</v>
      </c>
      <c r="AW22" s="9">
        <f t="shared" si="16"/>
        <v>41.366385208943001</v>
      </c>
      <c r="AX22" s="10">
        <f t="shared" si="17"/>
        <v>905.14748231639999</v>
      </c>
      <c r="AZ22" s="11">
        <f t="shared" si="18"/>
        <v>45.372578271999203</v>
      </c>
      <c r="BA22" s="12">
        <f t="shared" si="19"/>
        <v>817.55463109519997</v>
      </c>
      <c r="BC22" s="14">
        <f t="shared" si="20"/>
        <v>49.154078227616999</v>
      </c>
      <c r="BD22" s="15">
        <f t="shared" si="21"/>
        <v>736.46189979667997</v>
      </c>
      <c r="BF22" s="16">
        <f t="shared" si="8"/>
        <v>40.479801004087605</v>
      </c>
      <c r="BG22" s="17">
        <f t="shared" si="9"/>
        <v>755.76210389803998</v>
      </c>
      <c r="BI22">
        <v>58</v>
      </c>
      <c r="BJ22" t="s">
        <v>49</v>
      </c>
      <c r="BK22" s="2">
        <v>46191.893564814818</v>
      </c>
      <c r="BL22">
        <v>341</v>
      </c>
      <c r="BM22" t="s">
        <v>13</v>
      </c>
      <c r="BN22">
        <v>0</v>
      </c>
      <c r="BO22">
        <v>2.8889999999999998</v>
      </c>
      <c r="BP22" s="3">
        <v>775912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25">
      <c r="A23">
        <v>59</v>
      </c>
      <c r="B23" t="s">
        <v>50</v>
      </c>
      <c r="C23" s="2">
        <v>46191.91479166667</v>
      </c>
      <c r="D23">
        <v>142</v>
      </c>
      <c r="E23" t="s">
        <v>13</v>
      </c>
      <c r="F23">
        <v>0</v>
      </c>
      <c r="G23">
        <v>6.0640000000000001</v>
      </c>
      <c r="H23" s="3">
        <v>9078</v>
      </c>
      <c r="I23">
        <v>1.9E-2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50</v>
      </c>
      <c r="Q23" s="2">
        <v>46191.91479166667</v>
      </c>
      <c r="R23">
        <v>142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50</v>
      </c>
      <c r="AE23" s="2">
        <v>46191.91479166667</v>
      </c>
      <c r="AF23">
        <v>142</v>
      </c>
      <c r="AG23" t="s">
        <v>13</v>
      </c>
      <c r="AH23">
        <v>0</v>
      </c>
      <c r="AI23">
        <v>12.263</v>
      </c>
      <c r="AJ23" s="3">
        <v>47452</v>
      </c>
      <c r="AK23">
        <v>8.1980000000000004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24.731118948023997</v>
      </c>
      <c r="AU23" s="17">
        <f t="shared" si="1"/>
        <v>9378.7971883608006</v>
      </c>
      <c r="AW23" s="9">
        <f t="shared" si="16"/>
        <v>13.964775359999999</v>
      </c>
      <c r="AX23" s="10">
        <f t="shared" si="17"/>
        <v>9884.7661847664003</v>
      </c>
      <c r="AZ23" s="11">
        <f t="shared" si="18"/>
        <v>23.16624619976</v>
      </c>
      <c r="BA23" s="12">
        <f t="shared" si="19"/>
        <v>9184.5394339348804</v>
      </c>
      <c r="BC23" s="14">
        <f t="shared" si="20"/>
        <v>29.040504843412002</v>
      </c>
      <c r="BD23" s="15">
        <f t="shared" si="21"/>
        <v>10754.631427731521</v>
      </c>
      <c r="BF23" s="16">
        <f t="shared" si="8"/>
        <v>24.731118948023997</v>
      </c>
      <c r="BG23" s="17">
        <f t="shared" si="9"/>
        <v>9378.7971883608006</v>
      </c>
      <c r="BI23">
        <v>59</v>
      </c>
      <c r="BJ23" t="s">
        <v>50</v>
      </c>
      <c r="BK23" s="2">
        <v>46191.91479166667</v>
      </c>
      <c r="BL23">
        <v>142</v>
      </c>
      <c r="BM23" t="s">
        <v>13</v>
      </c>
      <c r="BN23">
        <v>0</v>
      </c>
      <c r="BO23">
        <v>2.8410000000000002</v>
      </c>
      <c r="BP23" s="3">
        <v>1792378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2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2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2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2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2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2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2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2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2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2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2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2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2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2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2026-06-24T20:34:01Z</dcterms:modified>
</cp:coreProperties>
</file>