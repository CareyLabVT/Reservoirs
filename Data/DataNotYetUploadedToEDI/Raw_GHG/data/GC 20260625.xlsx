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2A32A2B8-D92D-4CE4-A42F-35E111DFF8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<sst xmlns="http://schemas.openxmlformats.org/spreadsheetml/2006/main" count="429" uniqueCount="48">
  <si>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</si>
  <si>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</si>
  <si>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</si>
  <si>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</si>
  <si>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</si>
  <si>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</si>
  <si>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</si>
  <si>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</si>
  <si>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</si>
  <si>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</si>
  <si>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</si>
  <si>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</si>
  <si>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</si>
  <si>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</si>
  <si>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</si>
  <si>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</si>
  <si>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</si>
  <si>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</si>
  <si>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</si>
  <si>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</si>
  <si>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</si>
  <si>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</si>
  <si>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</si>
  <si>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</si>
  <si>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</si>
  <si>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</si>
  <si>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</si>
  <si>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</si>
  <si>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</si>
  <si>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</si>
  <si>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</si>
  <si>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</si>
  <si>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</si>
  <si>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</si>
  <si>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</si>
  <si>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FMI20260625_001.gcd</t>
  </si>
  <si>
    <t>FMI20260625_002.gcd</t>
  </si>
  <si>
    <t>FMI20260625_003.gcd</t>
  </si>
  <si>
    <t>FMI20260625_004.gcd</t>
  </si>
  <si>
    <t>FMI20260625_005.gcd</t>
  </si>
  <si>
    <t>FMI20260625_006.gcd</t>
  </si>
  <si>
    <t>FMI20260625_007.gcd</t>
  </si>
  <si>
    <t>FMI20260625_008.gcd</t>
  </si>
  <si>
    <t>FMI20260625_009.gcd</t>
  </si>
  <si>
    <t>FMI20260625_010.gcd</t>
  </si>
  <si>
    <t>FMI20260625_011.gcd</t>
  </si>
  <si>
    <t>FMI20260625_012.gcd</t>
  </si>
  <si>
    <t>FMI20260625_013.gcd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</si>
</sst>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H4" workbookViewId="0">
      <selection activeCell="AR25" sqref="AR25"/>
    </sheetView>
  </sheetViews>
  <sheetFormatPr defaultRowHeight="15" x14ac:dyDescent="0.25"/>
  <cols>
    <col min="2" max="2" width="23.5703125" customWidth="1"/>
    <col min="3" max="3" width="17.85546875" customWidth="1"/>
    <col min="31" max="31" width="21.42578125" customWidth="1"/>
    <col min="43" max="43" width="9.7109375" customWidth="1"/>
    <col min="46" max="47" width="10.140625" customWidth="1"/>
    <col min="49" max="50" width="10.140625" customWidth="1"/>
    <col min="52" max="53" width="10.140625" customWidth="1"/>
    <col min="54" max="54" width="8.7109375" style="7"/>
    <col min="55" max="56" width="10.140625" customWidth="1"/>
    <col min="58" max="59" width="10.140625" customWidth="1"/>
  </cols>
  <sheetData>
    <row r="7" spans="1:73" x14ac:dyDescent="0.25">
      <c r="A7" t="s">
        <v>15</v>
      </c>
      <c r="O7" t="s">
        <v>16</v>
      </c>
      <c r="AC7" t="s">
        <v>17</v>
      </c>
      <c r="BI7" t="s">
        <v>21</v>
      </c>
    </row>
    <row r="8" spans="1:73" ht="135" x14ac:dyDescent="0.2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25">
      <c r="A9">
        <v>45</v>
      </c>
      <c r="B9" t="s">
        <v>35</v>
      </c>
      <c r="C9" s="2">
        <v>46198.753969907404</v>
      </c>
      <c r="D9" t="s">
        <v>31</v>
      </c>
      <c r="E9" t="s">
        <v>13</v>
      </c>
      <c r="F9">
        <v>0</v>
      </c>
      <c r="G9">
        <v>6.0979999999999999</v>
      </c>
      <c r="H9" s="3">
        <v>1401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46198.753969907404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46198.753969907404</v>
      </c>
      <c r="AF9" t="s">
        <v>31</v>
      </c>
      <c r="AG9" t="s">
        <v>13</v>
      </c>
      <c r="AH9">
        <v>0</v>
      </c>
      <c r="AI9">
        <v>12.401999999999999</v>
      </c>
      <c r="AJ9" s="3">
        <v>2006</v>
      </c>
      <c r="AK9">
        <v>0.435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1" si="0">IF($H9&lt;10000,(($H9^2*-0.000000003714)+($H9*0.002605)+(1.389)),(IF($H9&lt;200000,(($H9^2*-0.0000000003764)+($H9*0.00218)+(3.158)),(IF($H9&lt;8000000,(($H9^2*-0.000000000004719)+($H9*0.001816)+(146.1)),(($V9^2*0.000000002578)+($V9*0.2173)+(2294)))))))</f>
        <v>5.0313151570860004</v>
      </c>
      <c r="AU9" s="17">
        <f t="shared" ref="AU9:AU21" si="1">IF($AJ9&lt;45000,((0.00000003579*$AJ9^2)+(0.1857*$AJ9)+(44.75)),((0.0000000022829*$AJ9^2)+(0.1634*$AJ9)+(1620)))</f>
        <v>417.40822024843999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7.1041475400000005</v>
      </c>
      <c r="AX9" s="10">
        <f t="shared" ref="AX9:AX14" si="3">IF(AJ9&lt;45000,((-0.0000004561*AJ9^2)+(0.244*AJ9)+(-21.72)),((-0.0000000409*AJ9^2)+(0.2477*AJ9)+(-1777)))</f>
        <v>465.90863718039998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-0.26219255086000004</v>
      </c>
      <c r="BA9" s="12">
        <f t="shared" ref="BA9:BA14" si="5">IF(AJ9&lt;45000,((-0.0000000598*AJ9^2)+(0.205*AJ9)+(34.1)),((-0.00000002403*AJ9^2)+(0.2063*AJ9)+(-550.7)))</f>
        <v>445.08936264720001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1.6259520688929996</v>
      </c>
      <c r="BD9" s="15">
        <f t="shared" ref="BD9:BD14" si="7">IF(AJ9&lt;45000,((-0.00000004907*AJ9^2)+(0.2277*AJ9)+(-134)),((-0.00000001062*AJ9^2)+(0.2147*AJ9)+(590.6)))</f>
        <v>322.56874055348004</v>
      </c>
      <c r="BF9" s="16">
        <f t="shared" ref="BF9:BF21" si="8">IF($H9&lt;10000,(($H9^2*-0.000000003714)+($H9*0.002605)+(1.389)),(IF($H9&lt;200000,(($H9^2*-0.0000000003764)+($H9*0.00218)+(3.158)),(IF($H9&lt;8000000,(($H9^2*-0.000000000004719)+($H9*0.001816)+(146.1)),(($V9^2*0.000000002578)+($V9*0.2173)+(2294)))))))</f>
        <v>5.0313151570860004</v>
      </c>
      <c r="BG9" s="17">
        <f t="shared" ref="BG9:BG21" si="9">IF($AJ9&lt;45000,((0.00000003579*$AJ9^2)+(0.1857*$AJ9)+(44.75)),((0.0000000022829*$AJ9^2)+(0.1634*$AJ9)+(1620)))</f>
        <v>417.40822024843999</v>
      </c>
      <c r="BI9">
        <v>45</v>
      </c>
      <c r="BJ9" t="s">
        <v>35</v>
      </c>
      <c r="BK9" s="2">
        <v>46198.753969907404</v>
      </c>
      <c r="BL9" t="s">
        <v>31</v>
      </c>
      <c r="BM9" t="s">
        <v>13</v>
      </c>
      <c r="BN9">
        <v>0</v>
      </c>
      <c r="BO9">
        <v>2.7330000000000001</v>
      </c>
      <c r="BP9" s="3">
        <v>5029621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25">
      <c r="A10">
        <v>46</v>
      </c>
      <c r="B10" t="s">
        <v>36</v>
      </c>
      <c r="C10" s="2">
        <v>46198.775185185186</v>
      </c>
      <c r="D10" t="s">
        <v>32</v>
      </c>
      <c r="E10" t="s">
        <v>13</v>
      </c>
      <c r="F10">
        <v>0</v>
      </c>
      <c r="G10">
        <v>6.0519999999999996</v>
      </c>
      <c r="H10" s="3">
        <v>1035993</v>
      </c>
      <c r="I10">
        <v>2.1070000000000002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46198.775185185186</v>
      </c>
      <c r="R10" t="s">
        <v>32</v>
      </c>
      <c r="S10" t="s">
        <v>13</v>
      </c>
      <c r="T10">
        <v>0</v>
      </c>
      <c r="U10">
        <v>6.0060000000000002</v>
      </c>
      <c r="V10" s="3">
        <v>10909</v>
      </c>
      <c r="W10">
        <v>2.633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46198.775185185186</v>
      </c>
      <c r="AF10" t="s">
        <v>32</v>
      </c>
      <c r="AG10" t="s">
        <v>13</v>
      </c>
      <c r="AH10">
        <v>0</v>
      </c>
      <c r="AI10">
        <v>12.345000000000001</v>
      </c>
      <c r="AJ10" s="3">
        <v>8096</v>
      </c>
      <c r="AK10">
        <v>1.476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2022.3984726201447</v>
      </c>
      <c r="AU10" s="17">
        <f t="shared" si="1"/>
        <v>1550.5230632806401</v>
      </c>
      <c r="AW10" s="9">
        <f t="shared" si="2"/>
        <v>2143.9633841734885</v>
      </c>
      <c r="AX10" s="10">
        <f t="shared" si="3"/>
        <v>1923.8088269824</v>
      </c>
      <c r="AZ10" s="11">
        <f t="shared" si="4"/>
        <v>2370.4786537244963</v>
      </c>
      <c r="BA10" s="12">
        <f t="shared" si="5"/>
        <v>1689.8603960831997</v>
      </c>
      <c r="BC10" s="14">
        <f t="shared" si="6"/>
        <v>2297.256959651646</v>
      </c>
      <c r="BD10" s="15">
        <f t="shared" si="7"/>
        <v>1706.24289625088</v>
      </c>
      <c r="BF10" s="16">
        <f t="shared" si="8"/>
        <v>2022.3984726201447</v>
      </c>
      <c r="BG10" s="17">
        <f t="shared" si="9"/>
        <v>1550.5230632806401</v>
      </c>
      <c r="BI10">
        <v>46</v>
      </c>
      <c r="BJ10" t="s">
        <v>36</v>
      </c>
      <c r="BK10" s="2">
        <v>46198.775185185186</v>
      </c>
      <c r="BL10" t="s">
        <v>32</v>
      </c>
      <c r="BM10" t="s">
        <v>13</v>
      </c>
      <c r="BN10">
        <v>0</v>
      </c>
      <c r="BO10">
        <v>2.7290000000000001</v>
      </c>
      <c r="BP10" s="3">
        <v>5061013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25">
      <c r="A11">
        <v>47</v>
      </c>
      <c r="B11" t="s">
        <v>37</v>
      </c>
      <c r="C11" s="2">
        <v>46198.796423611115</v>
      </c>
      <c r="D11" t="s">
        <v>26</v>
      </c>
      <c r="E11" t="s">
        <v>13</v>
      </c>
      <c r="F11">
        <v>0</v>
      </c>
      <c r="G11">
        <v>6.077</v>
      </c>
      <c r="H11" s="3">
        <v>2465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46198.796423611115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46198.796423611115</v>
      </c>
      <c r="AF11" t="s">
        <v>26</v>
      </c>
      <c r="AG11" t="s">
        <v>13</v>
      </c>
      <c r="AH11">
        <v>0</v>
      </c>
      <c r="AI11">
        <v>12.356</v>
      </c>
      <c r="AJ11" s="3">
        <v>1400</v>
      </c>
      <c r="AK11">
        <v>0.33200000000000002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7.7877579003500008</v>
      </c>
      <c r="AU11" s="17">
        <f t="shared" si="1"/>
        <v>304.80014840000001</v>
      </c>
      <c r="AW11" s="9">
        <f t="shared" si="2"/>
        <v>4.2554365000000001</v>
      </c>
      <c r="AX11" s="10">
        <f t="shared" si="3"/>
        <v>318.98604399999999</v>
      </c>
      <c r="AZ11" s="11">
        <f t="shared" si="4"/>
        <v>2.5828404965000002</v>
      </c>
      <c r="BA11" s="12">
        <f t="shared" si="5"/>
        <v>320.98279200000002</v>
      </c>
      <c r="BC11" s="14">
        <f t="shared" si="6"/>
        <v>5.3657353789249989</v>
      </c>
      <c r="BD11" s="15">
        <f t="shared" si="7"/>
        <v>184.68382280000003</v>
      </c>
      <c r="BF11" s="16">
        <f t="shared" si="8"/>
        <v>7.7877579003500008</v>
      </c>
      <c r="BG11" s="17">
        <f t="shared" si="9"/>
        <v>304.80014840000001</v>
      </c>
      <c r="BI11">
        <v>47</v>
      </c>
      <c r="BJ11" t="s">
        <v>37</v>
      </c>
      <c r="BK11" s="2">
        <v>46198.796423611115</v>
      </c>
      <c r="BL11" t="s">
        <v>26</v>
      </c>
      <c r="BM11" t="s">
        <v>13</v>
      </c>
      <c r="BN11">
        <v>0</v>
      </c>
      <c r="BO11">
        <v>2.7290000000000001</v>
      </c>
      <c r="BP11" s="3">
        <v>5119450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25">
      <c r="A12">
        <v>48</v>
      </c>
      <c r="B12" t="s">
        <v>38</v>
      </c>
      <c r="C12" s="2">
        <v>46198.817673611113</v>
      </c>
      <c r="D12">
        <v>398</v>
      </c>
      <c r="E12" t="s">
        <v>13</v>
      </c>
      <c r="F12">
        <v>0</v>
      </c>
      <c r="G12">
        <v>6.0540000000000003</v>
      </c>
      <c r="H12" s="3">
        <v>8009</v>
      </c>
      <c r="I12">
        <v>1.6E-2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46198.817673611113</v>
      </c>
      <c r="R12">
        <v>398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46198.817673611113</v>
      </c>
      <c r="AF12">
        <v>398</v>
      </c>
      <c r="AG12" t="s">
        <v>13</v>
      </c>
      <c r="AH12">
        <v>0</v>
      </c>
      <c r="AI12">
        <v>12.25</v>
      </c>
      <c r="AJ12" s="3">
        <v>54273</v>
      </c>
      <c r="AK12">
        <v>9.3629999999999995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22.014213883166001</v>
      </c>
      <c r="AU12" s="17">
        <f t="shared" si="1"/>
        <v>10494.932615565853</v>
      </c>
      <c r="AW12" s="9">
        <f t="shared" si="2"/>
        <v>9.1949187400000003</v>
      </c>
      <c r="AX12" s="10">
        <f t="shared" si="3"/>
        <v>11545.9487561639</v>
      </c>
      <c r="AZ12" s="11">
        <f t="shared" si="4"/>
        <v>19.500269788339999</v>
      </c>
      <c r="BA12" s="12">
        <f t="shared" si="5"/>
        <v>10575.038128548131</v>
      </c>
      <c r="BC12" s="14">
        <f t="shared" si="6"/>
        <v>25.163113679932998</v>
      </c>
      <c r="BD12" s="15">
        <f t="shared" si="7"/>
        <v>12211.73126842202</v>
      </c>
      <c r="BF12" s="16">
        <f t="shared" si="8"/>
        <v>22.014213883166001</v>
      </c>
      <c r="BG12" s="17">
        <f t="shared" si="9"/>
        <v>10494.932615565853</v>
      </c>
      <c r="BI12">
        <v>48</v>
      </c>
      <c r="BJ12" t="s">
        <v>38</v>
      </c>
      <c r="BK12" s="2">
        <v>46198.817673611113</v>
      </c>
      <c r="BL12">
        <v>398</v>
      </c>
      <c r="BM12" t="s">
        <v>13</v>
      </c>
      <c r="BN12">
        <v>0</v>
      </c>
      <c r="BO12">
        <v>2.88</v>
      </c>
      <c r="BP12" s="3">
        <v>794814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25">
      <c r="A13">
        <v>49</v>
      </c>
      <c r="B13" t="s">
        <v>39</v>
      </c>
      <c r="C13" s="2">
        <v>46198.838935185187</v>
      </c>
      <c r="D13">
        <v>173</v>
      </c>
      <c r="E13" t="s">
        <v>13</v>
      </c>
      <c r="F13">
        <v>0</v>
      </c>
      <c r="G13">
        <v>6.056</v>
      </c>
      <c r="H13" s="3">
        <v>10055</v>
      </c>
      <c r="I13">
        <v>0.02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46198.838935185187</v>
      </c>
      <c r="R13">
        <v>173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46198.838935185187</v>
      </c>
      <c r="AF13">
        <v>173</v>
      </c>
      <c r="AG13" t="s">
        <v>13</v>
      </c>
      <c r="AH13">
        <v>0</v>
      </c>
      <c r="AI13">
        <v>12.252000000000001</v>
      </c>
      <c r="AJ13" s="3">
        <v>57457</v>
      </c>
      <c r="AK13">
        <v>9.907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25.039844821390002</v>
      </c>
      <c r="AU13" s="17">
        <f t="shared" si="1"/>
        <v>11016.010353405582</v>
      </c>
      <c r="AW13" s="9">
        <f t="shared" si="2"/>
        <v>20.017925529575002</v>
      </c>
      <c r="AX13" s="10">
        <f t="shared" si="3"/>
        <v>12320.075449875902</v>
      </c>
      <c r="AZ13" s="11">
        <f t="shared" si="4"/>
        <v>24.799246446380003</v>
      </c>
      <c r="BA13" s="12">
        <f t="shared" si="5"/>
        <v>11223.348696418529</v>
      </c>
      <c r="BC13" s="14">
        <f t="shared" si="6"/>
        <v>30.119919904425</v>
      </c>
      <c r="BD13" s="15">
        <f t="shared" si="7"/>
        <v>12891.558021263621</v>
      </c>
      <c r="BF13" s="16">
        <f t="shared" si="8"/>
        <v>25.039844821390002</v>
      </c>
      <c r="BG13" s="17">
        <f t="shared" si="9"/>
        <v>11016.010353405582</v>
      </c>
      <c r="BI13">
        <v>49</v>
      </c>
      <c r="BJ13" t="s">
        <v>39</v>
      </c>
      <c r="BK13" s="2">
        <v>46198.838935185187</v>
      </c>
      <c r="BL13">
        <v>173</v>
      </c>
      <c r="BM13" t="s">
        <v>13</v>
      </c>
      <c r="BN13">
        <v>0</v>
      </c>
      <c r="BO13">
        <v>2.8279999999999998</v>
      </c>
      <c r="BP13" s="3">
        <v>1896014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25">
      <c r="A14">
        <v>50</v>
      </c>
      <c r="B14" t="s">
        <v>40</v>
      </c>
      <c r="C14" s="2">
        <v>46198.860150462962</v>
      </c>
      <c r="D14">
        <v>260</v>
      </c>
      <c r="E14" t="s">
        <v>13</v>
      </c>
      <c r="F14">
        <v>0</v>
      </c>
      <c r="G14">
        <v>6.0519999999999996</v>
      </c>
      <c r="H14" s="3">
        <v>13159</v>
      </c>
      <c r="I14">
        <v>2.7E-2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46198.860150462962</v>
      </c>
      <c r="R14">
        <v>260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46198.860150462962</v>
      </c>
      <c r="AF14">
        <v>260</v>
      </c>
      <c r="AG14" t="s">
        <v>13</v>
      </c>
      <c r="AH14">
        <v>0</v>
      </c>
      <c r="AI14">
        <v>12.289</v>
      </c>
      <c r="AJ14" s="3">
        <v>2960</v>
      </c>
      <c r="AK14">
        <v>0.59799999999999998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31.779442846631603</v>
      </c>
      <c r="AU14" s="17">
        <f t="shared" si="1"/>
        <v>594.73557766400006</v>
      </c>
      <c r="AW14" s="9">
        <f t="shared" si="2"/>
        <v>29.349764813862997</v>
      </c>
      <c r="AX14" s="10">
        <f t="shared" si="3"/>
        <v>696.52383423999993</v>
      </c>
      <c r="AZ14" s="11">
        <f t="shared" si="4"/>
        <v>33.776932599647203</v>
      </c>
      <c r="BA14" s="12">
        <f t="shared" si="5"/>
        <v>640.37605631999998</v>
      </c>
      <c r="BC14" s="14">
        <f t="shared" si="6"/>
        <v>38.425897109097001</v>
      </c>
      <c r="BD14" s="15">
        <f t="shared" si="7"/>
        <v>539.56206828800009</v>
      </c>
      <c r="BF14" s="16">
        <f t="shared" si="8"/>
        <v>31.779442846631603</v>
      </c>
      <c r="BG14" s="17">
        <f t="shared" si="9"/>
        <v>594.73557766400006</v>
      </c>
      <c r="BI14">
        <v>50</v>
      </c>
      <c r="BJ14" t="s">
        <v>40</v>
      </c>
      <c r="BK14" s="2">
        <v>46198.860150462962</v>
      </c>
      <c r="BL14">
        <v>260</v>
      </c>
      <c r="BM14" t="s">
        <v>13</v>
      </c>
      <c r="BN14">
        <v>0</v>
      </c>
      <c r="BO14">
        <v>2.883</v>
      </c>
      <c r="BP14" s="3">
        <v>765327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25">
      <c r="A15">
        <v>51</v>
      </c>
      <c r="B15" t="s">
        <v>41</v>
      </c>
      <c r="C15" s="2">
        <v>46198.881388888891</v>
      </c>
      <c r="D15">
        <v>255</v>
      </c>
      <c r="E15" t="s">
        <v>13</v>
      </c>
      <c r="F15">
        <v>0</v>
      </c>
      <c r="G15">
        <v>6.0529999999999999</v>
      </c>
      <c r="H15" s="3">
        <v>11194</v>
      </c>
      <c r="I15">
        <v>2.3E-2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46198.881388888891</v>
      </c>
      <c r="R15">
        <v>255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46198.881388888891</v>
      </c>
      <c r="AF15">
        <v>255</v>
      </c>
      <c r="AG15" t="s">
        <v>13</v>
      </c>
      <c r="AH15">
        <v>0</v>
      </c>
      <c r="AI15">
        <v>12.3</v>
      </c>
      <c r="AJ15" s="3">
        <v>3000</v>
      </c>
      <c r="AK15">
        <v>0.60499999999999998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27.513754958609603</v>
      </c>
      <c r="AU15" s="17">
        <f t="shared" si="1"/>
        <v>602.17210999999998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23.445735012027995</v>
      </c>
      <c r="AX15" s="10">
        <f t="shared" ref="AX15:AX16" si="11">IF(AJ15&lt;45000,((-0.0000004561*AJ15^2)+(0.244*AJ15)+(-21.72)),((-0.0000000409*AJ15^2)+(0.2477*AJ15)+(-1777)))</f>
        <v>706.17509999999993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28.094217732323202</v>
      </c>
      <c r="BA15" s="12">
        <f t="shared" ref="BA15:BA16" si="13">IF(AJ15&lt;45000,((-0.0000000598*AJ15^2)+(0.205*AJ15)+(34.1)),((-0.00000002403*AJ15^2)+(0.2063*AJ15)+(-550.7)))</f>
        <v>648.56180000000006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33.168352617731998</v>
      </c>
      <c r="BD15" s="15">
        <f t="shared" ref="BD15:BD16" si="15">IF(AJ15&lt;45000,((-0.00000004907*AJ15^2)+(0.2277*AJ15)+(-134)),((-0.00000001062*AJ15^2)+(0.2147*AJ15)+(590.6)))</f>
        <v>548.65836999999999</v>
      </c>
      <c r="BF15" s="16">
        <f t="shared" si="8"/>
        <v>27.513754958609603</v>
      </c>
      <c r="BG15" s="17">
        <f t="shared" si="9"/>
        <v>602.17210999999998</v>
      </c>
      <c r="BI15">
        <v>51</v>
      </c>
      <c r="BJ15" t="s">
        <v>41</v>
      </c>
      <c r="BK15" s="2">
        <v>46198.881388888891</v>
      </c>
      <c r="BL15">
        <v>255</v>
      </c>
      <c r="BM15" t="s">
        <v>13</v>
      </c>
      <c r="BN15">
        <v>0</v>
      </c>
      <c r="BO15">
        <v>2.8879999999999999</v>
      </c>
      <c r="BP15" s="3">
        <v>673764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25">
      <c r="A16">
        <v>52</v>
      </c>
      <c r="B16" t="s">
        <v>42</v>
      </c>
      <c r="C16" s="2">
        <v>46198.902592592596</v>
      </c>
      <c r="D16">
        <v>191</v>
      </c>
      <c r="E16" t="s">
        <v>13</v>
      </c>
      <c r="F16">
        <v>0</v>
      </c>
      <c r="G16">
        <v>6.0519999999999996</v>
      </c>
      <c r="H16" s="3">
        <v>13806</v>
      </c>
      <c r="I16">
        <v>2.8000000000000001E-2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46198.902592592596</v>
      </c>
      <c r="R16">
        <v>191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46198.902592592596</v>
      </c>
      <c r="AF16">
        <v>191</v>
      </c>
      <c r="AG16" t="s">
        <v>13</v>
      </c>
      <c r="AH16">
        <v>0</v>
      </c>
      <c r="AI16">
        <v>12.305999999999999</v>
      </c>
      <c r="AJ16" s="3">
        <v>10235</v>
      </c>
      <c r="AK16">
        <v>1.841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33.183336038609603</v>
      </c>
      <c r="AU16" s="17">
        <f t="shared" si="1"/>
        <v>1949.1386895027499</v>
      </c>
      <c r="AW16" s="9">
        <f t="shared" si="10"/>
        <v>31.291072912028</v>
      </c>
      <c r="AX16" s="10">
        <f t="shared" si="11"/>
        <v>2427.8411418775004</v>
      </c>
      <c r="AZ16" s="11">
        <f t="shared" si="12"/>
        <v>35.647547092323208</v>
      </c>
      <c r="BA16" s="12">
        <f t="shared" si="13"/>
        <v>2126.0106375449996</v>
      </c>
      <c r="BC16" s="14">
        <f t="shared" si="14"/>
        <v>40.156562717732001</v>
      </c>
      <c r="BD16" s="15">
        <f t="shared" si="15"/>
        <v>2191.3691611092499</v>
      </c>
      <c r="BF16" s="16">
        <f t="shared" si="8"/>
        <v>33.183336038609603</v>
      </c>
      <c r="BG16" s="17">
        <f t="shared" si="9"/>
        <v>1949.1386895027499</v>
      </c>
      <c r="BI16">
        <v>52</v>
      </c>
      <c r="BJ16" t="s">
        <v>42</v>
      </c>
      <c r="BK16" s="2">
        <v>46198.902592592596</v>
      </c>
      <c r="BL16">
        <v>191</v>
      </c>
      <c r="BM16" t="s">
        <v>13</v>
      </c>
      <c r="BN16">
        <v>0</v>
      </c>
      <c r="BO16">
        <v>2.883</v>
      </c>
      <c r="BP16" s="3">
        <v>757450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25">
      <c r="A17">
        <v>53</v>
      </c>
      <c r="B17" t="s">
        <v>43</v>
      </c>
      <c r="C17" s="2">
        <v>46198.923807870371</v>
      </c>
      <c r="D17">
        <v>231</v>
      </c>
      <c r="E17" t="s">
        <v>13</v>
      </c>
      <c r="F17">
        <v>0</v>
      </c>
      <c r="G17">
        <v>6.0540000000000003</v>
      </c>
      <c r="H17" s="3">
        <v>6802</v>
      </c>
      <c r="I17">
        <v>1.4E-2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46198.923807870371</v>
      </c>
      <c r="R17">
        <v>231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46198.923807870371</v>
      </c>
      <c r="AF17">
        <v>231</v>
      </c>
      <c r="AG17" t="s">
        <v>13</v>
      </c>
      <c r="AH17">
        <v>0</v>
      </c>
      <c r="AI17">
        <v>12.263</v>
      </c>
      <c r="AJ17" s="3">
        <v>43186</v>
      </c>
      <c r="AK17">
        <v>7.47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18.936373604343999</v>
      </c>
      <c r="AU17" s="17">
        <f t="shared" si="1"/>
        <v>8131.1396450308403</v>
      </c>
      <c r="AW17" s="9">
        <f t="shared" ref="AW17:AW21" si="16">IF(H17&lt;10000,((H17^2*0.00000054)+(H17*-0.004765)+(12.72)),(IF(H17&lt;200000,((H17^2*-0.000000001577)+(H17*0.003043)+(-10.42)),(IF(H17&lt;8000000,((H17^2*-0.0000000000186)+(H17*0.00194)+(154.1)),((V17^2*-0.00000002)+(V17*0.2565)+(-1032)))))))</f>
        <v>5.292760160000002</v>
      </c>
      <c r="AX17" s="10">
        <f t="shared" ref="AX17:AX21" si="17">IF(AJ17&lt;45000,((-0.0000004561*AJ17^2)+(0.244*AJ17)+(-21.72)),((-0.0000000409*AJ17^2)+(0.2477*AJ17)+(-1777)))</f>
        <v>9665.0235451644003</v>
      </c>
      <c r="AZ17" s="11">
        <f t="shared" ref="AZ17:AZ21" si="18">IF(H17&lt;10000,((H17^2*0.00000005714)+(H17*0.002453)+(-3.811)),(IF(H17&lt;200000,((H17^2*-0.0000000002888)+(H17*0.002899)+(-4.321)),(IF(H17&lt;8000000,((H17^2*-0.0000000000062)+(H17*0.002143)+(157)),((V17^2*-0.000000031)+(V17*0.2771)+(-709.5)))))))</f>
        <v>15.51801403656</v>
      </c>
      <c r="BA17" s="12">
        <f t="shared" ref="BA17:BA21" si="19">IF(AJ17&lt;45000,((-0.0000000598*AJ17^2)+(0.205*AJ17)+(34.1)),((-0.00000002403*AJ17^2)+(0.2063*AJ17)+(-550.7)))</f>
        <v>8775.7011703591998</v>
      </c>
      <c r="BC17" s="14">
        <f t="shared" ref="BC17:BC21" si="20">IF(H17&lt;10000,((H17^2*0.000000008493)+(H17*0.003482)+(-3.269)),(IF(H17&lt;200000,((H17^2*-0.000000000263)+(H17*0.002682)+(3.179)),(IF(H17&lt;8000000,((H17^2*-0.000000000005099)+(H17*0.002054)+(174.8)),((V17^2*-0.00000001014)+(V17*0.2415)+(1123)))))))</f>
        <v>20.808511363571995</v>
      </c>
      <c r="BD17" s="15">
        <f t="shared" ref="BD17:BD21" si="21">IF(AJ17&lt;45000,((-0.00000004907*AJ17^2)+(0.2277*AJ17)+(-134)),((-0.00000001062*AJ17^2)+(0.2147*AJ17)+(590.6)))</f>
        <v>9607.9351486542801</v>
      </c>
      <c r="BF17" s="16">
        <f t="shared" si="8"/>
        <v>18.936373604343999</v>
      </c>
      <c r="BG17" s="17">
        <f t="shared" si="9"/>
        <v>8131.1396450308403</v>
      </c>
      <c r="BI17">
        <v>53</v>
      </c>
      <c r="BJ17" t="s">
        <v>43</v>
      </c>
      <c r="BK17" s="2">
        <v>46198.923807870371</v>
      </c>
      <c r="BL17">
        <v>231</v>
      </c>
      <c r="BM17" t="s">
        <v>13</v>
      </c>
      <c r="BN17">
        <v>0</v>
      </c>
      <c r="BO17">
        <v>2.8780000000000001</v>
      </c>
      <c r="BP17" s="3">
        <v>855349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25">
      <c r="A18">
        <v>54</v>
      </c>
      <c r="B18" t="s">
        <v>44</v>
      </c>
      <c r="C18" s="2">
        <v>46198.945034722223</v>
      </c>
      <c r="D18">
        <v>193</v>
      </c>
      <c r="E18" t="s">
        <v>13</v>
      </c>
      <c r="F18">
        <v>0</v>
      </c>
      <c r="G18">
        <v>6.0579999999999998</v>
      </c>
      <c r="H18" s="3">
        <v>5831</v>
      </c>
      <c r="I18">
        <v>1.2E-2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46198.945034722223</v>
      </c>
      <c r="R18">
        <v>193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46198.945034722223</v>
      </c>
      <c r="AF18">
        <v>193</v>
      </c>
      <c r="AG18" t="s">
        <v>13</v>
      </c>
      <c r="AH18">
        <v>0</v>
      </c>
      <c r="AI18">
        <v>12.263</v>
      </c>
      <c r="AJ18" s="3">
        <v>48570</v>
      </c>
      <c r="AK18">
        <v>8.3889999999999993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16.452476916445999</v>
      </c>
      <c r="AU18" s="17">
        <f t="shared" si="1"/>
        <v>9561.7234636022094</v>
      </c>
      <c r="AW18" s="9">
        <f t="shared" si="16"/>
        <v>3.295587939999999</v>
      </c>
      <c r="AX18" s="10">
        <f t="shared" si="17"/>
        <v>10157.304063590002</v>
      </c>
      <c r="AZ18" s="11">
        <f t="shared" si="18"/>
        <v>12.435235055539998</v>
      </c>
      <c r="BA18" s="12">
        <f t="shared" si="19"/>
        <v>9412.6031510529992</v>
      </c>
      <c r="BC18" s="14">
        <f t="shared" si="20"/>
        <v>17.323308764573</v>
      </c>
      <c r="BD18" s="15">
        <f t="shared" si="21"/>
        <v>10993.525943162</v>
      </c>
      <c r="BF18" s="16">
        <f t="shared" si="8"/>
        <v>16.452476916445999</v>
      </c>
      <c r="BG18" s="17">
        <f t="shared" si="9"/>
        <v>9561.7234636022094</v>
      </c>
      <c r="BI18">
        <v>54</v>
      </c>
      <c r="BJ18" t="s">
        <v>44</v>
      </c>
      <c r="BK18" s="2">
        <v>46198.945034722223</v>
      </c>
      <c r="BL18">
        <v>193</v>
      </c>
      <c r="BM18" t="s">
        <v>13</v>
      </c>
      <c r="BN18">
        <v>0</v>
      </c>
      <c r="BO18">
        <v>2.8820000000000001</v>
      </c>
      <c r="BP18" s="3">
        <v>871857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25">
      <c r="A19">
        <v>55</v>
      </c>
      <c r="B19" t="s">
        <v>45</v>
      </c>
      <c r="C19" s="2">
        <v>46198.966273148151</v>
      </c>
      <c r="D19">
        <v>312</v>
      </c>
      <c r="E19" t="s">
        <v>13</v>
      </c>
      <c r="F19">
        <v>0</v>
      </c>
      <c r="G19">
        <v>6.0570000000000004</v>
      </c>
      <c r="H19" s="3">
        <v>11945</v>
      </c>
      <c r="I19">
        <v>2.4E-2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46198.966273148151</v>
      </c>
      <c r="R19">
        <v>312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46198.966273148151</v>
      </c>
      <c r="AF19">
        <v>312</v>
      </c>
      <c r="AG19" t="s">
        <v>13</v>
      </c>
      <c r="AH19">
        <v>0</v>
      </c>
      <c r="AI19">
        <v>12.282</v>
      </c>
      <c r="AJ19" s="3">
        <v>3658</v>
      </c>
      <c r="AK19">
        <v>0.71699999999999997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29.144394109390003</v>
      </c>
      <c r="AU19" s="17">
        <f t="shared" si="1"/>
        <v>724.51950470156009</v>
      </c>
      <c r="AW19" s="9">
        <f t="shared" si="16"/>
        <v>25.703623869574997</v>
      </c>
      <c r="AX19" s="10">
        <f t="shared" si="17"/>
        <v>864.72894231960004</v>
      </c>
      <c r="AZ19" s="11">
        <f t="shared" si="18"/>
        <v>30.266348142380004</v>
      </c>
      <c r="BA19" s="12">
        <f t="shared" si="19"/>
        <v>783.18981835279999</v>
      </c>
      <c r="BC19" s="14">
        <f t="shared" si="20"/>
        <v>35.177964364425002</v>
      </c>
      <c r="BD19" s="15">
        <f t="shared" si="21"/>
        <v>698.26999609652</v>
      </c>
      <c r="BF19" s="16">
        <f t="shared" si="8"/>
        <v>29.144394109390003</v>
      </c>
      <c r="BG19" s="17">
        <f t="shared" si="9"/>
        <v>724.51950470156009</v>
      </c>
      <c r="BI19">
        <v>55</v>
      </c>
      <c r="BJ19" t="s">
        <v>45</v>
      </c>
      <c r="BK19" s="2">
        <v>46198.966273148151</v>
      </c>
      <c r="BL19">
        <v>312</v>
      </c>
      <c r="BM19" t="s">
        <v>13</v>
      </c>
      <c r="BN19">
        <v>0</v>
      </c>
      <c r="BO19">
        <v>2.8940000000000001</v>
      </c>
      <c r="BP19" s="3">
        <v>682569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25">
      <c r="A20">
        <v>56</v>
      </c>
      <c r="B20" t="s">
        <v>46</v>
      </c>
      <c r="C20" s="2">
        <v>46198.987488425926</v>
      </c>
      <c r="D20">
        <v>276</v>
      </c>
      <c r="E20" t="s">
        <v>13</v>
      </c>
      <c r="F20">
        <v>0</v>
      </c>
      <c r="G20">
        <v>6.0519999999999996</v>
      </c>
      <c r="H20" s="3">
        <v>14327</v>
      </c>
      <c r="I20">
        <v>2.9000000000000001E-2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46198.987488425926</v>
      </c>
      <c r="R20">
        <v>276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46198.987488425926</v>
      </c>
      <c r="AF20">
        <v>276</v>
      </c>
      <c r="AG20" t="s">
        <v>13</v>
      </c>
      <c r="AH20">
        <v>0</v>
      </c>
      <c r="AI20">
        <v>12.313000000000001</v>
      </c>
      <c r="AJ20" s="3">
        <v>3371</v>
      </c>
      <c r="AK20">
        <v>0.66800000000000004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34.313599033524405</v>
      </c>
      <c r="AU20" s="17">
        <f t="shared" si="1"/>
        <v>671.15140471139</v>
      </c>
      <c r="AW20" s="9">
        <f t="shared" si="16"/>
        <v>32.853361360967</v>
      </c>
      <c r="AX20" s="10">
        <f t="shared" si="17"/>
        <v>795.62104333989998</v>
      </c>
      <c r="AZ20" s="11">
        <f t="shared" si="18"/>
        <v>37.153693066104807</v>
      </c>
      <c r="BA20" s="12">
        <f t="shared" si="19"/>
        <v>724.4754542682</v>
      </c>
      <c r="BC20" s="14">
        <f t="shared" si="20"/>
        <v>41.550029849673003</v>
      </c>
      <c r="BD20" s="15">
        <f t="shared" si="21"/>
        <v>633.01908613613011</v>
      </c>
      <c r="BF20" s="16">
        <f t="shared" si="8"/>
        <v>34.313599033524405</v>
      </c>
      <c r="BG20" s="17">
        <f t="shared" si="9"/>
        <v>671.15140471139</v>
      </c>
      <c r="BI20">
        <v>56</v>
      </c>
      <c r="BJ20" t="s">
        <v>46</v>
      </c>
      <c r="BK20" s="2">
        <v>46198.987488425926</v>
      </c>
      <c r="BL20">
        <v>276</v>
      </c>
      <c r="BM20" t="s">
        <v>13</v>
      </c>
      <c r="BN20">
        <v>0</v>
      </c>
      <c r="BO20">
        <v>2.883</v>
      </c>
      <c r="BP20" s="3">
        <v>754929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25">
      <c r="A21">
        <v>57</v>
      </c>
      <c r="B21" t="s">
        <v>47</v>
      </c>
      <c r="C21" s="2">
        <v>46199.008738425924</v>
      </c>
      <c r="D21">
        <v>33</v>
      </c>
      <c r="E21" t="s">
        <v>13</v>
      </c>
      <c r="F21">
        <v>0</v>
      </c>
      <c r="G21">
        <v>6.0590000000000002</v>
      </c>
      <c r="H21" s="3">
        <v>13249</v>
      </c>
      <c r="I21">
        <v>2.7E-2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46199.008738425924</v>
      </c>
      <c r="R21">
        <v>33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46199.008738425924</v>
      </c>
      <c r="AF21">
        <v>33</v>
      </c>
      <c r="AG21" t="s">
        <v>13</v>
      </c>
      <c r="AH21">
        <v>0</v>
      </c>
      <c r="AI21">
        <v>12.288</v>
      </c>
      <c r="AJ21" s="3">
        <v>9778</v>
      </c>
      <c r="AK21">
        <v>1.7629999999999999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31.974748249223605</v>
      </c>
      <c r="AU21" s="17">
        <f t="shared" si="1"/>
        <v>1863.9464562743599</v>
      </c>
      <c r="AW21" s="9">
        <f t="shared" si="16"/>
        <v>29.619886726422997</v>
      </c>
      <c r="AX21" s="10">
        <f t="shared" si="17"/>
        <v>2320.5046055676003</v>
      </c>
      <c r="AZ21" s="11">
        <f t="shared" si="18"/>
        <v>34.037156202911198</v>
      </c>
      <c r="BA21" s="12">
        <f t="shared" si="19"/>
        <v>2032.8725648167997</v>
      </c>
      <c r="BC21" s="14">
        <f t="shared" si="20"/>
        <v>38.666652031737001</v>
      </c>
      <c r="BD21" s="15">
        <f t="shared" si="21"/>
        <v>2087.7590524341203</v>
      </c>
      <c r="BF21" s="16">
        <f t="shared" si="8"/>
        <v>31.974748249223605</v>
      </c>
      <c r="BG21" s="17">
        <f t="shared" si="9"/>
        <v>1863.9464562743599</v>
      </c>
      <c r="BI21">
        <v>57</v>
      </c>
      <c r="BJ21" t="s">
        <v>47</v>
      </c>
      <c r="BK21" s="2">
        <v>46199.008738425924</v>
      </c>
      <c r="BL21">
        <v>33</v>
      </c>
      <c r="BM21" t="s">
        <v>13</v>
      </c>
      <c r="BN21">
        <v>0</v>
      </c>
      <c r="BO21">
        <v>2.89</v>
      </c>
      <c r="BP21" s="3">
        <v>768181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25">
      <c r="C22" s="2"/>
      <c r="H22" s="3"/>
      <c r="Q22" s="2"/>
      <c r="V22" s="3"/>
      <c r="AE22" s="2"/>
      <c r="AS22" s="8"/>
      <c r="AT22" s="14"/>
      <c r="AU22" s="15"/>
      <c r="AW22" s="9"/>
      <c r="AX22" s="10"/>
      <c r="AZ22" s="11"/>
      <c r="BA22" s="12"/>
      <c r="BC22" s="14"/>
      <c r="BD22" s="15"/>
      <c r="BF22" s="14"/>
      <c r="BG22" s="15"/>
      <c r="BK22" s="2"/>
      <c r="BP22" s="3"/>
    </row>
    <row r="23" spans="1:73" x14ac:dyDescent="0.25">
      <c r="C23" s="2"/>
      <c r="H23" s="3"/>
      <c r="Q23" s="2"/>
      <c r="AE23" s="2"/>
      <c r="AJ23" s="3"/>
      <c r="AS23" s="8"/>
      <c r="AT23" s="14"/>
      <c r="AU23" s="15"/>
      <c r="AW23" s="9"/>
      <c r="AX23" s="10"/>
      <c r="AZ23" s="11"/>
      <c r="BA23" s="12"/>
      <c r="BC23" s="14"/>
      <c r="BD23" s="15"/>
      <c r="BF23" s="14"/>
      <c r="BG23" s="15"/>
      <c r="BK23" s="2"/>
      <c r="BP23" s="3"/>
    </row>
    <row r="24" spans="1:73" x14ac:dyDescent="0.25">
      <c r="C24" s="2"/>
      <c r="H24" s="3"/>
      <c r="Q24" s="2"/>
      <c r="V24" s="3"/>
      <c r="AE24" s="2"/>
      <c r="AJ24" s="3"/>
      <c r="AS24" s="8"/>
      <c r="AT24" s="14"/>
      <c r="AU24" s="15"/>
      <c r="AW24" s="9"/>
      <c r="AX24" s="10"/>
      <c r="AZ24" s="11"/>
      <c r="BA24" s="12"/>
      <c r="BC24" s="14"/>
      <c r="BD24" s="15"/>
      <c r="BF24" s="14"/>
      <c r="BG24" s="15"/>
      <c r="BK24" s="2"/>
      <c r="BP24" s="3"/>
    </row>
    <row r="25" spans="1:73" x14ac:dyDescent="0.25">
      <c r="C25" s="2"/>
      <c r="H25" s="3"/>
      <c r="Q25" s="2"/>
      <c r="AE25" s="2"/>
      <c r="AJ25" s="3"/>
      <c r="AS25" s="8"/>
      <c r="AT25" s="14"/>
      <c r="AU25" s="15"/>
      <c r="AW25" s="9"/>
      <c r="AX25" s="10"/>
      <c r="AZ25" s="11"/>
      <c r="BA25" s="12"/>
      <c r="BC25" s="14"/>
      <c r="BD25" s="15"/>
      <c r="BF25" s="14"/>
      <c r="BG25" s="15"/>
      <c r="BK25" s="2"/>
      <c r="BP25" s="3"/>
    </row>
    <row r="26" spans="1:73" x14ac:dyDescent="0.25">
      <c r="C26" s="2"/>
      <c r="H26" s="3"/>
      <c r="Q26" s="2"/>
      <c r="V26" s="3"/>
      <c r="AE26" s="2"/>
      <c r="AJ26" s="3"/>
      <c r="AS26" s="8"/>
      <c r="AT26" s="14"/>
      <c r="AU26" s="15"/>
      <c r="AW26" s="9"/>
      <c r="AX26" s="10"/>
      <c r="AZ26" s="11"/>
      <c r="BA26" s="12"/>
      <c r="BC26" s="14"/>
      <c r="BD26" s="15"/>
      <c r="BF26" s="14"/>
      <c r="BG26" s="15"/>
      <c r="BK26" s="2"/>
      <c r="BP26" s="3"/>
    </row>
    <row r="27" spans="1:73" x14ac:dyDescent="0.25">
      <c r="C27" s="2"/>
      <c r="H27" s="3"/>
      <c r="Q27" s="2"/>
      <c r="AE27" s="2"/>
      <c r="AJ27" s="3"/>
      <c r="AS27" s="8"/>
      <c r="AT27" s="14"/>
      <c r="AU27" s="15"/>
      <c r="AW27" s="9"/>
      <c r="AX27" s="10"/>
      <c r="AZ27" s="11"/>
      <c r="BA27" s="12"/>
      <c r="BC27" s="14"/>
      <c r="BD27" s="15"/>
      <c r="BF27" s="14"/>
      <c r="BG27" s="15"/>
      <c r="BK27" s="2"/>
      <c r="BP27" s="3"/>
    </row>
    <row r="28" spans="1:73" x14ac:dyDescent="0.25">
      <c r="C28" s="2"/>
      <c r="H28" s="3"/>
      <c r="Q28" s="2"/>
      <c r="AE28" s="2"/>
      <c r="AJ28" s="3"/>
      <c r="AS28" s="8"/>
      <c r="AT28" s="14"/>
      <c r="AU28" s="15"/>
      <c r="AW28" s="9"/>
      <c r="AX28" s="10"/>
      <c r="AZ28" s="11"/>
      <c r="BA28" s="12"/>
      <c r="BC28" s="14"/>
      <c r="BD28" s="15"/>
      <c r="BF28" s="14"/>
      <c r="BG28" s="15"/>
      <c r="BK28" s="2"/>
      <c r="BP28" s="3"/>
    </row>
    <row r="29" spans="1:73" x14ac:dyDescent="0.25">
      <c r="C29" s="2"/>
      <c r="H29" s="3"/>
      <c r="Q29" s="2"/>
      <c r="V29" s="3"/>
      <c r="AE29" s="2"/>
      <c r="AJ29" s="3"/>
      <c r="AK29" s="13"/>
      <c r="AS29" s="8"/>
      <c r="AT29" s="14"/>
      <c r="AU29" s="15"/>
      <c r="AW29" s="9"/>
      <c r="AX29" s="10"/>
      <c r="AZ29" s="11"/>
      <c r="BA29" s="12"/>
      <c r="BC29" s="14"/>
      <c r="BD29" s="15"/>
      <c r="BF29" s="14"/>
      <c r="BG29" s="15"/>
      <c r="BK29" s="2"/>
      <c r="BP29" s="3"/>
    </row>
    <row r="30" spans="1:73" x14ac:dyDescent="0.25">
      <c r="C30" s="2"/>
      <c r="H30" s="3"/>
      <c r="Q30" s="2"/>
      <c r="AE30" s="2"/>
      <c r="AJ30" s="3"/>
      <c r="AS30" s="8"/>
      <c r="AT30" s="14"/>
      <c r="AU30" s="15"/>
      <c r="AW30" s="9"/>
      <c r="AX30" s="10"/>
      <c r="AZ30" s="11"/>
      <c r="BA30" s="12"/>
      <c r="BC30" s="14"/>
      <c r="BD30" s="15"/>
      <c r="BF30" s="14"/>
      <c r="BG30" s="15"/>
      <c r="BK30" s="2"/>
      <c r="BP30" s="3"/>
    </row>
    <row r="31" spans="1:73" x14ac:dyDescent="0.25">
      <c r="C31" s="2"/>
      <c r="H31" s="3"/>
      <c r="Q31" s="2"/>
      <c r="AE31" s="2"/>
      <c r="AJ31" s="3"/>
      <c r="AS31" s="8"/>
      <c r="AT31" s="14"/>
      <c r="AU31" s="15"/>
      <c r="AW31" s="9"/>
      <c r="AX31" s="10"/>
      <c r="AZ31" s="11"/>
      <c r="BA31" s="12"/>
      <c r="BC31" s="14"/>
      <c r="BD31" s="15"/>
      <c r="BF31" s="14"/>
      <c r="BG31" s="15"/>
      <c r="BK31" s="2"/>
      <c r="BP31" s="3"/>
    </row>
    <row r="32" spans="1:73" x14ac:dyDescent="0.25">
      <c r="C32" s="2"/>
      <c r="H32" s="3"/>
      <c r="Q32" s="2"/>
      <c r="V32" s="3"/>
      <c r="AE32" s="2"/>
      <c r="AJ32" s="3"/>
      <c r="AS32" s="8"/>
      <c r="AT32" s="14"/>
      <c r="AU32" s="15"/>
      <c r="AW32" s="9"/>
      <c r="AX32" s="10"/>
      <c r="AZ32" s="11"/>
      <c r="BA32" s="12"/>
      <c r="BC32" s="14"/>
      <c r="BD32" s="15"/>
      <c r="BF32" s="14"/>
      <c r="BG32" s="15"/>
      <c r="BK32" s="2"/>
      <c r="BP32" s="3"/>
    </row>
    <row r="33" spans="3:68" x14ac:dyDescent="0.25">
      <c r="C33" s="2"/>
      <c r="H33" s="3"/>
      <c r="Q33" s="2"/>
      <c r="V33" s="3"/>
      <c r="AE33" s="2"/>
      <c r="AJ33" s="3"/>
      <c r="AS33" s="8"/>
      <c r="AT33" s="14"/>
      <c r="AU33" s="15"/>
      <c r="AW33" s="9"/>
      <c r="AX33" s="10"/>
      <c r="AZ33" s="11"/>
      <c r="BA33" s="12"/>
      <c r="BC33" s="14"/>
      <c r="BD33" s="15"/>
      <c r="BF33" s="14"/>
      <c r="BG33" s="15"/>
      <c r="BK33" s="2"/>
      <c r="BP33" s="3"/>
    </row>
    <row r="34" spans="3:68" x14ac:dyDescent="0.25">
      <c r="C34" s="2"/>
      <c r="H34" s="3"/>
      <c r="Q34" s="2"/>
      <c r="AE34" s="2"/>
      <c r="AJ34" s="3"/>
      <c r="AS34" s="8"/>
      <c r="AT34" s="14"/>
      <c r="AU34" s="15"/>
      <c r="AW34" s="9"/>
      <c r="AX34" s="10"/>
      <c r="AZ34" s="11"/>
      <c r="BA34" s="12"/>
      <c r="BC34" s="14"/>
      <c r="BD34" s="15"/>
      <c r="BF34" s="14"/>
      <c r="BG34" s="15"/>
      <c r="BK34" s="2"/>
      <c r="BP34" s="3"/>
    </row>
    <row r="35" spans="3:68" x14ac:dyDescent="0.25">
      <c r="C35" s="2"/>
      <c r="H35" s="3"/>
      <c r="Q35" s="2"/>
      <c r="AE35" s="2"/>
      <c r="AS35" s="8"/>
      <c r="AT35" s="14"/>
      <c r="AU35" s="15"/>
      <c r="AW35" s="9"/>
      <c r="AX35" s="10"/>
      <c r="AZ35" s="11"/>
      <c r="BA35" s="12"/>
      <c r="BC35" s="14"/>
      <c r="BD35" s="15"/>
      <c r="BF35" s="14"/>
      <c r="BG35" s="15"/>
      <c r="BK35" s="2"/>
      <c r="BP35" s="3"/>
    </row>
    <row r="36" spans="3:68" x14ac:dyDescent="0.2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3:68" x14ac:dyDescent="0.2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3:68" x14ac:dyDescent="0.2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3:68" x14ac:dyDescent="0.2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3:68" x14ac:dyDescent="0.2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3:68" x14ac:dyDescent="0.2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3:68" x14ac:dyDescent="0.2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3:68" x14ac:dyDescent="0.2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2026-06-30T14:35:22Z</dcterms:modified>
</cp:coreProperties>
</file>