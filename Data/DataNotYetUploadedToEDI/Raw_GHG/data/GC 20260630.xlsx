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890D4B6D-64C6-4CC5-9D35-9DD084D83BA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AT39" i="1"/>
  <c r="AU39" i="1"/>
  <c r="AW39" i="1"/>
  <c r="AX39" i="1"/>
  <c r="AZ39" i="1"/>
  <c r="BA39" i="1"/>
  <c r="BC39" i="1"/>
  <c r="BD39" i="1"/>
  <c r="BF39" i="1"/>
  <c r="BG39" i="1"/>
  <c r="AT40" i="1"/>
  <c r="AU40" i="1"/>
  <c r="AW40" i="1"/>
  <c r="AX40" i="1"/>
  <c r="AZ40" i="1"/>
  <c r="BA40" i="1"/>
  <c r="BC40" i="1"/>
  <c r="BD40" i="1"/>
  <c r="BF40" i="1"/>
  <c r="BG40" i="1"/>
  <c r="AT41" i="1"/>
  <c r="AU41" i="1"/>
  <c r="AW41" i="1"/>
  <c r="AX41" i="1"/>
  <c r="AZ41" i="1"/>
  <c r="BA41" i="1"/>
  <c r="BC41" i="1"/>
  <c r="BD41" i="1"/>
  <c r="BF41" i="1"/>
  <c r="BG41" i="1"/>
  <c r="AT42" i="1"/>
  <c r="AU42" i="1"/>
  <c r="AW42" i="1"/>
  <c r="AX42" i="1"/>
  <c r="AZ42" i="1"/>
  <c r="BA42" i="1"/>
  <c r="BC42" i="1"/>
  <c r="BD42" i="1"/>
  <c r="BF42" i="1"/>
  <c r="BG42" i="1"/>
  <c r="AT43" i="1"/>
  <c r="AU43" i="1"/>
  <c r="AW43" i="1"/>
  <c r="AX43" i="1"/>
  <c r="AZ43" i="1"/>
  <c r="BA43" i="1"/>
  <c r="BC43" i="1"/>
  <c r="BD43" i="1"/>
  <c r="BF43" i="1"/>
  <c r="BG43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<sst xmlns="http://schemas.openxmlformats.org/spreadsheetml/2006/main" count="997" uniqueCount="71">
  <si>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</si>
  <si>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</si>
  <si>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</si>
  <si>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</si>
  <si>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</si>
  <si>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</si>
  <si>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</si>
  <si>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</si>
  <si>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</si>
  <si>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</si>
  <si>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</si>
  <si>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</si>
  <si>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</si>
  <si>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</si>
  <si>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</si>
  <si>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</si>
  <si>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</si>
  <si>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</si>
  <si>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</si>
  <si>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</si>
  <si>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</si>
  <si>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</si>
  <si>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</si>
  <si>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</si>
  <si>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</si>
  <si>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</si>
  <si>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</si>
  <si>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</si>
  <si>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</si>
  <si>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</si>
  <si>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</si>
  <si>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</si>
  <si>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</si>
  <si>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</si>
  <si>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</si>
  <si>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FMI20260630_001.gcd</t>
  </si>
  <si>
    <t>FMI20260630_002.gcd</t>
  </si>
  <si>
    <t>FMI20260630_003.gcd</t>
  </si>
  <si>
    <t>FMI20260630_004.gcd</t>
  </si>
  <si>
    <t>FMI20260630_005.gcd</t>
  </si>
  <si>
    <t>FMI20260630_006.gcd</t>
  </si>
  <si>
    <t>FMI20260630_007.gcd</t>
  </si>
  <si>
    <t>FMI20260630_008.gcd</t>
  </si>
  <si>
    <t>FMI20260630_009.gcd</t>
  </si>
  <si>
    <t>FMI20260630_010.gcd</t>
  </si>
  <si>
    <t>FMI20260630_011.gcd</t>
  </si>
  <si>
    <t>FMI20260630_012.gcd</t>
  </si>
  <si>
    <t>FMI20260630_013.gcd</t>
  </si>
  <si>
    <t>FMI20260630_014.gcd</t>
  </si>
  <si>
    <t>FMI20260630_015.gcd</t>
  </si>
  <si>
    <t>FMI20260630_016.gcd</t>
  </si>
  <si>
    <t>FMI20260630_017.gcd</t>
  </si>
  <si>
    <t>FMI20260630_018.gcd</t>
  </si>
  <si>
    <t>FMI20260630_019.gcd</t>
  </si>
  <si>
    <t>FMI20260630_020.gcd</t>
  </si>
  <si>
    <t>FMI20260630_021.gcd</t>
  </si>
  <si>
    <t>FMI20260630_022.gcd</t>
  </si>
  <si>
    <t>FMI20260630_023.gcd</t>
  </si>
  <si>
    <t>FMI20260630_024.gcd</t>
  </si>
  <si>
    <t>FMI20260630_025.gcd</t>
  </si>
  <si>
    <t>FMI20260630_026.gcd</t>
  </si>
  <si>
    <t>FMI20260630_027.gcd</t>
  </si>
  <si>
    <t>FMI20260630_028.gcd</t>
  </si>
  <si>
    <t>FMI20260630_029.gcd</t>
  </si>
  <si>
    <t>FMI20260630_030.gcd</t>
  </si>
  <si>
    <t>FMI20260630_031.gcd</t>
  </si>
  <si>
    <t>FMI20260630_032.gcd</t>
  </si>
  <si>
    <t>FMI20260630_033.gcd</t>
  </si>
  <si>
    <t>FMI20260630_034.gcd</t>
  </si>
  <si>
    <t>FMI20260630_035.gcd</t>
  </si>
  <si>
    <t>bubble in vial- if dups don't match discard this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</si>
</sst>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A1" workbookViewId="0">
      <selection activeCell="AQ28" sqref="AQ28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46203.524085648147</v>
      </c>
      <c r="D9" t="s">
        <v>31</v>
      </c>
      <c r="E9" t="s">
        <v>13</v>
      </c>
      <c r="F9">
        <v>0</v>
      </c>
      <c r="G9">
        <v>6.1050000000000004</v>
      </c>
      <c r="H9" s="3">
        <v>1708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46203.524085648147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46203.524085648147</v>
      </c>
      <c r="AF9" t="s">
        <v>31</v>
      </c>
      <c r="AG9" t="s">
        <v>13</v>
      </c>
      <c r="AH9">
        <v>0</v>
      </c>
      <c r="AI9">
        <v>12.35</v>
      </c>
      <c r="AJ9" s="3">
        <v>2630</v>
      </c>
      <c r="AK9">
        <v>0.54200000000000004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43" si="0">IF($H9&lt;10000,(($H9^2*-0.000000003714)+($H9*0.002605)+(1.389)),(IF($H9&lt;200000,(($H9^2*-0.0000000003764)+($H9*0.00218)+(3.158)),(IF($H9&lt;8000000,(($H9^2*-0.000000000004719)+($H9*0.001816)+(146.1)),(($V9^2*0.000000002578)+($V9*0.2173)+(2294)))))))</f>
        <v>5.8275052815040009</v>
      </c>
      <c r="AU9" s="17">
        <f t="shared" ref="AU9:AU43" si="1">IF($AJ9&lt;45000,((0.00000003579*$AJ9^2)+(0.1857*$AJ9)+(44.75)),((0.0000000022829*$AJ9^2)+(0.1634*$AJ9)+(1620)))</f>
        <v>533.38855585100009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6.1567025600000012</v>
      </c>
      <c r="AX9" s="10">
        <f t="shared" ref="AX9:AX14" si="3">IF(AJ9&lt;45000,((-0.0000004561*AJ9^2)+(0.244*AJ9)+(-21.72)),((-0.0000000409*AJ9^2)+(0.2477*AJ9)+(-1777)))</f>
        <v>616.84520191000001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0.54541646495999974</v>
      </c>
      <c r="BA9" s="12">
        <f t="shared" ref="BA9:BA14" si="5">IF(AJ9&lt;45000,((-0.0000000598*AJ9^2)+(0.205*AJ9)+(34.1)),((-0.00000002403*AJ9^2)+(0.2063*AJ9)+(-550.7)))</f>
        <v>572.83636937999995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2.7030323231519997</v>
      </c>
      <c r="BD9" s="15">
        <f t="shared" ref="BD9:BD14" si="7">IF(AJ9&lt;45000,((-0.00000004907*AJ9^2)+(0.2277*AJ9)+(-134)),((-0.00000001062*AJ9^2)+(0.2147*AJ9)+(590.6)))</f>
        <v>464.511587717</v>
      </c>
      <c r="BF9" s="16">
        <f t="shared" ref="BF9:BF43" si="8">IF($H9&lt;10000,(($H9^2*-0.000000003714)+($H9*0.002605)+(1.389)),(IF($H9&lt;200000,(($H9^2*-0.0000000003764)+($H9*0.00218)+(3.158)),(IF($H9&lt;8000000,(($H9^2*-0.000000000004719)+($H9*0.001816)+(146.1)),(($V9^2*0.000000002578)+($V9*0.2173)+(2294)))))))</f>
        <v>5.8275052815040009</v>
      </c>
      <c r="BG9" s="17">
        <f t="shared" ref="BG9:BG43" si="9">IF($AJ9&lt;45000,((0.00000003579*$AJ9^2)+(0.1857*$AJ9)+(44.75)),((0.0000000022829*$AJ9^2)+(0.1634*$AJ9)+(1620)))</f>
        <v>533.38855585100009</v>
      </c>
      <c r="BI9">
        <v>45</v>
      </c>
      <c r="BJ9" t="s">
        <v>35</v>
      </c>
      <c r="BK9" s="2">
        <v>46203.524085648147</v>
      </c>
      <c r="BL9" t="s">
        <v>31</v>
      </c>
      <c r="BM9" t="s">
        <v>13</v>
      </c>
      <c r="BN9">
        <v>0</v>
      </c>
      <c r="BO9">
        <v>2.7240000000000002</v>
      </c>
      <c r="BP9" s="3">
        <v>5072227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46203.545312499999</v>
      </c>
      <c r="D10" t="s">
        <v>32</v>
      </c>
      <c r="E10" t="s">
        <v>13</v>
      </c>
      <c r="F10">
        <v>0</v>
      </c>
      <c r="G10">
        <v>6.0419999999999998</v>
      </c>
      <c r="H10" s="3">
        <v>1019844</v>
      </c>
      <c r="I10">
        <v>2.0739999999999998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46203.545312499999</v>
      </c>
      <c r="R10" t="s">
        <v>32</v>
      </c>
      <c r="S10" t="s">
        <v>13</v>
      </c>
      <c r="T10">
        <v>0</v>
      </c>
      <c r="U10">
        <v>5.9960000000000004</v>
      </c>
      <c r="V10" s="3">
        <v>11030</v>
      </c>
      <c r="W10">
        <v>2.661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46203.545312499999</v>
      </c>
      <c r="AF10" t="s">
        <v>32</v>
      </c>
      <c r="AG10" t="s">
        <v>13</v>
      </c>
      <c r="AH10">
        <v>0</v>
      </c>
      <c r="AI10">
        <v>12.308</v>
      </c>
      <c r="AJ10" s="3">
        <v>7451</v>
      </c>
      <c r="AK10">
        <v>1.365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1993.2285580597181</v>
      </c>
      <c r="AU10" s="17">
        <f t="shared" si="1"/>
        <v>1430.3876677817902</v>
      </c>
      <c r="AW10" s="9">
        <f t="shared" si="2"/>
        <v>2113.2518388113504</v>
      </c>
      <c r="AX10" s="10">
        <f t="shared" si="3"/>
        <v>1771.0025134038999</v>
      </c>
      <c r="AZ10" s="11">
        <f t="shared" si="4"/>
        <v>2336.0771849371172</v>
      </c>
      <c r="BA10" s="12">
        <f t="shared" si="5"/>
        <v>1558.2350594201998</v>
      </c>
      <c r="BC10" s="14">
        <f t="shared" si="6"/>
        <v>2264.2561989816709</v>
      </c>
      <c r="BD10" s="15">
        <f t="shared" si="7"/>
        <v>1559.8684611329302</v>
      </c>
      <c r="BF10" s="16">
        <f t="shared" si="8"/>
        <v>1993.2285580597181</v>
      </c>
      <c r="BG10" s="17">
        <f t="shared" si="9"/>
        <v>1430.3876677817902</v>
      </c>
      <c r="BI10">
        <v>46</v>
      </c>
      <c r="BJ10" t="s">
        <v>36</v>
      </c>
      <c r="BK10" s="2">
        <v>46203.545312499999</v>
      </c>
      <c r="BL10" t="s">
        <v>32</v>
      </c>
      <c r="BM10" t="s">
        <v>13</v>
      </c>
      <c r="BN10">
        <v>0</v>
      </c>
      <c r="BO10">
        <v>2.7250000000000001</v>
      </c>
      <c r="BP10" s="3">
        <v>4980570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46203.566562499997</v>
      </c>
      <c r="D11" t="s">
        <v>26</v>
      </c>
      <c r="E11" t="s">
        <v>13</v>
      </c>
      <c r="F11">
        <v>0</v>
      </c>
      <c r="G11">
        <v>6.0709999999999997</v>
      </c>
      <c r="H11" s="3">
        <v>2414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46203.566562499997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46203.566562499997</v>
      </c>
      <c r="AF11" t="s">
        <v>26</v>
      </c>
      <c r="AG11" t="s">
        <v>13</v>
      </c>
      <c r="AH11">
        <v>0</v>
      </c>
      <c r="AI11">
        <v>12.308999999999999</v>
      </c>
      <c r="AJ11" s="3">
        <v>1856</v>
      </c>
      <c r="AK11">
        <v>0.40899999999999997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7.6558270512560007</v>
      </c>
      <c r="AU11" s="17">
        <f t="shared" si="1"/>
        <v>389.53248710143998</v>
      </c>
      <c r="AW11" s="9">
        <f t="shared" si="2"/>
        <v>4.364083840000001</v>
      </c>
      <c r="AX11" s="10">
        <f t="shared" si="3"/>
        <v>429.57285591039999</v>
      </c>
      <c r="AZ11" s="11">
        <f t="shared" si="4"/>
        <v>2.4435194074399993</v>
      </c>
      <c r="BA11" s="12">
        <f t="shared" si="5"/>
        <v>414.37400478719996</v>
      </c>
      <c r="BC11" s="14">
        <f t="shared" si="6"/>
        <v>5.186040074228</v>
      </c>
      <c r="BD11" s="15">
        <f t="shared" si="7"/>
        <v>288.44216680448005</v>
      </c>
      <c r="BF11" s="16">
        <f t="shared" si="8"/>
        <v>7.6558270512560007</v>
      </c>
      <c r="BG11" s="17">
        <f t="shared" si="9"/>
        <v>389.53248710143998</v>
      </c>
      <c r="BI11">
        <v>47</v>
      </c>
      <c r="BJ11" t="s">
        <v>37</v>
      </c>
      <c r="BK11" s="2">
        <v>46203.566562499997</v>
      </c>
      <c r="BL11" t="s">
        <v>26</v>
      </c>
      <c r="BM11" t="s">
        <v>13</v>
      </c>
      <c r="BN11">
        <v>0</v>
      </c>
      <c r="BO11">
        <v>2.72</v>
      </c>
      <c r="BP11" s="3">
        <v>5171896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46203.587789351855</v>
      </c>
      <c r="D12">
        <v>222</v>
      </c>
      <c r="E12" t="s">
        <v>13</v>
      </c>
      <c r="F12">
        <v>0</v>
      </c>
      <c r="G12">
        <v>6.0460000000000003</v>
      </c>
      <c r="H12" s="3">
        <v>33861</v>
      </c>
      <c r="I12">
        <v>6.9000000000000006E-2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46203.587789351855</v>
      </c>
      <c r="R12">
        <v>222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46203.587789351855</v>
      </c>
      <c r="AF12">
        <v>222</v>
      </c>
      <c r="AG12" t="s">
        <v>13</v>
      </c>
      <c r="AH12">
        <v>0</v>
      </c>
      <c r="AI12">
        <v>12.231</v>
      </c>
      <c r="AJ12" s="3">
        <v>59007</v>
      </c>
      <c r="AK12">
        <v>10.170999999999999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76.543412060375601</v>
      </c>
      <c r="AU12" s="17">
        <f t="shared" si="1"/>
        <v>11269.692460687262</v>
      </c>
      <c r="AW12" s="9">
        <f t="shared" si="2"/>
        <v>90.810886334782992</v>
      </c>
      <c r="AX12" s="10">
        <f t="shared" si="3"/>
        <v>12696.627214595901</v>
      </c>
      <c r="AZ12" s="11">
        <f t="shared" si="4"/>
        <v>93.510910357695195</v>
      </c>
      <c r="BA12" s="12">
        <f t="shared" si="5"/>
        <v>11538.775820042531</v>
      </c>
      <c r="BC12" s="14">
        <f t="shared" si="6"/>
        <v>93.692654794576995</v>
      </c>
      <c r="BD12" s="15">
        <f t="shared" si="7"/>
        <v>13222.42590735962</v>
      </c>
      <c r="BF12" s="16">
        <f t="shared" si="8"/>
        <v>76.543412060375601</v>
      </c>
      <c r="BG12" s="17">
        <f t="shared" si="9"/>
        <v>11269.692460687262</v>
      </c>
      <c r="BI12">
        <v>48</v>
      </c>
      <c r="BJ12" t="s">
        <v>38</v>
      </c>
      <c r="BK12" s="2">
        <v>46203.587789351855</v>
      </c>
      <c r="BL12">
        <v>222</v>
      </c>
      <c r="BM12" t="s">
        <v>13</v>
      </c>
      <c r="BN12">
        <v>0</v>
      </c>
      <c r="BO12">
        <v>2.8820000000000001</v>
      </c>
      <c r="BP12" s="3">
        <v>694203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46203.609027777777</v>
      </c>
      <c r="D13">
        <v>407</v>
      </c>
      <c r="E13" t="s">
        <v>13</v>
      </c>
      <c r="F13">
        <v>0</v>
      </c>
      <c r="G13">
        <v>6.05</v>
      </c>
      <c r="H13" s="3">
        <v>9912</v>
      </c>
      <c r="I13">
        <v>0.02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46203.609027777777</v>
      </c>
      <c r="R13">
        <v>407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46203.609027777777</v>
      </c>
      <c r="AF13">
        <v>407</v>
      </c>
      <c r="AG13" t="s">
        <v>13</v>
      </c>
      <c r="AH13">
        <v>0</v>
      </c>
      <c r="AI13">
        <v>12.233000000000001</v>
      </c>
      <c r="AJ13" s="3">
        <v>57449</v>
      </c>
      <c r="AK13">
        <v>9.9049999999999994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26.844867878784001</v>
      </c>
      <c r="AU13" s="17">
        <f t="shared" si="1"/>
        <v>11014.701054854322</v>
      </c>
      <c r="AW13" s="9">
        <f t="shared" si="2"/>
        <v>18.543101759999999</v>
      </c>
      <c r="AX13" s="10">
        <f t="shared" si="3"/>
        <v>12318.1314471191</v>
      </c>
      <c r="AZ13" s="11">
        <f t="shared" si="4"/>
        <v>26.117012092159996</v>
      </c>
      <c r="BA13" s="12">
        <f t="shared" si="5"/>
        <v>11221.72038594797</v>
      </c>
      <c r="BC13" s="14">
        <f t="shared" si="6"/>
        <v>32.079002089792006</v>
      </c>
      <c r="BD13" s="15">
        <f t="shared" si="7"/>
        <v>12889.850183677381</v>
      </c>
      <c r="BF13" s="16">
        <f t="shared" si="8"/>
        <v>26.844867878784001</v>
      </c>
      <c r="BG13" s="17">
        <f t="shared" si="9"/>
        <v>11014.701054854322</v>
      </c>
      <c r="BI13">
        <v>49</v>
      </c>
      <c r="BJ13" t="s">
        <v>39</v>
      </c>
      <c r="BK13" s="2">
        <v>46203.609027777777</v>
      </c>
      <c r="BL13">
        <v>407</v>
      </c>
      <c r="BM13" t="s">
        <v>13</v>
      </c>
      <c r="BN13">
        <v>0</v>
      </c>
      <c r="BO13">
        <v>2.8839999999999999</v>
      </c>
      <c r="BP13" s="3">
        <v>659026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46203.630254629628</v>
      </c>
      <c r="D14">
        <v>334</v>
      </c>
      <c r="E14" t="s">
        <v>13</v>
      </c>
      <c r="F14">
        <v>0</v>
      </c>
      <c r="G14">
        <v>6.0759999999999996</v>
      </c>
      <c r="H14" s="3">
        <v>1195</v>
      </c>
      <c r="I14">
        <v>3.0000000000000001E-3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46203.630254629628</v>
      </c>
      <c r="R14">
        <v>334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46203.630254629628</v>
      </c>
      <c r="AF14">
        <v>334</v>
      </c>
      <c r="AG14" t="s">
        <v>13</v>
      </c>
      <c r="AH14">
        <v>0</v>
      </c>
      <c r="AI14">
        <v>12.305</v>
      </c>
      <c r="AJ14" s="3">
        <v>2736</v>
      </c>
      <c r="AK14">
        <v>0.56000000000000005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4.4966713151500004</v>
      </c>
      <c r="AU14" s="17">
        <f t="shared" si="1"/>
        <v>553.09311305983999</v>
      </c>
      <c r="AW14" s="9">
        <f t="shared" si="2"/>
        <v>7.7969585000000006</v>
      </c>
      <c r="AX14" s="10">
        <f t="shared" si="3"/>
        <v>642.44977405439988</v>
      </c>
      <c r="AZ14" s="11">
        <f t="shared" si="4"/>
        <v>-0.79806765150000025</v>
      </c>
      <c r="BA14" s="12">
        <f t="shared" si="5"/>
        <v>594.5323553792</v>
      </c>
      <c r="BC14" s="14">
        <f t="shared" si="6"/>
        <v>0.90411821632500011</v>
      </c>
      <c r="BD14" s="15">
        <f t="shared" si="7"/>
        <v>488.61987689728005</v>
      </c>
      <c r="BF14" s="16">
        <f t="shared" si="8"/>
        <v>4.4966713151500004</v>
      </c>
      <c r="BG14" s="17">
        <f t="shared" si="9"/>
        <v>553.09311305983999</v>
      </c>
      <c r="BI14">
        <v>50</v>
      </c>
      <c r="BJ14" t="s">
        <v>40</v>
      </c>
      <c r="BK14" s="2">
        <v>46203.630254629628</v>
      </c>
      <c r="BL14">
        <v>334</v>
      </c>
      <c r="BM14" t="s">
        <v>13</v>
      </c>
      <c r="BN14">
        <v>0</v>
      </c>
      <c r="BO14">
        <v>2.887</v>
      </c>
      <c r="BP14" s="3">
        <v>686665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46203.651504629626</v>
      </c>
      <c r="D15">
        <v>72</v>
      </c>
      <c r="E15" t="s">
        <v>13</v>
      </c>
      <c r="F15">
        <v>0</v>
      </c>
      <c r="G15">
        <v>6.0469999999999997</v>
      </c>
      <c r="H15" s="3">
        <v>13185</v>
      </c>
      <c r="I15">
        <v>2.7E-2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46203.651504629626</v>
      </c>
      <c r="R15">
        <v>72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46203.651504629626</v>
      </c>
      <c r="AF15">
        <v>72</v>
      </c>
      <c r="AG15" t="s">
        <v>13</v>
      </c>
      <c r="AH15">
        <v>0</v>
      </c>
      <c r="AI15">
        <v>12.233000000000001</v>
      </c>
      <c r="AJ15" s="3">
        <v>61847</v>
      </c>
      <c r="AK15">
        <v>10.656000000000001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31.835865033710004</v>
      </c>
      <c r="AU15" s="17">
        <f t="shared" si="1"/>
        <v>11734.532009861605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29.427802657175</v>
      </c>
      <c r="AX15" s="10">
        <f t="shared" ref="AX15:AX16" si="11">IF(AJ15&lt;45000,((-0.0000004561*AJ15^2)+(0.244*AJ15)+(-21.72)),((-0.0000000409*AJ15^2)+(0.2477*AJ15)+(-1777)))</f>
        <v>13386.057297371901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33.852108787820001</v>
      </c>
      <c r="BA15" s="12">
        <f t="shared" ref="BA15:BA16" si="13">IF(AJ15&lt;45000,((-0.0000000598*AJ15^2)+(0.205*AJ15)+(34.1)),((-0.00000002403*AJ15^2)+(0.2063*AJ15)+(-550.7)))</f>
        <v>12116.420114641731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38.495448968825002</v>
      </c>
      <c r="BD15" s="15">
        <f t="shared" ref="BD15:BD16" si="15">IF(AJ15&lt;45000,((-0.00000004907*AJ15^2)+(0.2277*AJ15)+(-134)),((-0.00000001062*AJ15^2)+(0.2147*AJ15)+(590.6)))</f>
        <v>13828.52885403642</v>
      </c>
      <c r="BF15" s="16">
        <f t="shared" si="8"/>
        <v>31.835865033710004</v>
      </c>
      <c r="BG15" s="17">
        <f t="shared" si="9"/>
        <v>11734.532009861605</v>
      </c>
      <c r="BI15">
        <v>51</v>
      </c>
      <c r="BJ15" t="s">
        <v>41</v>
      </c>
      <c r="BK15" s="2">
        <v>46203.651504629626</v>
      </c>
      <c r="BL15">
        <v>72</v>
      </c>
      <c r="BM15" t="s">
        <v>13</v>
      </c>
      <c r="BN15">
        <v>0</v>
      </c>
      <c r="BO15">
        <v>2.8809999999999998</v>
      </c>
      <c r="BP15" s="3">
        <v>719407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46203.672754629632</v>
      </c>
      <c r="D16">
        <v>261</v>
      </c>
      <c r="E16" t="s">
        <v>13</v>
      </c>
      <c r="F16">
        <v>0</v>
      </c>
      <c r="G16">
        <v>6.0650000000000004</v>
      </c>
      <c r="H16" s="3">
        <v>1904</v>
      </c>
      <c r="I16">
        <v>4.0000000000000001E-3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46203.672754629632</v>
      </c>
      <c r="R16">
        <v>261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46203.672754629632</v>
      </c>
      <c r="AF16">
        <v>261</v>
      </c>
      <c r="AG16" t="s">
        <v>13</v>
      </c>
      <c r="AH16">
        <v>0</v>
      </c>
      <c r="AI16">
        <v>12.355</v>
      </c>
      <c r="AJ16" s="3">
        <v>484</v>
      </c>
      <c r="AK16">
        <v>0.17499999999999999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6.3354559477760004</v>
      </c>
      <c r="AU16" s="17">
        <f t="shared" si="1"/>
        <v>134.63718402223998</v>
      </c>
      <c r="AW16" s="9">
        <f t="shared" si="10"/>
        <v>5.6050566399999999</v>
      </c>
      <c r="AX16" s="10">
        <f t="shared" si="11"/>
        <v>96.26915583840001</v>
      </c>
      <c r="AZ16" s="11">
        <f t="shared" si="12"/>
        <v>1.0666568422399996</v>
      </c>
      <c r="BA16" s="12">
        <f t="shared" si="13"/>
        <v>133.30599149119999</v>
      </c>
      <c r="BC16" s="14">
        <f t="shared" si="14"/>
        <v>3.3915169594880004</v>
      </c>
      <c r="BD16" s="15">
        <f t="shared" si="15"/>
        <v>-23.804694941920005</v>
      </c>
      <c r="BF16" s="16">
        <f t="shared" si="8"/>
        <v>6.3354559477760004</v>
      </c>
      <c r="BG16" s="17">
        <f t="shared" si="9"/>
        <v>134.63718402223998</v>
      </c>
      <c r="BI16">
        <v>52</v>
      </c>
      <c r="BJ16" t="s">
        <v>42</v>
      </c>
      <c r="BK16" s="2">
        <v>46203.672754629632</v>
      </c>
      <c r="BL16">
        <v>261</v>
      </c>
      <c r="BM16" t="s">
        <v>13</v>
      </c>
      <c r="BN16">
        <v>0</v>
      </c>
      <c r="BO16">
        <v>2.8769999999999998</v>
      </c>
      <c r="BP16" s="3">
        <v>833698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46203.693993055553</v>
      </c>
      <c r="D17">
        <v>336</v>
      </c>
      <c r="E17" t="s">
        <v>13</v>
      </c>
      <c r="F17">
        <v>0</v>
      </c>
      <c r="G17">
        <v>6.0449999999999999</v>
      </c>
      <c r="H17" s="3">
        <v>32050</v>
      </c>
      <c r="I17">
        <v>6.5000000000000002E-2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46203.693993055553</v>
      </c>
      <c r="R17">
        <v>336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46203.693993055553</v>
      </c>
      <c r="AF17">
        <v>336</v>
      </c>
      <c r="AG17" t="s">
        <v>13</v>
      </c>
      <c r="AH17">
        <v>0</v>
      </c>
      <c r="AI17">
        <v>12.233000000000001</v>
      </c>
      <c r="AJ17" s="3">
        <v>61590</v>
      </c>
      <c r="AK17">
        <v>10.612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72.640360979000008</v>
      </c>
      <c r="AU17" s="17">
        <f t="shared" si="1"/>
        <v>11692.465788719488</v>
      </c>
      <c r="AW17" s="9">
        <f t="shared" ref="AW17:AW43" si="16">IF(H17&lt;10000,((H17^2*0.00000054)+(H17*-0.004765)+(12.72)),(IF(H17&lt;200000,((H17^2*-0.000000001577)+(H17*0.003043)+(-10.42)),(IF(H17&lt;8000000,((H17^2*-0.0000000000186)+(H17*0.00194)+(154.1)),((V17^2*-0.00000002)+(V17*0.2565)+(-1032)))))))</f>
        <v>85.488251657500015</v>
      </c>
      <c r="AX17" s="10">
        <f t="shared" ref="AX17:AX43" si="17">IF(AJ17&lt;45000,((-0.0000004561*AJ17^2)+(0.244*AJ17)+(-21.72)),((-0.0000000409*AJ17^2)+(0.2477*AJ17)+(-1777)))</f>
        <v>13323.69588071</v>
      </c>
      <c r="AZ17" s="11">
        <f t="shared" ref="AZ17:AZ43" si="18">IF(H17&lt;10000,((H17^2*0.00000005714)+(H17*0.002453)+(-3.811)),(IF(H17&lt;200000,((H17^2*-0.0000000002888)+(H17*0.002899)+(-4.321)),(IF(H17&lt;8000000,((H17^2*-0.0000000000062)+(H17*0.002143)+(157)),((V17^2*-0.000000031)+(V17*0.2771)+(-709.5)))))))</f>
        <v>88.295293918000013</v>
      </c>
      <c r="BA17" s="12">
        <f t="shared" ref="BA17:BA43" si="19">IF(AJ17&lt;45000,((-0.0000000598*AJ17^2)+(0.205*AJ17)+(34.1)),((-0.00000002403*AJ17^2)+(0.2063*AJ17)+(-550.7)))</f>
        <v>12064.163325756999</v>
      </c>
      <c r="BC17" s="14">
        <f t="shared" ref="BC17:BC43" si="20">IF(H17&lt;10000,((H17^2*0.000000008493)+(H17*0.003482)+(-3.269)),(IF(H17&lt;200000,((H17^2*-0.000000000263)+(H17*0.002682)+(3.179)),(IF(H17&lt;8000000,((H17^2*-0.000000000005099)+(H17*0.002054)+(174.8)),((V17^2*-0.00000001014)+(V17*0.2415)+(1123)))))))</f>
        <v>88.866945742500008</v>
      </c>
      <c r="BD17" s="15">
        <f t="shared" ref="BD17:BD43" si="21">IF(AJ17&lt;45000,((-0.00000004907*AJ17^2)+(0.2277*AJ17)+(-134)),((-0.00000001062*AJ17^2)+(0.2147*AJ17)+(590.6)))</f>
        <v>13773.687855578</v>
      </c>
      <c r="BF17" s="16">
        <f t="shared" si="8"/>
        <v>72.640360979000008</v>
      </c>
      <c r="BG17" s="17">
        <f t="shared" si="9"/>
        <v>11692.465788719488</v>
      </c>
      <c r="BI17">
        <v>53</v>
      </c>
      <c r="BJ17" t="s">
        <v>43</v>
      </c>
      <c r="BK17" s="2">
        <v>46203.693993055553</v>
      </c>
      <c r="BL17">
        <v>336</v>
      </c>
      <c r="BM17" t="s">
        <v>13</v>
      </c>
      <c r="BN17">
        <v>0</v>
      </c>
      <c r="BO17">
        <v>2.88</v>
      </c>
      <c r="BP17" s="3">
        <v>729139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46203.715254629627</v>
      </c>
      <c r="D18">
        <v>358</v>
      </c>
      <c r="E18" t="s">
        <v>13</v>
      </c>
      <c r="F18">
        <v>0</v>
      </c>
      <c r="G18">
        <v>6.0750000000000002</v>
      </c>
      <c r="H18" s="3">
        <v>1134</v>
      </c>
      <c r="I18">
        <v>2E-3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46203.715254629627</v>
      </c>
      <c r="R18">
        <v>358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46203.715254629627</v>
      </c>
      <c r="AF18">
        <v>358</v>
      </c>
      <c r="AG18" t="s">
        <v>13</v>
      </c>
      <c r="AH18">
        <v>0</v>
      </c>
      <c r="AI18">
        <v>12.29</v>
      </c>
      <c r="AJ18" s="3">
        <v>1652</v>
      </c>
      <c r="AK18">
        <v>0.375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4.3382939594160002</v>
      </c>
      <c r="AU18" s="17">
        <f t="shared" si="1"/>
        <v>351.62407463216005</v>
      </c>
      <c r="AW18" s="9">
        <f t="shared" si="16"/>
        <v>8.0109062400000006</v>
      </c>
      <c r="AX18" s="10">
        <f t="shared" si="17"/>
        <v>380.12325566559991</v>
      </c>
      <c r="AZ18" s="11">
        <f t="shared" si="18"/>
        <v>-0.95581847416000043</v>
      </c>
      <c r="BA18" s="12">
        <f t="shared" si="19"/>
        <v>372.5967995808</v>
      </c>
      <c r="BC18" s="14">
        <f t="shared" si="20"/>
        <v>0.690509624308</v>
      </c>
      <c r="BD18" s="15">
        <f t="shared" si="21"/>
        <v>242.02648286672002</v>
      </c>
      <c r="BF18" s="16">
        <f t="shared" si="8"/>
        <v>4.3382939594160002</v>
      </c>
      <c r="BG18" s="17">
        <f t="shared" si="9"/>
        <v>351.62407463216005</v>
      </c>
      <c r="BI18">
        <v>54</v>
      </c>
      <c r="BJ18" t="s">
        <v>44</v>
      </c>
      <c r="BK18" s="2">
        <v>46203.715254629627</v>
      </c>
      <c r="BL18">
        <v>358</v>
      </c>
      <c r="BM18" t="s">
        <v>13</v>
      </c>
      <c r="BN18">
        <v>0</v>
      </c>
      <c r="BO18">
        <v>2.88</v>
      </c>
      <c r="BP18" s="3">
        <v>774063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46203.736493055556</v>
      </c>
      <c r="D19">
        <v>21</v>
      </c>
      <c r="E19" t="s">
        <v>13</v>
      </c>
      <c r="F19">
        <v>0</v>
      </c>
      <c r="G19">
        <v>6.1</v>
      </c>
      <c r="H19" s="3">
        <v>1008</v>
      </c>
      <c r="I19">
        <v>2E-3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46203.736493055556</v>
      </c>
      <c r="R19">
        <v>21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46203.736493055556</v>
      </c>
      <c r="AF19">
        <v>21</v>
      </c>
      <c r="AG19" t="s">
        <v>13</v>
      </c>
      <c r="AH19">
        <v>0</v>
      </c>
      <c r="AI19">
        <v>12.304</v>
      </c>
      <c r="AJ19" s="3">
        <v>2806</v>
      </c>
      <c r="AK19">
        <v>0.57199999999999995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4.0110663383040004</v>
      </c>
      <c r="AU19" s="17">
        <f t="shared" si="1"/>
        <v>566.10599743244006</v>
      </c>
      <c r="AW19" s="9">
        <f t="shared" si="16"/>
        <v>8.4655545600000011</v>
      </c>
      <c r="AX19" s="10">
        <f t="shared" si="17"/>
        <v>659.3528346203999</v>
      </c>
      <c r="AZ19" s="11">
        <f t="shared" si="18"/>
        <v>-1.2803181030400004</v>
      </c>
      <c r="BA19" s="12">
        <f t="shared" si="19"/>
        <v>608.85915656719999</v>
      </c>
      <c r="BC19" s="14">
        <f t="shared" si="20"/>
        <v>0.24948543155199943</v>
      </c>
      <c r="BD19" s="15">
        <f t="shared" si="21"/>
        <v>504.53984068147997</v>
      </c>
      <c r="BF19" s="16">
        <f t="shared" si="8"/>
        <v>4.0110663383040004</v>
      </c>
      <c r="BG19" s="17">
        <f t="shared" si="9"/>
        <v>566.10599743244006</v>
      </c>
      <c r="BI19">
        <v>55</v>
      </c>
      <c r="BJ19" t="s">
        <v>45</v>
      </c>
      <c r="BK19" s="2">
        <v>46203.736493055556</v>
      </c>
      <c r="BL19">
        <v>21</v>
      </c>
      <c r="BM19" t="s">
        <v>13</v>
      </c>
      <c r="BN19">
        <v>0</v>
      </c>
      <c r="BO19">
        <v>2.879</v>
      </c>
      <c r="BP19" s="3">
        <v>790360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46203.757777777777</v>
      </c>
      <c r="D20">
        <v>172</v>
      </c>
      <c r="E20" t="s">
        <v>13</v>
      </c>
      <c r="F20">
        <v>0</v>
      </c>
      <c r="G20">
        <v>6.0469999999999997</v>
      </c>
      <c r="H20" s="3">
        <v>7827</v>
      </c>
      <c r="I20">
        <v>1.6E-2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46203.757777777777</v>
      </c>
      <c r="R20">
        <v>172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46203.757777777777</v>
      </c>
      <c r="AF20">
        <v>172</v>
      </c>
      <c r="AG20" t="s">
        <v>13</v>
      </c>
      <c r="AH20">
        <v>0</v>
      </c>
      <c r="AI20">
        <v>12.194000000000001</v>
      </c>
      <c r="AJ20" s="3">
        <v>99389</v>
      </c>
      <c r="AK20">
        <v>17.065000000000001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21.550808195694</v>
      </c>
      <c r="AU20" s="17">
        <f t="shared" si="1"/>
        <v>17882.713481874511</v>
      </c>
      <c r="AW20" s="9">
        <f t="shared" si="16"/>
        <v>8.5057866600000001</v>
      </c>
      <c r="AX20" s="10">
        <f t="shared" si="17"/>
        <v>22437.638011171097</v>
      </c>
      <c r="AZ20" s="11">
        <f t="shared" si="18"/>
        <v>18.889137623060002</v>
      </c>
      <c r="BA20" s="12">
        <f t="shared" si="19"/>
        <v>19715.878195096371</v>
      </c>
      <c r="BC20" s="14">
        <f t="shared" si="20"/>
        <v>24.504911562997002</v>
      </c>
      <c r="BD20" s="15">
        <f t="shared" si="21"/>
        <v>21824.512099330979</v>
      </c>
      <c r="BF20" s="16">
        <f t="shared" si="8"/>
        <v>21.550808195694</v>
      </c>
      <c r="BG20" s="17">
        <f t="shared" si="9"/>
        <v>17882.713481874511</v>
      </c>
      <c r="BI20">
        <v>56</v>
      </c>
      <c r="BJ20" t="s">
        <v>46</v>
      </c>
      <c r="BK20" s="2">
        <v>46203.757777777777</v>
      </c>
      <c r="BL20">
        <v>172</v>
      </c>
      <c r="BM20" t="s">
        <v>13</v>
      </c>
      <c r="BN20">
        <v>0</v>
      </c>
      <c r="BO20">
        <v>2.8279999999999998</v>
      </c>
      <c r="BP20" s="3">
        <v>1804264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46203.779016203705</v>
      </c>
      <c r="D21">
        <v>330</v>
      </c>
      <c r="E21" t="s">
        <v>13</v>
      </c>
      <c r="F21">
        <v>0</v>
      </c>
      <c r="G21">
        <v>6.069</v>
      </c>
      <c r="H21" s="3">
        <v>2243</v>
      </c>
      <c r="I21">
        <v>5.0000000000000001E-3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46203.779016203705</v>
      </c>
      <c r="R21">
        <v>330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46203.779016203705</v>
      </c>
      <c r="AF21">
        <v>330</v>
      </c>
      <c r="AG21" t="s">
        <v>13</v>
      </c>
      <c r="AH21">
        <v>0</v>
      </c>
      <c r="AI21">
        <v>12.242000000000001</v>
      </c>
      <c r="AJ21" s="3">
        <v>22975</v>
      </c>
      <c r="AK21">
        <v>4.0170000000000003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7.2133296840140009</v>
      </c>
      <c r="AU21" s="17">
        <f t="shared" si="1"/>
        <v>4330.0992738687501</v>
      </c>
      <c r="AW21" s="9">
        <f t="shared" si="16"/>
        <v>4.7488714600000002</v>
      </c>
      <c r="AX21" s="10">
        <f t="shared" si="17"/>
        <v>5343.4273299374991</v>
      </c>
      <c r="AZ21" s="11">
        <f t="shared" si="18"/>
        <v>1.9785531398599998</v>
      </c>
      <c r="BA21" s="12">
        <f t="shared" si="19"/>
        <v>4712.4095326250008</v>
      </c>
      <c r="BC21" s="14">
        <f t="shared" si="20"/>
        <v>4.5838546991569995</v>
      </c>
      <c r="BD21" s="15">
        <f t="shared" si="21"/>
        <v>5071.5058698312505</v>
      </c>
      <c r="BF21" s="16">
        <f t="shared" si="8"/>
        <v>7.2133296840140009</v>
      </c>
      <c r="BG21" s="17">
        <f t="shared" si="9"/>
        <v>4330.0992738687501</v>
      </c>
      <c r="BI21">
        <v>57</v>
      </c>
      <c r="BJ21" t="s">
        <v>47</v>
      </c>
      <c r="BK21" s="2">
        <v>46203.779016203705</v>
      </c>
      <c r="BL21">
        <v>330</v>
      </c>
      <c r="BM21" t="s">
        <v>13</v>
      </c>
      <c r="BN21">
        <v>0</v>
      </c>
      <c r="BO21">
        <v>2.8730000000000002</v>
      </c>
      <c r="BP21" s="3">
        <v>880763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46203.800254629627</v>
      </c>
      <c r="D22">
        <v>367</v>
      </c>
      <c r="E22" t="s">
        <v>13</v>
      </c>
      <c r="F22">
        <v>0</v>
      </c>
      <c r="G22">
        <v>6.0469999999999997</v>
      </c>
      <c r="H22" s="3">
        <v>21622</v>
      </c>
      <c r="I22">
        <v>4.3999999999999997E-2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46203.800254629627</v>
      </c>
      <c r="R22">
        <v>367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46203.800254629627</v>
      </c>
      <c r="AF22">
        <v>367</v>
      </c>
      <c r="AG22" t="s">
        <v>13</v>
      </c>
      <c r="AH22">
        <v>0</v>
      </c>
      <c r="AI22">
        <v>12.351000000000001</v>
      </c>
      <c r="AJ22">
        <v>37</v>
      </c>
      <c r="AK22">
        <v>9.9000000000000005E-2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50.117988903262408</v>
      </c>
      <c r="AU22" s="17">
        <f t="shared" si="1"/>
        <v>51.620948996510002</v>
      </c>
      <c r="AW22" s="9">
        <f t="shared" si="16"/>
        <v>54.638481335932013</v>
      </c>
      <c r="AX22" s="10">
        <f t="shared" si="17"/>
        <v>-12.692624400899998</v>
      </c>
      <c r="AZ22" s="11">
        <f t="shared" si="18"/>
        <v>58.226160856700801</v>
      </c>
      <c r="BA22" s="12">
        <f t="shared" si="19"/>
        <v>41.684918133800004</v>
      </c>
      <c r="BC22" s="14">
        <f t="shared" si="20"/>
        <v>61.046248637508</v>
      </c>
      <c r="BD22" s="15">
        <f t="shared" si="21"/>
        <v>-125.57516717682999</v>
      </c>
      <c r="BF22" s="16">
        <f t="shared" si="8"/>
        <v>50.117988903262408</v>
      </c>
      <c r="BG22" s="17">
        <f t="shared" si="9"/>
        <v>51.620948996510002</v>
      </c>
      <c r="BI22">
        <v>58</v>
      </c>
      <c r="BJ22" t="s">
        <v>48</v>
      </c>
      <c r="BK22" s="2">
        <v>46203.800254629627</v>
      </c>
      <c r="BL22">
        <v>367</v>
      </c>
      <c r="BM22" t="s">
        <v>13</v>
      </c>
      <c r="BN22">
        <v>0</v>
      </c>
      <c r="BO22">
        <v>2.8759999999999999</v>
      </c>
      <c r="BP22" s="3">
        <v>850731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46203.821516203701</v>
      </c>
      <c r="D23">
        <v>175</v>
      </c>
      <c r="E23" t="s">
        <v>13</v>
      </c>
      <c r="F23">
        <v>0</v>
      </c>
      <c r="G23">
        <v>5.98</v>
      </c>
      <c r="H23" s="3">
        <v>20939237</v>
      </c>
      <c r="I23">
        <v>44.857999999999997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46203.821516203701</v>
      </c>
      <c r="R23">
        <v>175</v>
      </c>
      <c r="S23" t="s">
        <v>13</v>
      </c>
      <c r="T23">
        <v>0</v>
      </c>
      <c r="U23">
        <v>5.9359999999999999</v>
      </c>
      <c r="V23" s="3">
        <v>174882</v>
      </c>
      <c r="W23">
        <v>39.81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46203.821516203701</v>
      </c>
      <c r="AF23">
        <v>175</v>
      </c>
      <c r="AG23" t="s">
        <v>13</v>
      </c>
      <c r="AH23">
        <v>0</v>
      </c>
      <c r="AI23">
        <v>12.238</v>
      </c>
      <c r="AJ23" s="3">
        <v>53376</v>
      </c>
      <c r="AK23">
        <v>9.2100000000000009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40374.703414496071</v>
      </c>
      <c r="AU23" s="17">
        <f t="shared" si="1"/>
        <v>10348.14237610967</v>
      </c>
      <c r="AW23" s="9">
        <f t="shared" si="16"/>
        <v>43213.558721519999</v>
      </c>
      <c r="AX23" s="10">
        <f t="shared" si="17"/>
        <v>11327.711207321601</v>
      </c>
      <c r="AZ23" s="11">
        <f t="shared" si="18"/>
        <v>46802.207068356009</v>
      </c>
      <c r="BA23" s="12">
        <f t="shared" si="19"/>
        <v>10392.30739305472</v>
      </c>
      <c r="BC23" s="14">
        <f t="shared" si="20"/>
        <v>43046.884140810638</v>
      </c>
      <c r="BD23" s="15">
        <f t="shared" si="21"/>
        <v>12020.170847866881</v>
      </c>
      <c r="BF23" s="16">
        <f t="shared" si="8"/>
        <v>40374.703414496071</v>
      </c>
      <c r="BG23" s="17">
        <f t="shared" si="9"/>
        <v>10348.14237610967</v>
      </c>
      <c r="BI23">
        <v>59</v>
      </c>
      <c r="BJ23" t="s">
        <v>49</v>
      </c>
      <c r="BK23" s="2">
        <v>46203.821516203701</v>
      </c>
      <c r="BL23">
        <v>175</v>
      </c>
      <c r="BM23" t="s">
        <v>13</v>
      </c>
      <c r="BN23">
        <v>0</v>
      </c>
      <c r="BO23">
        <v>2.8889999999999998</v>
      </c>
      <c r="BP23" s="3">
        <v>560214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46203.842777777776</v>
      </c>
      <c r="D24">
        <v>245</v>
      </c>
      <c r="E24" t="s">
        <v>13</v>
      </c>
      <c r="F24">
        <v>0</v>
      </c>
      <c r="G24">
        <v>6.06</v>
      </c>
      <c r="H24" s="3">
        <v>1952</v>
      </c>
      <c r="I24">
        <v>4.0000000000000001E-3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46203.842777777776</v>
      </c>
      <c r="R24">
        <v>245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46203.842777777776</v>
      </c>
      <c r="AF24">
        <v>245</v>
      </c>
      <c r="AG24" t="s">
        <v>13</v>
      </c>
      <c r="AH24">
        <v>0</v>
      </c>
      <c r="AI24">
        <v>12.18</v>
      </c>
      <c r="AJ24" s="3">
        <v>116174</v>
      </c>
      <c r="AK24">
        <v>19.93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6.4598085309440005</v>
      </c>
      <c r="AU24" s="17">
        <f t="shared" si="1"/>
        <v>20633.642527624277</v>
      </c>
      <c r="AW24" s="9">
        <f t="shared" si="16"/>
        <v>5.4762841600000005</v>
      </c>
      <c r="AX24" s="10">
        <f t="shared" si="17"/>
        <v>26447.297110511601</v>
      </c>
      <c r="AZ24" s="11">
        <f t="shared" si="18"/>
        <v>1.1949767705599994</v>
      </c>
      <c r="BA24" s="12">
        <f t="shared" si="19"/>
        <v>23091.677749427723</v>
      </c>
      <c r="BC24" s="14">
        <f t="shared" si="20"/>
        <v>3.5602249118719991</v>
      </c>
      <c r="BD24" s="15">
        <f t="shared" si="21"/>
        <v>25389.826050308879</v>
      </c>
      <c r="BF24" s="16">
        <f t="shared" si="8"/>
        <v>6.4598085309440005</v>
      </c>
      <c r="BG24" s="17">
        <f t="shared" si="9"/>
        <v>20633.642527624277</v>
      </c>
      <c r="BI24">
        <v>60</v>
      </c>
      <c r="BJ24" t="s">
        <v>50</v>
      </c>
      <c r="BK24" s="2">
        <v>46203.842777777776</v>
      </c>
      <c r="BL24">
        <v>245</v>
      </c>
      <c r="BM24" t="s">
        <v>13</v>
      </c>
      <c r="BN24">
        <v>0</v>
      </c>
      <c r="BO24">
        <v>2.8740000000000001</v>
      </c>
      <c r="BP24" s="3">
        <v>875179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46203.864016203705</v>
      </c>
      <c r="D25">
        <v>362</v>
      </c>
      <c r="E25" t="s">
        <v>13</v>
      </c>
      <c r="F25">
        <v>0</v>
      </c>
      <c r="G25">
        <v>6.0819999999999999</v>
      </c>
      <c r="H25" s="3">
        <v>1412</v>
      </c>
      <c r="I25">
        <v>3.0000000000000001E-3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46203.864016203705</v>
      </c>
      <c r="R25">
        <v>362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46203.864016203705</v>
      </c>
      <c r="AF25">
        <v>362</v>
      </c>
      <c r="AG25" t="s">
        <v>13</v>
      </c>
      <c r="AH25">
        <v>0</v>
      </c>
      <c r="AI25">
        <v>12.279</v>
      </c>
      <c r="AJ25" s="3">
        <v>23358</v>
      </c>
      <c r="AK25">
        <v>4.0830000000000002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5.059855234784</v>
      </c>
      <c r="AU25" s="17">
        <f t="shared" si="1"/>
        <v>4401.8574867095604</v>
      </c>
      <c r="AW25" s="9">
        <f t="shared" si="16"/>
        <v>7.0684417600000007</v>
      </c>
      <c r="AX25" s="10">
        <f t="shared" si="17"/>
        <v>5428.7855895995999</v>
      </c>
      <c r="AZ25" s="11">
        <f t="shared" si="18"/>
        <v>-0.23344146784000008</v>
      </c>
      <c r="BA25" s="12">
        <f t="shared" si="19"/>
        <v>4789.8633493928</v>
      </c>
      <c r="BC25" s="14">
        <f t="shared" si="20"/>
        <v>1.664516867791999</v>
      </c>
      <c r="BD25" s="15">
        <f t="shared" si="21"/>
        <v>5157.8441962325205</v>
      </c>
      <c r="BF25" s="16">
        <f t="shared" si="8"/>
        <v>5.059855234784</v>
      </c>
      <c r="BG25" s="17">
        <f t="shared" si="9"/>
        <v>4401.8574867095604</v>
      </c>
      <c r="BI25">
        <v>61</v>
      </c>
      <c r="BJ25" t="s">
        <v>51</v>
      </c>
      <c r="BK25" s="2">
        <v>46203.864016203705</v>
      </c>
      <c r="BL25">
        <v>362</v>
      </c>
      <c r="BM25" t="s">
        <v>13</v>
      </c>
      <c r="BN25">
        <v>0</v>
      </c>
      <c r="BO25">
        <v>2.847</v>
      </c>
      <c r="BP25" s="3">
        <v>1371196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46203.885277777779</v>
      </c>
      <c r="D26">
        <v>205</v>
      </c>
      <c r="E26" t="s">
        <v>13</v>
      </c>
      <c r="F26">
        <v>0</v>
      </c>
      <c r="G26">
        <v>6.0469999999999997</v>
      </c>
      <c r="H26" s="3">
        <v>12186</v>
      </c>
      <c r="I26">
        <v>2.5000000000000001E-2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46203.885277777779</v>
      </c>
      <c r="R26">
        <v>205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46203.885277777779</v>
      </c>
      <c r="AF26">
        <v>205</v>
      </c>
      <c r="AG26" t="s">
        <v>13</v>
      </c>
      <c r="AH26">
        <v>0</v>
      </c>
      <c r="AI26">
        <v>12.292</v>
      </c>
      <c r="AJ26" s="3">
        <v>8056</v>
      </c>
      <c r="AK26">
        <v>1.4690000000000001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29.667585128465603</v>
      </c>
      <c r="AU26" s="17">
        <f t="shared" si="1"/>
        <v>1543.0719400774399</v>
      </c>
      <c r="AW26" s="9">
        <f t="shared" si="16"/>
        <v>26.427815714108</v>
      </c>
      <c r="AX26" s="10">
        <f t="shared" si="17"/>
        <v>1914.3435040704001</v>
      </c>
      <c r="AZ26" s="11">
        <f t="shared" si="18"/>
        <v>30.9633276054752</v>
      </c>
      <c r="BA26" s="12">
        <f t="shared" si="19"/>
        <v>1681.6990316671997</v>
      </c>
      <c r="BC26" s="14">
        <f t="shared" si="20"/>
        <v>35.822796869252002</v>
      </c>
      <c r="BD26" s="15">
        <f t="shared" si="21"/>
        <v>1697.16659939648</v>
      </c>
      <c r="BF26" s="16">
        <f t="shared" si="8"/>
        <v>29.667585128465603</v>
      </c>
      <c r="BG26" s="17">
        <f t="shared" si="9"/>
        <v>1543.0719400774399</v>
      </c>
      <c r="BI26">
        <v>62</v>
      </c>
      <c r="BJ26" t="s">
        <v>52</v>
      </c>
      <c r="BK26" s="2">
        <v>46203.885277777779</v>
      </c>
      <c r="BL26">
        <v>205</v>
      </c>
      <c r="BM26" t="s">
        <v>13</v>
      </c>
      <c r="BN26">
        <v>0</v>
      </c>
      <c r="BO26">
        <v>2.8660000000000001</v>
      </c>
      <c r="BP26" s="3">
        <v>1010628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46203.906527777777</v>
      </c>
      <c r="D27">
        <v>313</v>
      </c>
      <c r="E27" t="s">
        <v>13</v>
      </c>
      <c r="F27">
        <v>0</v>
      </c>
      <c r="G27">
        <v>6.0229999999999997</v>
      </c>
      <c r="H27" s="3">
        <v>8146798</v>
      </c>
      <c r="I27">
        <v>16.863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46203.906527777777</v>
      </c>
      <c r="R27">
        <v>313</v>
      </c>
      <c r="S27" t="s">
        <v>13</v>
      </c>
      <c r="T27">
        <v>0</v>
      </c>
      <c r="U27">
        <v>5.9770000000000003</v>
      </c>
      <c r="V27" s="3">
        <v>65658</v>
      </c>
      <c r="W27">
        <v>15.058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46203.906527777777</v>
      </c>
      <c r="AF27">
        <v>313</v>
      </c>
      <c r="AG27" t="s">
        <v>13</v>
      </c>
      <c r="AH27">
        <v>0</v>
      </c>
      <c r="AI27">
        <v>12.199</v>
      </c>
      <c r="AJ27" s="3">
        <v>94595</v>
      </c>
      <c r="AK27">
        <v>16.247</v>
      </c>
      <c r="AL27" t="s">
        <v>14</v>
      </c>
      <c r="AM27" t="s">
        <v>14</v>
      </c>
      <c r="AN27" t="s">
        <v>14</v>
      </c>
      <c r="AO27" t="s">
        <v>14</v>
      </c>
      <c r="AQ27">
        <v>2</v>
      </c>
      <c r="AR27" t="s">
        <v>70</v>
      </c>
      <c r="AS27" s="8">
        <v>63</v>
      </c>
      <c r="AT27" s="16">
        <f t="shared" si="0"/>
        <v>16572.597088301191</v>
      </c>
      <c r="AU27" s="17">
        <f t="shared" si="1"/>
        <v>17097.250877797669</v>
      </c>
      <c r="AW27" s="9">
        <f t="shared" si="16"/>
        <v>15723.057540720001</v>
      </c>
      <c r="AX27" s="10">
        <f t="shared" si="17"/>
        <v>21288.199546377498</v>
      </c>
      <c r="AZ27" s="11">
        <f t="shared" si="18"/>
        <v>17350.691638116001</v>
      </c>
      <c r="BA27" s="12">
        <f t="shared" si="19"/>
        <v>18749.222916979252</v>
      </c>
      <c r="BC27" s="14">
        <f t="shared" si="20"/>
        <v>16935.693734145039</v>
      </c>
      <c r="BD27" s="15">
        <f t="shared" si="21"/>
        <v>20805.1164670545</v>
      </c>
      <c r="BF27" s="16">
        <f t="shared" si="8"/>
        <v>16572.597088301191</v>
      </c>
      <c r="BG27" s="17">
        <f t="shared" si="9"/>
        <v>17097.250877797669</v>
      </c>
      <c r="BI27">
        <v>63</v>
      </c>
      <c r="BJ27" t="s">
        <v>53</v>
      </c>
      <c r="BK27" s="2">
        <v>46203.906527777777</v>
      </c>
      <c r="BL27">
        <v>313</v>
      </c>
      <c r="BM27" t="s">
        <v>13</v>
      </c>
      <c r="BN27">
        <v>0</v>
      </c>
      <c r="BO27">
        <v>2.8610000000000002</v>
      </c>
      <c r="BP27" s="3">
        <v>1179799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46203.927777777775</v>
      </c>
      <c r="D28">
        <v>88</v>
      </c>
      <c r="E28" t="s">
        <v>13</v>
      </c>
      <c r="F28">
        <v>0</v>
      </c>
      <c r="G28">
        <v>6.0579999999999998</v>
      </c>
      <c r="H28" s="3">
        <v>5357</v>
      </c>
      <c r="I28">
        <v>1.0999999999999999E-2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46203.927777777775</v>
      </c>
      <c r="R28">
        <v>88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46203.927777777775</v>
      </c>
      <c r="AF28">
        <v>88</v>
      </c>
      <c r="AG28" t="s">
        <v>13</v>
      </c>
      <c r="AH28">
        <v>0</v>
      </c>
      <c r="AI28">
        <v>12.208</v>
      </c>
      <c r="AJ28" s="3">
        <v>92946</v>
      </c>
      <c r="AK28">
        <v>15.965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15.237402674414</v>
      </c>
      <c r="AU28" s="17">
        <f t="shared" si="1"/>
        <v>16827.098279309335</v>
      </c>
      <c r="AW28" s="9">
        <f t="shared" si="16"/>
        <v>2.6905174600000006</v>
      </c>
      <c r="AX28" s="10">
        <f t="shared" si="17"/>
        <v>20892.390780335601</v>
      </c>
      <c r="AZ28" s="11">
        <f t="shared" si="18"/>
        <v>10.96949323586</v>
      </c>
      <c r="BA28" s="12">
        <f t="shared" si="19"/>
        <v>18416.465617248519</v>
      </c>
      <c r="BC28" s="14">
        <f t="shared" si="20"/>
        <v>15.627801434357002</v>
      </c>
      <c r="BD28" s="15">
        <f t="shared" si="21"/>
        <v>20454.360456312079</v>
      </c>
      <c r="BF28" s="16">
        <f t="shared" si="8"/>
        <v>15.237402674414</v>
      </c>
      <c r="BG28" s="17">
        <f t="shared" si="9"/>
        <v>16827.098279309335</v>
      </c>
      <c r="BI28">
        <v>64</v>
      </c>
      <c r="BJ28" t="s">
        <v>54</v>
      </c>
      <c r="BK28" s="2">
        <v>46203.927777777775</v>
      </c>
      <c r="BL28">
        <v>88</v>
      </c>
      <c r="BM28" t="s">
        <v>13</v>
      </c>
      <c r="BN28">
        <v>0</v>
      </c>
      <c r="BO28">
        <v>2.8839999999999999</v>
      </c>
      <c r="BP28" s="3">
        <v>802594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46203.94902777778</v>
      </c>
      <c r="D29">
        <v>395</v>
      </c>
      <c r="E29" t="s">
        <v>13</v>
      </c>
      <c r="F29">
        <v>0</v>
      </c>
      <c r="G29">
        <v>6.0419999999999998</v>
      </c>
      <c r="H29" s="3">
        <v>119199</v>
      </c>
      <c r="I29">
        <v>0.24199999999999999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46203.94902777778</v>
      </c>
      <c r="R29">
        <v>395</v>
      </c>
      <c r="S29" t="s">
        <v>13</v>
      </c>
      <c r="T29">
        <v>0</v>
      </c>
      <c r="U29">
        <v>6.0030000000000001</v>
      </c>
      <c r="V29" s="3">
        <v>1089</v>
      </c>
      <c r="W29">
        <v>0.40400000000000003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46203.94902777778</v>
      </c>
      <c r="AF29">
        <v>395</v>
      </c>
      <c r="AG29" t="s">
        <v>13</v>
      </c>
      <c r="AH29">
        <v>0</v>
      </c>
      <c r="AI29">
        <v>11.926</v>
      </c>
      <c r="AJ29" s="3">
        <v>166</v>
      </c>
      <c r="AK29" s="13">
        <v>0.121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257.66377763738359</v>
      </c>
      <c r="AU29" s="17">
        <f t="shared" si="1"/>
        <v>75.577186229239999</v>
      </c>
      <c r="AW29" s="9">
        <f t="shared" si="16"/>
        <v>329.89590767522299</v>
      </c>
      <c r="AX29" s="10">
        <f t="shared" si="17"/>
        <v>18.771431708400002</v>
      </c>
      <c r="AZ29" s="11">
        <f t="shared" si="18"/>
        <v>337.13351461763119</v>
      </c>
      <c r="BA29" s="12">
        <f t="shared" si="19"/>
        <v>68.128352151200005</v>
      </c>
      <c r="BC29" s="14">
        <f t="shared" si="20"/>
        <v>319.13390837893695</v>
      </c>
      <c r="BD29" s="15">
        <f t="shared" si="21"/>
        <v>-96.203152172919999</v>
      </c>
      <c r="BF29" s="16">
        <f t="shared" si="8"/>
        <v>257.66377763738359</v>
      </c>
      <c r="BG29" s="17">
        <f t="shared" si="9"/>
        <v>75.577186229239999</v>
      </c>
      <c r="BI29">
        <v>65</v>
      </c>
      <c r="BJ29" t="s">
        <v>55</v>
      </c>
      <c r="BK29" s="2">
        <v>46203.94902777778</v>
      </c>
      <c r="BL29">
        <v>395</v>
      </c>
      <c r="BM29" t="s">
        <v>13</v>
      </c>
      <c r="BN29">
        <v>0</v>
      </c>
      <c r="BO29">
        <v>2.875</v>
      </c>
      <c r="BP29" s="3">
        <v>847483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46203.970277777778</v>
      </c>
      <c r="D30">
        <v>346</v>
      </c>
      <c r="E30" t="s">
        <v>13</v>
      </c>
      <c r="F30">
        <v>0</v>
      </c>
      <c r="G30">
        <v>6.0510000000000002</v>
      </c>
      <c r="H30" s="3">
        <v>83539</v>
      </c>
      <c r="I30">
        <v>0.17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46203.970277777778</v>
      </c>
      <c r="R30">
        <v>346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46203.970277777778</v>
      </c>
      <c r="AF30">
        <v>346</v>
      </c>
      <c r="AG30" t="s">
        <v>13</v>
      </c>
      <c r="AH30">
        <v>0</v>
      </c>
      <c r="AI30">
        <v>12.222</v>
      </c>
      <c r="AJ30" s="3">
        <v>81233</v>
      </c>
      <c r="AK30">
        <v>13.965999999999999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si="0"/>
        <v>182.64621303429561</v>
      </c>
      <c r="AU30" s="17">
        <f t="shared" si="1"/>
        <v>14908.536601179756</v>
      </c>
      <c r="AW30" s="9">
        <f t="shared" si="16"/>
        <v>232.78366535038302</v>
      </c>
      <c r="AX30" s="10">
        <f t="shared" si="17"/>
        <v>18074.523168179901</v>
      </c>
      <c r="AZ30" s="11">
        <f t="shared" si="18"/>
        <v>235.84309380633522</v>
      </c>
      <c r="BA30" s="12">
        <f t="shared" si="19"/>
        <v>16049.098729055331</v>
      </c>
      <c r="BC30" s="14">
        <f t="shared" si="20"/>
        <v>225.39518293097697</v>
      </c>
      <c r="BD30" s="15">
        <f t="shared" si="21"/>
        <v>17961.245840930816</v>
      </c>
      <c r="BF30" s="16">
        <f t="shared" si="8"/>
        <v>182.64621303429561</v>
      </c>
      <c r="BG30" s="17">
        <f t="shared" si="9"/>
        <v>14908.536601179756</v>
      </c>
      <c r="BI30">
        <v>66</v>
      </c>
      <c r="BJ30" t="s">
        <v>56</v>
      </c>
      <c r="BK30" s="2">
        <v>46203.970277777778</v>
      </c>
      <c r="BL30">
        <v>346</v>
      </c>
      <c r="BM30" t="s">
        <v>13</v>
      </c>
      <c r="BN30">
        <v>0</v>
      </c>
      <c r="BO30">
        <v>2.8730000000000002</v>
      </c>
      <c r="BP30" s="3">
        <v>957852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46203.991527777776</v>
      </c>
      <c r="D31">
        <v>302</v>
      </c>
      <c r="E31" t="s">
        <v>13</v>
      </c>
      <c r="F31">
        <v>0</v>
      </c>
      <c r="G31">
        <v>6.0490000000000004</v>
      </c>
      <c r="H31" s="3">
        <v>65645</v>
      </c>
      <c r="I31">
        <v>0.13300000000000001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46203.991527777776</v>
      </c>
      <c r="R31">
        <v>302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46203.991527777776</v>
      </c>
      <c r="AF31">
        <v>302</v>
      </c>
      <c r="AG31" t="s">
        <v>13</v>
      </c>
      <c r="AH31">
        <v>0</v>
      </c>
      <c r="AI31">
        <v>12.401999999999999</v>
      </c>
      <c r="AJ31" s="3">
        <v>66</v>
      </c>
      <c r="AK31">
        <v>0.104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0"/>
        <v>144.64209226819</v>
      </c>
      <c r="AU31" s="17">
        <f t="shared" si="1"/>
        <v>57.006355901239999</v>
      </c>
      <c r="AW31" s="9">
        <f t="shared" si="16"/>
        <v>182.54202247857501</v>
      </c>
      <c r="AX31" s="10">
        <f t="shared" si="17"/>
        <v>-5.6179867715999983</v>
      </c>
      <c r="AZ31" s="11">
        <f t="shared" si="18"/>
        <v>184.73933897198</v>
      </c>
      <c r="BA31" s="12">
        <f t="shared" si="19"/>
        <v>47.6297395112</v>
      </c>
      <c r="BC31" s="14">
        <f t="shared" si="20"/>
        <v>178.105553035425</v>
      </c>
      <c r="BD31" s="15">
        <f t="shared" si="21"/>
        <v>-118.97201374892001</v>
      </c>
      <c r="BF31" s="16">
        <f t="shared" si="8"/>
        <v>144.64209226819</v>
      </c>
      <c r="BG31" s="17">
        <f t="shared" si="9"/>
        <v>57.006355901239999</v>
      </c>
      <c r="BI31">
        <v>67</v>
      </c>
      <c r="BJ31" t="s">
        <v>57</v>
      </c>
      <c r="BK31" s="2">
        <v>46203.991527777776</v>
      </c>
      <c r="BL31">
        <v>302</v>
      </c>
      <c r="BM31" t="s">
        <v>13</v>
      </c>
      <c r="BN31">
        <v>0</v>
      </c>
      <c r="BO31">
        <v>2.8820000000000001</v>
      </c>
      <c r="BP31" s="3">
        <v>841334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46204.012789351851</v>
      </c>
      <c r="D32">
        <v>293</v>
      </c>
      <c r="E32" t="s">
        <v>13</v>
      </c>
      <c r="F32">
        <v>0</v>
      </c>
      <c r="G32">
        <v>6.0179999999999998</v>
      </c>
      <c r="H32" s="3">
        <v>9747042</v>
      </c>
      <c r="I32">
        <v>20.259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46204.012789351851</v>
      </c>
      <c r="R32">
        <v>293</v>
      </c>
      <c r="S32" t="s">
        <v>13</v>
      </c>
      <c r="T32">
        <v>0</v>
      </c>
      <c r="U32">
        <v>5.9720000000000004</v>
      </c>
      <c r="V32" s="3">
        <v>81898</v>
      </c>
      <c r="W32">
        <v>18.741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46204.012789351851</v>
      </c>
      <c r="AF32">
        <v>293</v>
      </c>
      <c r="AG32" t="s">
        <v>13</v>
      </c>
      <c r="AH32">
        <v>0</v>
      </c>
      <c r="AI32">
        <v>12.198</v>
      </c>
      <c r="AJ32" s="3">
        <v>97492</v>
      </c>
      <c r="AK32">
        <v>16.741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0"/>
        <v>20107.72677403751</v>
      </c>
      <c r="AU32" s="17">
        <f t="shared" si="1"/>
        <v>17571.891056947105</v>
      </c>
      <c r="AW32" s="9">
        <f t="shared" si="16"/>
        <v>19840.691351919999</v>
      </c>
      <c r="AX32" s="10">
        <f t="shared" si="17"/>
        <v>21983.026576382399</v>
      </c>
      <c r="AZ32" s="11">
        <f t="shared" si="18"/>
        <v>21776.510045476</v>
      </c>
      <c r="BA32" s="12">
        <f t="shared" si="19"/>
        <v>19333.501897762082</v>
      </c>
      <c r="BC32" s="14">
        <f t="shared" si="20"/>
        <v>20833.355156423437</v>
      </c>
      <c r="BD32" s="15">
        <f t="shared" si="21"/>
        <v>21421.192591520317</v>
      </c>
      <c r="BF32" s="16">
        <f t="shared" si="8"/>
        <v>20107.72677403751</v>
      </c>
      <c r="BG32" s="17">
        <f t="shared" si="9"/>
        <v>17571.891056947105</v>
      </c>
      <c r="BI32">
        <v>68</v>
      </c>
      <c r="BJ32" t="s">
        <v>58</v>
      </c>
      <c r="BK32" s="2">
        <v>46204.012789351851</v>
      </c>
      <c r="BL32">
        <v>293</v>
      </c>
      <c r="BM32" t="s">
        <v>13</v>
      </c>
      <c r="BN32">
        <v>0</v>
      </c>
      <c r="BO32">
        <v>2.8879999999999999</v>
      </c>
      <c r="BP32" s="3">
        <v>680749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46204.03402777778</v>
      </c>
      <c r="D33">
        <v>401</v>
      </c>
      <c r="E33" t="s">
        <v>13</v>
      </c>
      <c r="F33">
        <v>0</v>
      </c>
      <c r="G33">
        <v>6.0439999999999996</v>
      </c>
      <c r="H33" s="3">
        <v>23063</v>
      </c>
      <c r="I33">
        <v>4.7E-2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46204.03402777778</v>
      </c>
      <c r="R33">
        <v>401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46204.03402777778</v>
      </c>
      <c r="AF33">
        <v>401</v>
      </c>
      <c r="AG33" t="s">
        <v>13</v>
      </c>
      <c r="AH33">
        <v>0</v>
      </c>
      <c r="AI33">
        <v>12.298999999999999</v>
      </c>
      <c r="AJ33" s="3">
        <v>181</v>
      </c>
      <c r="AK33">
        <v>0.123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0"/>
        <v>53.235132098868405</v>
      </c>
      <c r="AU33" s="17">
        <f t="shared" si="1"/>
        <v>78.362872516190009</v>
      </c>
      <c r="AW33" s="9">
        <f t="shared" si="16"/>
        <v>58.921899594887009</v>
      </c>
      <c r="AX33" s="10">
        <f t="shared" si="17"/>
        <v>22.4290577079</v>
      </c>
      <c r="AZ33" s="11">
        <f t="shared" si="18"/>
        <v>62.385023711352815</v>
      </c>
      <c r="BA33" s="12">
        <f t="shared" si="19"/>
        <v>71.203040892199994</v>
      </c>
      <c r="BC33" s="14">
        <f t="shared" si="20"/>
        <v>64.894075782152996</v>
      </c>
      <c r="BD33" s="15">
        <f t="shared" si="21"/>
        <v>-92.787907582269995</v>
      </c>
      <c r="BF33" s="16">
        <f t="shared" si="8"/>
        <v>53.235132098868405</v>
      </c>
      <c r="BG33" s="17">
        <f t="shared" si="9"/>
        <v>78.362872516190009</v>
      </c>
      <c r="BI33">
        <v>69</v>
      </c>
      <c r="BJ33" t="s">
        <v>59</v>
      </c>
      <c r="BK33" s="2">
        <v>46204.03402777778</v>
      </c>
      <c r="BL33">
        <v>401</v>
      </c>
      <c r="BM33" t="s">
        <v>13</v>
      </c>
      <c r="BN33">
        <v>0</v>
      </c>
      <c r="BO33">
        <v>2.8540000000000001</v>
      </c>
      <c r="BP33" s="3">
        <v>1242761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46204.055289351854</v>
      </c>
      <c r="D34">
        <v>355</v>
      </c>
      <c r="E34" t="s">
        <v>13</v>
      </c>
      <c r="F34">
        <v>0</v>
      </c>
      <c r="G34">
        <v>6.0830000000000002</v>
      </c>
      <c r="H34" s="3">
        <v>1552</v>
      </c>
      <c r="I34">
        <v>3.0000000000000001E-3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46204.055289351854</v>
      </c>
      <c r="R34">
        <v>355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46204.055289351854</v>
      </c>
      <c r="AF34">
        <v>355</v>
      </c>
      <c r="AG34" t="s">
        <v>13</v>
      </c>
      <c r="AH34">
        <v>0</v>
      </c>
      <c r="AI34">
        <v>12.172000000000001</v>
      </c>
      <c r="AJ34" s="3">
        <v>113556</v>
      </c>
      <c r="AK34">
        <v>19.483000000000001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0"/>
        <v>5.4230140733440004</v>
      </c>
      <c r="AU34" s="17">
        <f t="shared" si="1"/>
        <v>20204.488315908973</v>
      </c>
      <c r="AW34" s="9">
        <f t="shared" si="16"/>
        <v>6.62542016</v>
      </c>
      <c r="AX34" s="10">
        <f t="shared" si="17"/>
        <v>25823.417125937602</v>
      </c>
      <c r="AZ34" s="11">
        <f t="shared" si="18"/>
        <v>0.13368934655999976</v>
      </c>
      <c r="BA34" s="12">
        <f t="shared" si="19"/>
        <v>22566.036787781919</v>
      </c>
      <c r="BC34" s="14">
        <f t="shared" si="20"/>
        <v>2.1555211230719999</v>
      </c>
      <c r="BD34" s="15">
        <f t="shared" si="21"/>
        <v>24834.128670255679</v>
      </c>
      <c r="BF34" s="16">
        <f t="shared" si="8"/>
        <v>5.4230140733440004</v>
      </c>
      <c r="BG34" s="17">
        <f t="shared" si="9"/>
        <v>20204.488315908973</v>
      </c>
      <c r="BI34">
        <v>70</v>
      </c>
      <c r="BJ34" t="s">
        <v>60</v>
      </c>
      <c r="BK34" s="2">
        <v>46204.055289351854</v>
      </c>
      <c r="BL34">
        <v>355</v>
      </c>
      <c r="BM34" t="s">
        <v>13</v>
      </c>
      <c r="BN34">
        <v>0</v>
      </c>
      <c r="BO34">
        <v>2.871</v>
      </c>
      <c r="BP34" s="3">
        <v>908254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46204.076527777775</v>
      </c>
      <c r="D35">
        <v>370</v>
      </c>
      <c r="E35" t="s">
        <v>13</v>
      </c>
      <c r="F35">
        <v>0</v>
      </c>
      <c r="G35">
        <v>6.04</v>
      </c>
      <c r="H35" s="3">
        <v>271423</v>
      </c>
      <c r="I35">
        <v>0.55100000000000005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46204.076527777775</v>
      </c>
      <c r="R35">
        <v>370</v>
      </c>
      <c r="S35" t="s">
        <v>13</v>
      </c>
      <c r="T35">
        <v>0</v>
      </c>
      <c r="U35">
        <v>6.0039999999999996</v>
      </c>
      <c r="V35" s="3">
        <v>2621</v>
      </c>
      <c r="W35">
        <v>0.752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46204.076527777775</v>
      </c>
      <c r="AF35">
        <v>370</v>
      </c>
      <c r="AG35" t="s">
        <v>13</v>
      </c>
      <c r="AH35">
        <v>0</v>
      </c>
      <c r="AI35">
        <v>12.266</v>
      </c>
      <c r="AJ35" s="3">
        <v>30152</v>
      </c>
      <c r="AK35">
        <v>5.2430000000000003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0"/>
        <v>638.65651717037997</v>
      </c>
      <c r="AU35" s="17">
        <f t="shared" si="1"/>
        <v>5676.51463169216</v>
      </c>
      <c r="AW35" s="9">
        <f t="shared" si="16"/>
        <v>679.29034972432055</v>
      </c>
      <c r="AX35" s="10">
        <f t="shared" si="17"/>
        <v>6920.7078302655991</v>
      </c>
      <c r="AZ35" s="11">
        <f t="shared" si="18"/>
        <v>738.20273224144023</v>
      </c>
      <c r="BA35" s="12">
        <f t="shared" si="19"/>
        <v>6160.8932423808001</v>
      </c>
      <c r="BC35" s="14">
        <f t="shared" si="20"/>
        <v>731.92719640130713</v>
      </c>
      <c r="BD35" s="15">
        <f t="shared" si="21"/>
        <v>6686.9987478867206</v>
      </c>
      <c r="BF35" s="16">
        <f t="shared" si="8"/>
        <v>638.65651717037997</v>
      </c>
      <c r="BG35" s="17">
        <f t="shared" si="9"/>
        <v>5676.51463169216</v>
      </c>
      <c r="BI35">
        <v>71</v>
      </c>
      <c r="BJ35" t="s">
        <v>61</v>
      </c>
      <c r="BK35" s="2">
        <v>46204.076527777775</v>
      </c>
      <c r="BL35">
        <v>370</v>
      </c>
      <c r="BM35" t="s">
        <v>13</v>
      </c>
      <c r="BN35">
        <v>0</v>
      </c>
      <c r="BO35">
        <v>2.8769999999999998</v>
      </c>
      <c r="BP35" s="3">
        <v>794141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62</v>
      </c>
      <c r="C36" s="2">
        <v>46204.09778935185</v>
      </c>
      <c r="D36">
        <v>119</v>
      </c>
      <c r="E36" t="s">
        <v>13</v>
      </c>
      <c r="F36">
        <v>0</v>
      </c>
      <c r="G36">
        <v>5.9779999999999998</v>
      </c>
      <c r="H36" s="3">
        <v>19984258</v>
      </c>
      <c r="I36">
        <v>42.697000000000003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46204.09778935185</v>
      </c>
      <c r="R36">
        <v>119</v>
      </c>
      <c r="S36" t="s">
        <v>13</v>
      </c>
      <c r="T36">
        <v>0</v>
      </c>
      <c r="U36">
        <v>5.9370000000000003</v>
      </c>
      <c r="V36" s="3">
        <v>173578</v>
      </c>
      <c r="W36">
        <v>39.515000000000001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46204.09778935185</v>
      </c>
      <c r="AF36">
        <v>119</v>
      </c>
      <c r="AG36" t="s">
        <v>13</v>
      </c>
      <c r="AH36">
        <v>0</v>
      </c>
      <c r="AI36">
        <v>12.212999999999999</v>
      </c>
      <c r="AJ36" s="3">
        <v>66753</v>
      </c>
      <c r="AK36">
        <v>11.494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8">
        <v>72</v>
      </c>
      <c r="AT36" s="16">
        <f t="shared" si="0"/>
        <v>40090.172792332552</v>
      </c>
      <c r="AU36" s="17">
        <f t="shared" si="1"/>
        <v>12537.612717953245</v>
      </c>
      <c r="AW36" s="9">
        <f t="shared" si="16"/>
        <v>42888.170558319995</v>
      </c>
      <c r="AX36" s="10">
        <f t="shared" si="17"/>
        <v>14575.469212931901</v>
      </c>
      <c r="AZ36" s="11">
        <f t="shared" si="18"/>
        <v>46454.954815396006</v>
      </c>
      <c r="BA36" s="12">
        <f t="shared" si="19"/>
        <v>13113.36710889373</v>
      </c>
      <c r="BC36" s="14">
        <f t="shared" si="20"/>
        <v>42736.575674068241</v>
      </c>
      <c r="BD36" s="15">
        <f t="shared" si="21"/>
        <v>14875.14677284442</v>
      </c>
      <c r="BF36" s="16">
        <f t="shared" si="8"/>
        <v>40090.172792332552</v>
      </c>
      <c r="BG36" s="17">
        <f t="shared" si="9"/>
        <v>12537.612717953245</v>
      </c>
      <c r="BI36">
        <v>72</v>
      </c>
      <c r="BJ36" t="s">
        <v>62</v>
      </c>
      <c r="BK36" s="2">
        <v>46204.09778935185</v>
      </c>
      <c r="BL36">
        <v>119</v>
      </c>
      <c r="BM36" t="s">
        <v>13</v>
      </c>
      <c r="BN36">
        <v>0</v>
      </c>
      <c r="BO36">
        <v>2.88</v>
      </c>
      <c r="BP36" s="3">
        <v>672863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63</v>
      </c>
      <c r="C37" s="2">
        <v>46204.119016203702</v>
      </c>
      <c r="D37">
        <v>147</v>
      </c>
      <c r="E37" t="s">
        <v>13</v>
      </c>
      <c r="F37">
        <v>0</v>
      </c>
      <c r="G37">
        <v>6.0419999999999998</v>
      </c>
      <c r="H37" s="3">
        <v>126009</v>
      </c>
      <c r="I37">
        <v>0.25600000000000001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46204.119016203702</v>
      </c>
      <c r="R37">
        <v>147</v>
      </c>
      <c r="S37" t="s">
        <v>13</v>
      </c>
      <c r="T37">
        <v>0</v>
      </c>
      <c r="U37">
        <v>5.992</v>
      </c>
      <c r="V37" s="3">
        <v>1971</v>
      </c>
      <c r="W37">
        <v>0.60399999999999998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46204.119016203702</v>
      </c>
      <c r="AF37">
        <v>147</v>
      </c>
      <c r="AG37" t="s">
        <v>13</v>
      </c>
      <c r="AH37">
        <v>0</v>
      </c>
      <c r="AI37">
        <v>12.311</v>
      </c>
      <c r="AJ37" s="3">
        <v>38</v>
      </c>
      <c r="AK37">
        <v>9.9000000000000005E-2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8">
        <v>73</v>
      </c>
      <c r="AT37" s="16">
        <f t="shared" si="0"/>
        <v>271.88103989431158</v>
      </c>
      <c r="AU37" s="17">
        <f t="shared" si="1"/>
        <v>51.806651680759998</v>
      </c>
      <c r="AW37" s="9">
        <f t="shared" si="16"/>
        <v>347.98535823626304</v>
      </c>
      <c r="AX37" s="10">
        <f t="shared" si="17"/>
        <v>-12.448658608399999</v>
      </c>
      <c r="AZ37" s="11">
        <f t="shared" si="18"/>
        <v>356.39344717820717</v>
      </c>
      <c r="BA37" s="12">
        <f t="shared" si="19"/>
        <v>41.889913648800004</v>
      </c>
      <c r="BC37" s="14">
        <f t="shared" si="20"/>
        <v>336.95915349469698</v>
      </c>
      <c r="BD37" s="15">
        <f t="shared" si="21"/>
        <v>-125.34747085708</v>
      </c>
      <c r="BF37" s="16">
        <f t="shared" si="8"/>
        <v>271.88103989431158</v>
      </c>
      <c r="BG37" s="17">
        <f t="shared" si="9"/>
        <v>51.806651680759998</v>
      </c>
      <c r="BI37">
        <v>73</v>
      </c>
      <c r="BJ37" t="s">
        <v>63</v>
      </c>
      <c r="BK37" s="2">
        <v>46204.119016203702</v>
      </c>
      <c r="BL37">
        <v>147</v>
      </c>
      <c r="BM37" t="s">
        <v>13</v>
      </c>
      <c r="BN37">
        <v>0</v>
      </c>
      <c r="BO37">
        <v>2.8759999999999999</v>
      </c>
      <c r="BP37" s="3">
        <v>837328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A38">
        <v>74</v>
      </c>
      <c r="B38" t="s">
        <v>64</v>
      </c>
      <c r="C38" s="2">
        <v>46204.140243055554</v>
      </c>
      <c r="D38">
        <v>333</v>
      </c>
      <c r="E38" t="s">
        <v>13</v>
      </c>
      <c r="F38">
        <v>0</v>
      </c>
      <c r="G38">
        <v>6.04</v>
      </c>
      <c r="H38" s="3">
        <v>311487</v>
      </c>
      <c r="I38">
        <v>0.63200000000000001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64</v>
      </c>
      <c r="Q38" s="2">
        <v>46204.140243055554</v>
      </c>
      <c r="R38">
        <v>333</v>
      </c>
      <c r="S38" t="s">
        <v>13</v>
      </c>
      <c r="T38">
        <v>0</v>
      </c>
      <c r="U38">
        <v>5.9909999999999997</v>
      </c>
      <c r="V38" s="3">
        <v>2961</v>
      </c>
      <c r="W38">
        <v>0.82899999999999996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64</v>
      </c>
      <c r="AE38" s="2">
        <v>46204.140243055554</v>
      </c>
      <c r="AF38">
        <v>333</v>
      </c>
      <c r="AG38" t="s">
        <v>13</v>
      </c>
      <c r="AH38">
        <v>0</v>
      </c>
      <c r="AI38">
        <v>12.259</v>
      </c>
      <c r="AJ38" s="3">
        <v>34714</v>
      </c>
      <c r="AK38">
        <v>6.0229999999999997</v>
      </c>
      <c r="AL38" t="s">
        <v>14</v>
      </c>
      <c r="AM38" t="s">
        <v>14</v>
      </c>
      <c r="AN38" t="s">
        <v>14</v>
      </c>
      <c r="AO38" t="s">
        <v>14</v>
      </c>
      <c r="AQ38">
        <v>1</v>
      </c>
      <c r="AS38" s="8">
        <v>74</v>
      </c>
      <c r="AT38" s="16">
        <f t="shared" si="0"/>
        <v>711.30253503063352</v>
      </c>
      <c r="AU38" s="17">
        <f t="shared" si="1"/>
        <v>6534.2689616788402</v>
      </c>
      <c r="AW38" s="9">
        <f t="shared" si="16"/>
        <v>756.58013078825672</v>
      </c>
      <c r="AX38" s="10">
        <f t="shared" si="17"/>
        <v>7898.8673148444004</v>
      </c>
      <c r="AZ38" s="11">
        <f t="shared" si="18"/>
        <v>823.91509126275218</v>
      </c>
      <c r="BA38" s="12">
        <f t="shared" si="19"/>
        <v>7078.4073045992</v>
      </c>
      <c r="BC38" s="14">
        <f t="shared" si="20"/>
        <v>814.09957185318922</v>
      </c>
      <c r="BD38" s="15">
        <f t="shared" si="21"/>
        <v>7711.2454176702804</v>
      </c>
      <c r="BF38" s="16">
        <f t="shared" si="8"/>
        <v>711.30253503063352</v>
      </c>
      <c r="BG38" s="17">
        <f t="shared" si="9"/>
        <v>6534.2689616788402</v>
      </c>
      <c r="BI38">
        <v>74</v>
      </c>
      <c r="BJ38" t="s">
        <v>64</v>
      </c>
      <c r="BK38" s="2">
        <v>46204.140243055554</v>
      </c>
      <c r="BL38">
        <v>333</v>
      </c>
      <c r="BM38" t="s">
        <v>13</v>
      </c>
      <c r="BN38">
        <v>0</v>
      </c>
      <c r="BO38">
        <v>2.8759999999999999</v>
      </c>
      <c r="BP38" s="3">
        <v>792068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35">
      <c r="A39">
        <v>75</v>
      </c>
      <c r="B39" t="s">
        <v>65</v>
      </c>
      <c r="C39" s="2">
        <v>46204.161504629628</v>
      </c>
      <c r="D39">
        <v>246</v>
      </c>
      <c r="E39" t="s">
        <v>13</v>
      </c>
      <c r="F39">
        <v>0</v>
      </c>
      <c r="G39">
        <v>6.0679999999999996</v>
      </c>
      <c r="H39" s="3">
        <v>1471</v>
      </c>
      <c r="I39">
        <v>3.0000000000000001E-3</v>
      </c>
      <c r="J39" t="s">
        <v>14</v>
      </c>
      <c r="K39" t="s">
        <v>14</v>
      </c>
      <c r="L39" t="s">
        <v>14</v>
      </c>
      <c r="M39" t="s">
        <v>14</v>
      </c>
      <c r="O39">
        <v>75</v>
      </c>
      <c r="P39" t="s">
        <v>65</v>
      </c>
      <c r="Q39" s="2">
        <v>46204.161504629628</v>
      </c>
      <c r="R39">
        <v>246</v>
      </c>
      <c r="S39" t="s">
        <v>13</v>
      </c>
      <c r="T39">
        <v>0</v>
      </c>
      <c r="U39" t="s">
        <v>14</v>
      </c>
      <c r="V39" s="3" t="s">
        <v>14</v>
      </c>
      <c r="W39" t="s">
        <v>14</v>
      </c>
      <c r="X39" t="s">
        <v>14</v>
      </c>
      <c r="Y39" t="s">
        <v>14</v>
      </c>
      <c r="Z39" t="s">
        <v>14</v>
      </c>
      <c r="AA39" t="s">
        <v>14</v>
      </c>
      <c r="AC39">
        <v>75</v>
      </c>
      <c r="AD39" t="s">
        <v>65</v>
      </c>
      <c r="AE39" s="2">
        <v>46204.161504629628</v>
      </c>
      <c r="AF39">
        <v>246</v>
      </c>
      <c r="AG39" t="s">
        <v>13</v>
      </c>
      <c r="AH39">
        <v>0</v>
      </c>
      <c r="AI39">
        <v>12.176</v>
      </c>
      <c r="AJ39" s="3">
        <v>111652</v>
      </c>
      <c r="AK39">
        <v>19.158000000000001</v>
      </c>
      <c r="AL39" t="s">
        <v>14</v>
      </c>
      <c r="AM39" t="s">
        <v>14</v>
      </c>
      <c r="AN39" t="s">
        <v>14</v>
      </c>
      <c r="AO39" t="s">
        <v>14</v>
      </c>
      <c r="AQ39">
        <v>1</v>
      </c>
      <c r="AS39" s="8">
        <v>75</v>
      </c>
      <c r="AT39" s="16">
        <f t="shared" si="0"/>
        <v>5.2129184945259999</v>
      </c>
      <c r="AU39" s="17">
        <f t="shared" si="1"/>
        <v>19892.395817447523</v>
      </c>
      <c r="AW39" s="9">
        <f t="shared" si="16"/>
        <v>6.8791591400000005</v>
      </c>
      <c r="AX39" s="10">
        <f t="shared" si="17"/>
        <v>25369.334083646401</v>
      </c>
      <c r="AZ39" s="11">
        <f t="shared" si="18"/>
        <v>-7.8995125260000076E-2</v>
      </c>
      <c r="BA39" s="12">
        <f t="shared" si="19"/>
        <v>22183.54555643088</v>
      </c>
      <c r="BC39" s="14">
        <f t="shared" si="20"/>
        <v>1.8713995016129994</v>
      </c>
      <c r="BD39" s="15">
        <f t="shared" si="21"/>
        <v>24429.893684115519</v>
      </c>
      <c r="BF39" s="16">
        <f t="shared" si="8"/>
        <v>5.2129184945259999</v>
      </c>
      <c r="BG39" s="17">
        <f t="shared" si="9"/>
        <v>19892.395817447523</v>
      </c>
      <c r="BI39">
        <v>75</v>
      </c>
      <c r="BJ39" t="s">
        <v>65</v>
      </c>
      <c r="BK39" s="2">
        <v>46204.161504629628</v>
      </c>
      <c r="BL39">
        <v>246</v>
      </c>
      <c r="BM39" t="s">
        <v>13</v>
      </c>
      <c r="BN39">
        <v>0</v>
      </c>
      <c r="BO39">
        <v>2.87</v>
      </c>
      <c r="BP39" s="3">
        <v>928436</v>
      </c>
      <c r="BQ39">
        <v>0</v>
      </c>
      <c r="BR39" t="s">
        <v>14</v>
      </c>
      <c r="BS39" t="s">
        <v>14</v>
      </c>
      <c r="BT39" t="s">
        <v>14</v>
      </c>
      <c r="BU39" t="s">
        <v>14</v>
      </c>
    </row>
    <row r="40" spans="1:73" x14ac:dyDescent="0.35">
      <c r="A40">
        <v>76</v>
      </c>
      <c r="B40" t="s">
        <v>66</v>
      </c>
      <c r="C40" s="2">
        <v>46204.182754629626</v>
      </c>
      <c r="D40">
        <v>178</v>
      </c>
      <c r="E40" t="s">
        <v>13</v>
      </c>
      <c r="F40">
        <v>0</v>
      </c>
      <c r="G40">
        <v>6.0830000000000002</v>
      </c>
      <c r="H40" s="3">
        <v>1023</v>
      </c>
      <c r="I40">
        <v>2E-3</v>
      </c>
      <c r="J40" t="s">
        <v>14</v>
      </c>
      <c r="K40" t="s">
        <v>14</v>
      </c>
      <c r="L40" t="s">
        <v>14</v>
      </c>
      <c r="M40" t="s">
        <v>14</v>
      </c>
      <c r="O40">
        <v>76</v>
      </c>
      <c r="P40" t="s">
        <v>66</v>
      </c>
      <c r="Q40" s="2">
        <v>46204.182754629626</v>
      </c>
      <c r="R40">
        <v>178</v>
      </c>
      <c r="S40" t="s">
        <v>13</v>
      </c>
      <c r="T40">
        <v>0</v>
      </c>
      <c r="U40" t="s">
        <v>14</v>
      </c>
      <c r="V40" t="s">
        <v>14</v>
      </c>
      <c r="W40" t="s">
        <v>14</v>
      </c>
      <c r="X40" t="s">
        <v>14</v>
      </c>
      <c r="Y40" t="s">
        <v>14</v>
      </c>
      <c r="Z40" t="s">
        <v>14</v>
      </c>
      <c r="AA40" t="s">
        <v>14</v>
      </c>
      <c r="AC40">
        <v>76</v>
      </c>
      <c r="AD40" t="s">
        <v>66</v>
      </c>
      <c r="AE40" s="2">
        <v>46204.182754629626</v>
      </c>
      <c r="AF40">
        <v>178</v>
      </c>
      <c r="AG40" t="s">
        <v>13</v>
      </c>
      <c r="AH40">
        <v>0</v>
      </c>
      <c r="AI40">
        <v>12.167999999999999</v>
      </c>
      <c r="AJ40" s="3">
        <v>117409</v>
      </c>
      <c r="AK40">
        <v>20.14</v>
      </c>
      <c r="AL40" t="s">
        <v>14</v>
      </c>
      <c r="AM40" t="s">
        <v>14</v>
      </c>
      <c r="AN40" t="s">
        <v>14</v>
      </c>
      <c r="AO40" t="s">
        <v>14</v>
      </c>
      <c r="AQ40">
        <v>1</v>
      </c>
      <c r="AS40" s="8">
        <v>76</v>
      </c>
      <c r="AT40" s="16">
        <f t="shared" si="0"/>
        <v>4.0500281912940004</v>
      </c>
      <c r="AU40" s="17">
        <f t="shared" si="1"/>
        <v>20836.100087213195</v>
      </c>
      <c r="AW40" s="9">
        <f t="shared" si="16"/>
        <v>8.4105306599999992</v>
      </c>
      <c r="AX40" s="10">
        <f t="shared" si="17"/>
        <v>26741.407982807097</v>
      </c>
      <c r="AZ40" s="11">
        <f t="shared" si="18"/>
        <v>-1.2417823329400002</v>
      </c>
      <c r="BA40" s="12">
        <f t="shared" si="19"/>
        <v>23339.526195057573</v>
      </c>
      <c r="BC40" s="14">
        <f t="shared" si="20"/>
        <v>0.30197417079699962</v>
      </c>
      <c r="BD40" s="15">
        <f t="shared" si="21"/>
        <v>25651.916945755776</v>
      </c>
      <c r="BF40" s="16">
        <f t="shared" si="8"/>
        <v>4.0500281912940004</v>
      </c>
      <c r="BG40" s="17">
        <f t="shared" si="9"/>
        <v>20836.100087213195</v>
      </c>
      <c r="BI40">
        <v>76</v>
      </c>
      <c r="BJ40" t="s">
        <v>66</v>
      </c>
      <c r="BK40" s="2">
        <v>46204.182754629626</v>
      </c>
      <c r="BL40">
        <v>178</v>
      </c>
      <c r="BM40" t="s">
        <v>13</v>
      </c>
      <c r="BN40">
        <v>0</v>
      </c>
      <c r="BO40">
        <v>2.87</v>
      </c>
      <c r="BP40" s="3">
        <v>926988</v>
      </c>
      <c r="BQ40">
        <v>0</v>
      </c>
      <c r="BR40" t="s">
        <v>14</v>
      </c>
      <c r="BS40" t="s">
        <v>14</v>
      </c>
      <c r="BT40" t="s">
        <v>14</v>
      </c>
      <c r="BU40" t="s">
        <v>14</v>
      </c>
    </row>
    <row r="41" spans="1:73" x14ac:dyDescent="0.35">
      <c r="A41">
        <v>77</v>
      </c>
      <c r="B41" t="s">
        <v>67</v>
      </c>
      <c r="C41" s="2">
        <v>46204.204016203701</v>
      </c>
      <c r="D41">
        <v>216</v>
      </c>
      <c r="E41" t="s">
        <v>13</v>
      </c>
      <c r="F41">
        <v>0</v>
      </c>
      <c r="G41">
        <v>6.0460000000000003</v>
      </c>
      <c r="H41" s="3">
        <v>13201</v>
      </c>
      <c r="I41">
        <v>2.7E-2</v>
      </c>
      <c r="J41" t="s">
        <v>14</v>
      </c>
      <c r="K41" t="s">
        <v>14</v>
      </c>
      <c r="L41" t="s">
        <v>14</v>
      </c>
      <c r="M41" t="s">
        <v>14</v>
      </c>
      <c r="O41">
        <v>77</v>
      </c>
      <c r="P41" t="s">
        <v>67</v>
      </c>
      <c r="Q41" s="2">
        <v>46204.204016203701</v>
      </c>
      <c r="R41">
        <v>216</v>
      </c>
      <c r="S41" t="s">
        <v>13</v>
      </c>
      <c r="T41">
        <v>0</v>
      </c>
      <c r="U41" t="s">
        <v>14</v>
      </c>
      <c r="V41" t="s">
        <v>14</v>
      </c>
      <c r="W41" t="s">
        <v>14</v>
      </c>
      <c r="X41" t="s">
        <v>14</v>
      </c>
      <c r="Y41" t="s">
        <v>14</v>
      </c>
      <c r="Z41" t="s">
        <v>14</v>
      </c>
      <c r="AA41" t="s">
        <v>14</v>
      </c>
      <c r="AC41">
        <v>77</v>
      </c>
      <c r="AD41" t="s">
        <v>67</v>
      </c>
      <c r="AE41" s="2">
        <v>46204.204016203701</v>
      </c>
      <c r="AF41">
        <v>216</v>
      </c>
      <c r="AG41" t="s">
        <v>13</v>
      </c>
      <c r="AH41">
        <v>0</v>
      </c>
      <c r="AI41">
        <v>12.29</v>
      </c>
      <c r="AJ41" s="3">
        <v>9686</v>
      </c>
      <c r="AK41">
        <v>1.7470000000000001</v>
      </c>
      <c r="AL41" t="s">
        <v>14</v>
      </c>
      <c r="AM41" t="s">
        <v>14</v>
      </c>
      <c r="AN41" t="s">
        <v>14</v>
      </c>
      <c r="AO41" t="s">
        <v>14</v>
      </c>
      <c r="AQ41">
        <v>1</v>
      </c>
      <c r="AS41" s="8">
        <v>77</v>
      </c>
      <c r="AT41" s="16">
        <f t="shared" si="0"/>
        <v>31.870586126663603</v>
      </c>
      <c r="AU41" s="17">
        <f t="shared" si="1"/>
        <v>1846.79796755084</v>
      </c>
      <c r="AW41" s="9">
        <f t="shared" si="16"/>
        <v>29.475824885622998</v>
      </c>
      <c r="AX41" s="10">
        <f t="shared" si="17"/>
        <v>2298.8733383644003</v>
      </c>
      <c r="AZ41" s="11">
        <f t="shared" si="18"/>
        <v>33.898370863391207</v>
      </c>
      <c r="BA41" s="12">
        <f t="shared" si="19"/>
        <v>2014.1196479591997</v>
      </c>
      <c r="BC41" s="14">
        <f t="shared" si="20"/>
        <v>38.538249936536999</v>
      </c>
      <c r="BD41" s="15">
        <f t="shared" si="21"/>
        <v>2066.8985214942804</v>
      </c>
      <c r="BF41" s="16">
        <f t="shared" si="8"/>
        <v>31.870586126663603</v>
      </c>
      <c r="BG41" s="17">
        <f t="shared" si="9"/>
        <v>1846.79796755084</v>
      </c>
      <c r="BI41">
        <v>77</v>
      </c>
      <c r="BJ41" t="s">
        <v>67</v>
      </c>
      <c r="BK41" s="2">
        <v>46204.204016203701</v>
      </c>
      <c r="BL41">
        <v>216</v>
      </c>
      <c r="BM41" t="s">
        <v>13</v>
      </c>
      <c r="BN41">
        <v>0</v>
      </c>
      <c r="BO41">
        <v>2.8719999999999999</v>
      </c>
      <c r="BP41" s="3">
        <v>892456</v>
      </c>
      <c r="BQ41">
        <v>0</v>
      </c>
      <c r="BR41" t="s">
        <v>14</v>
      </c>
      <c r="BS41" t="s">
        <v>14</v>
      </c>
      <c r="BT41" t="s">
        <v>14</v>
      </c>
      <c r="BU41" t="s">
        <v>14</v>
      </c>
    </row>
    <row r="42" spans="1:73" x14ac:dyDescent="0.35">
      <c r="A42">
        <v>78</v>
      </c>
      <c r="B42" t="s">
        <v>68</v>
      </c>
      <c r="C42" s="2">
        <v>46204.225289351853</v>
      </c>
      <c r="D42">
        <v>113</v>
      </c>
      <c r="E42" t="s">
        <v>13</v>
      </c>
      <c r="F42">
        <v>0</v>
      </c>
      <c r="G42">
        <v>6.0410000000000004</v>
      </c>
      <c r="H42" s="3">
        <v>72719</v>
      </c>
      <c r="I42">
        <v>0.14799999999999999</v>
      </c>
      <c r="J42" t="s">
        <v>14</v>
      </c>
      <c r="K42" t="s">
        <v>14</v>
      </c>
      <c r="L42" t="s">
        <v>14</v>
      </c>
      <c r="M42" t="s">
        <v>14</v>
      </c>
      <c r="O42">
        <v>78</v>
      </c>
      <c r="P42" t="s">
        <v>68</v>
      </c>
      <c r="Q42" s="2">
        <v>46204.225289351853</v>
      </c>
      <c r="R42">
        <v>113</v>
      </c>
      <c r="S42" t="s">
        <v>13</v>
      </c>
      <c r="T42">
        <v>0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C42">
        <v>78</v>
      </c>
      <c r="AD42" t="s">
        <v>68</v>
      </c>
      <c r="AE42" s="2">
        <v>46204.225289351853</v>
      </c>
      <c r="AF42">
        <v>113</v>
      </c>
      <c r="AG42" t="s">
        <v>13</v>
      </c>
      <c r="AH42">
        <v>0</v>
      </c>
      <c r="AI42">
        <v>12.194000000000001</v>
      </c>
      <c r="AJ42" s="3">
        <v>88927</v>
      </c>
      <c r="AK42">
        <v>15.279</v>
      </c>
      <c r="AL42" t="s">
        <v>14</v>
      </c>
      <c r="AM42" t="s">
        <v>14</v>
      </c>
      <c r="AN42" t="s">
        <v>14</v>
      </c>
      <c r="AO42" t="s">
        <v>14</v>
      </c>
      <c r="AQ42">
        <v>1</v>
      </c>
      <c r="AS42" s="8">
        <v>78</v>
      </c>
      <c r="AT42" s="16">
        <f t="shared" si="0"/>
        <v>159.6949968654796</v>
      </c>
      <c r="AU42" s="17">
        <f t="shared" si="1"/>
        <v>16168.724999062972</v>
      </c>
      <c r="AW42" s="9">
        <f t="shared" si="16"/>
        <v>202.52465748050301</v>
      </c>
      <c r="AX42" s="10">
        <f t="shared" si="17"/>
        <v>19926.780236643899</v>
      </c>
      <c r="AZ42" s="11">
        <f t="shared" si="18"/>
        <v>204.96419130486322</v>
      </c>
      <c r="BA42" s="12">
        <f t="shared" si="19"/>
        <v>17604.91058776413</v>
      </c>
      <c r="BC42" s="14">
        <f t="shared" si="20"/>
        <v>196.82060007125699</v>
      </c>
      <c r="BD42" s="15">
        <f t="shared" si="21"/>
        <v>19599.243819686017</v>
      </c>
      <c r="BF42" s="16">
        <f t="shared" si="8"/>
        <v>159.6949968654796</v>
      </c>
      <c r="BG42" s="17">
        <f t="shared" si="9"/>
        <v>16168.724999062972</v>
      </c>
      <c r="BI42">
        <v>78</v>
      </c>
      <c r="BJ42" t="s">
        <v>68</v>
      </c>
      <c r="BK42" s="2">
        <v>46204.225289351853</v>
      </c>
      <c r="BL42">
        <v>113</v>
      </c>
      <c r="BM42" t="s">
        <v>13</v>
      </c>
      <c r="BN42">
        <v>0</v>
      </c>
      <c r="BO42">
        <v>2.87</v>
      </c>
      <c r="BP42" s="3">
        <v>872959</v>
      </c>
      <c r="BQ42">
        <v>0</v>
      </c>
      <c r="BR42" t="s">
        <v>14</v>
      </c>
      <c r="BS42" t="s">
        <v>14</v>
      </c>
      <c r="BT42" t="s">
        <v>14</v>
      </c>
      <c r="BU42" t="s">
        <v>14</v>
      </c>
    </row>
    <row r="43" spans="1:73" x14ac:dyDescent="0.35">
      <c r="A43">
        <v>79</v>
      </c>
      <c r="B43" t="s">
        <v>69</v>
      </c>
      <c r="C43" s="2">
        <v>46204.246550925927</v>
      </c>
      <c r="D43">
        <v>279</v>
      </c>
      <c r="E43" t="s">
        <v>13</v>
      </c>
      <c r="F43">
        <v>0</v>
      </c>
      <c r="G43">
        <v>6.0419999999999998</v>
      </c>
      <c r="H43" s="3">
        <v>72310</v>
      </c>
      <c r="I43">
        <v>0.14699999999999999</v>
      </c>
      <c r="J43" t="s">
        <v>14</v>
      </c>
      <c r="K43" t="s">
        <v>14</v>
      </c>
      <c r="L43" t="s">
        <v>14</v>
      </c>
      <c r="M43" t="s">
        <v>14</v>
      </c>
      <c r="O43">
        <v>79</v>
      </c>
      <c r="P43" t="s">
        <v>69</v>
      </c>
      <c r="Q43" s="2">
        <v>46204.246550925927</v>
      </c>
      <c r="R43">
        <v>279</v>
      </c>
      <c r="S43" t="s">
        <v>13</v>
      </c>
      <c r="T43">
        <v>0</v>
      </c>
      <c r="U43">
        <v>5.9889999999999999</v>
      </c>
      <c r="V43">
        <v>824</v>
      </c>
      <c r="W43">
        <v>0.34300000000000003</v>
      </c>
      <c r="X43" t="s">
        <v>14</v>
      </c>
      <c r="Y43" t="s">
        <v>14</v>
      </c>
      <c r="Z43" t="s">
        <v>14</v>
      </c>
      <c r="AA43" t="s">
        <v>14</v>
      </c>
      <c r="AC43">
        <v>79</v>
      </c>
      <c r="AD43" t="s">
        <v>69</v>
      </c>
      <c r="AE43" s="2">
        <v>46204.246550925927</v>
      </c>
      <c r="AF43">
        <v>279</v>
      </c>
      <c r="AG43" t="s">
        <v>13</v>
      </c>
      <c r="AH43">
        <v>0</v>
      </c>
      <c r="AI43">
        <v>12.3</v>
      </c>
      <c r="AJ43">
        <v>224</v>
      </c>
      <c r="AK43">
        <v>0.13100000000000001</v>
      </c>
      <c r="AL43" t="s">
        <v>14</v>
      </c>
      <c r="AM43" t="s">
        <v>14</v>
      </c>
      <c r="AN43" t="s">
        <v>14</v>
      </c>
      <c r="AO43" t="s">
        <v>14</v>
      </c>
      <c r="AQ43">
        <v>1</v>
      </c>
      <c r="AS43" s="8">
        <v>79</v>
      </c>
      <c r="AT43" s="16">
        <f t="shared" si="0"/>
        <v>158.82570373196</v>
      </c>
      <c r="AU43" s="17">
        <f t="shared" si="1"/>
        <v>86.348595799039998</v>
      </c>
      <c r="AW43" s="9">
        <f t="shared" si="16"/>
        <v>201.37361317030002</v>
      </c>
      <c r="AX43" s="10">
        <f t="shared" si="17"/>
        <v>32.913114726400003</v>
      </c>
      <c r="AZ43" s="11">
        <f t="shared" si="18"/>
        <v>203.79563101432001</v>
      </c>
      <c r="BA43" s="12">
        <f t="shared" si="19"/>
        <v>80.016999475199995</v>
      </c>
      <c r="BC43" s="14">
        <f t="shared" si="20"/>
        <v>195.7392624057</v>
      </c>
      <c r="BD43" s="15">
        <f t="shared" si="21"/>
        <v>-82.997662136320002</v>
      </c>
      <c r="BF43" s="16">
        <f t="shared" si="8"/>
        <v>158.82570373196</v>
      </c>
      <c r="BG43" s="17">
        <f t="shared" si="9"/>
        <v>86.348595799039998</v>
      </c>
      <c r="BI43">
        <v>79</v>
      </c>
      <c r="BJ43" t="s">
        <v>69</v>
      </c>
      <c r="BK43" s="2">
        <v>46204.246550925927</v>
      </c>
      <c r="BL43">
        <v>279</v>
      </c>
      <c r="BM43" t="s">
        <v>13</v>
      </c>
      <c r="BN43">
        <v>0</v>
      </c>
      <c r="BO43">
        <v>2.871</v>
      </c>
      <c r="BP43" s="3">
        <v>907988</v>
      </c>
      <c r="BQ43">
        <v>0</v>
      </c>
      <c r="BR43" t="s">
        <v>14</v>
      </c>
      <c r="BS43" t="s">
        <v>14</v>
      </c>
      <c r="BT43" t="s">
        <v>14</v>
      </c>
      <c r="BU43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2026-07-06T20:52:28Z</dcterms:modified>
</cp:coreProperties>
</file>