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3EC8B655-8308-442F-AA0B-7C60D12DEA5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<sst xmlns="http://schemas.openxmlformats.org/spreadsheetml/2006/main" count="429" uniqueCount="48">
  <si>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</si>
  <si>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</si>
  <si>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</si>
  <si>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</si>
  <si>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</si>
  <si>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</si>
  <si>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</si>
  <si>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</si>
  <si>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</si>
  <si>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</si>
  <si>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</si>
  <si>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</si>
  <si>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</si>
  <si>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</si>
  <si>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</si>
  <si>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</si>
  <si>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</si>
  <si>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</si>
  <si>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</si>
  <si>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</si>
  <si>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</si>
  <si>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</si>
  <si>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</si>
  <si>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</si>
  <si>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</si>
  <si>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</si>
  <si>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</si>
  <si>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</si>
  <si>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</si>
  <si>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</si>
  <si>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</si>
  <si>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</si>
  <si>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</si>
  <si>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</si>
  <si>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</si>
  <si>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MPFMI20260702_001.gcd</t>
  </si>
  <si>
    <t>MPFMI20260702_002.gcd</t>
  </si>
  <si>
    <t>MPFMI20260702_003.gcd</t>
  </si>
  <si>
    <t>MPFMI20260702_004.gcd</t>
  </si>
  <si>
    <t>MPFMI20260702_005.gcd</t>
  </si>
  <si>
    <t>MPFMI20260702_006.gcd</t>
  </si>
  <si>
    <t>MPFMI20260702_007.gcd</t>
  </si>
  <si>
    <t>MPFMI20260702_008.gcd</t>
  </si>
  <si>
    <t>MPFMI20260702_009.gcd</t>
  </si>
  <si>
    <t>MPFMI20260702_010.gcd</t>
  </si>
  <si>
    <t>MPFMI20260702_011.gcd</t>
  </si>
  <si>
    <t>MPFMI20260702_012.gcd</t>
  </si>
  <si>
    <t>MPFMI20260702_013.gcd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</si>
</sst>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" workbookViewId="0">
      <selection activeCell="AG8" sqref="AG8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46205.689976851849</v>
      </c>
      <c r="D9" t="s">
        <v>31</v>
      </c>
      <c r="E9" t="s">
        <v>13</v>
      </c>
      <c r="F9">
        <v>0</v>
      </c>
      <c r="G9">
        <v>6.09</v>
      </c>
      <c r="H9" s="3">
        <v>1833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46205.689976851849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46205.689976851849</v>
      </c>
      <c r="AF9" t="s">
        <v>31</v>
      </c>
      <c r="AG9" t="s">
        <v>13</v>
      </c>
      <c r="AH9">
        <v>0</v>
      </c>
      <c r="AI9">
        <v>12.353999999999999</v>
      </c>
      <c r="AJ9" s="3">
        <v>2266</v>
      </c>
      <c r="AK9">
        <v>0.47899999999999998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6.1514863722540003</v>
      </c>
      <c r="AU9" s="17">
        <f t="shared" ref="AU9:AU21" si="1">IF($AJ9&lt;45000,((0.00000003579*$AJ9^2)+(0.1857*$AJ9)+(44.75)),((0.0000000022829*$AJ9^2)+(0.1634*$AJ9)+(1620)))</f>
        <v>465.72997291723999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5.8000950600000012</v>
      </c>
      <c r="AX9" s="10">
        <f t="shared" ref="AX9:AX14" si="3">IF(AJ9&lt;45000,((-0.0000004561*AJ9^2)+(0.244*AJ9)+(-21.72)),((-0.0000000409*AJ9^2)+(0.2477*AJ9)+(-1777)))</f>
        <v>528.84203778839992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0.87733305745999957</v>
      </c>
      <c r="BA9" s="12">
        <f t="shared" ref="BA9:BA14" si="5">IF(AJ9&lt;45000,((-0.0000000598*AJ9^2)+(0.205*AJ9)+(34.1)),((-0.00000002403*AJ9^2)+(0.2063*AJ9)+(-550.7)))</f>
        <v>498.32294159119999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3.1420415372769996</v>
      </c>
      <c r="BD9" s="15">
        <f t="shared" ref="BD9:BD14" si="7">IF(AJ9&lt;45000,((-0.00000004907*AJ9^2)+(0.2277*AJ9)+(-134)),((-0.00000001062*AJ9^2)+(0.2147*AJ9)+(590.6)))</f>
        <v>381.71623752308005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6.1514863722540003</v>
      </c>
      <c r="BG9" s="17">
        <f t="shared" ref="BG9:BG21" si="9">IF($AJ9&lt;45000,((0.00000003579*$AJ9^2)+(0.1857*$AJ9)+(44.75)),((0.0000000022829*$AJ9^2)+(0.1634*$AJ9)+(1620)))</f>
        <v>465.72997291723999</v>
      </c>
      <c r="BI9">
        <v>45</v>
      </c>
      <c r="BJ9" t="s">
        <v>35</v>
      </c>
      <c r="BK9" s="2">
        <v>46205.689976851849</v>
      </c>
      <c r="BL9" t="s">
        <v>31</v>
      </c>
      <c r="BM9" t="s">
        <v>13</v>
      </c>
      <c r="BN9">
        <v>0</v>
      </c>
      <c r="BO9">
        <v>2.7170000000000001</v>
      </c>
      <c r="BP9" s="3">
        <v>5456151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46205.7112037037</v>
      </c>
      <c r="D10" t="s">
        <v>32</v>
      </c>
      <c r="E10" t="s">
        <v>13</v>
      </c>
      <c r="F10">
        <v>0</v>
      </c>
      <c r="G10">
        <v>6.0449999999999999</v>
      </c>
      <c r="H10" s="3">
        <v>1100528</v>
      </c>
      <c r="I10">
        <v>2.2389999999999999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46205.7112037037</v>
      </c>
      <c r="R10" t="s">
        <v>32</v>
      </c>
      <c r="S10" t="s">
        <v>13</v>
      </c>
      <c r="T10">
        <v>0</v>
      </c>
      <c r="U10">
        <v>5.9960000000000004</v>
      </c>
      <c r="V10" s="3">
        <v>11028</v>
      </c>
      <c r="W10">
        <v>2.66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46205.7112037037</v>
      </c>
      <c r="AF10" t="s">
        <v>32</v>
      </c>
      <c r="AG10" t="s">
        <v>13</v>
      </c>
      <c r="AH10">
        <v>0</v>
      </c>
      <c r="AI10">
        <v>12.335000000000001</v>
      </c>
      <c r="AJ10" s="3">
        <v>8540</v>
      </c>
      <c r="AK10">
        <v>1.552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2138.9433750940184</v>
      </c>
      <c r="AU10" s="17">
        <f t="shared" si="1"/>
        <v>1633.2382219639999</v>
      </c>
      <c r="AW10" s="9">
        <f t="shared" si="2"/>
        <v>2266.5967090546173</v>
      </c>
      <c r="AX10" s="10">
        <f t="shared" si="3"/>
        <v>2028.7758972399999</v>
      </c>
      <c r="AZ10" s="11">
        <f t="shared" si="4"/>
        <v>2507.9223003515394</v>
      </c>
      <c r="BA10" s="12">
        <f t="shared" si="5"/>
        <v>1780.4386903199998</v>
      </c>
      <c r="BC10" s="14">
        <f t="shared" si="6"/>
        <v>2429.1087975800806</v>
      </c>
      <c r="BD10" s="15">
        <f t="shared" si="7"/>
        <v>1806.9792463880003</v>
      </c>
      <c r="BF10" s="16">
        <f t="shared" si="8"/>
        <v>2138.9433750940184</v>
      </c>
      <c r="BG10" s="17">
        <f t="shared" si="9"/>
        <v>1633.2382219639999</v>
      </c>
      <c r="BI10">
        <v>46</v>
      </c>
      <c r="BJ10" t="s">
        <v>36</v>
      </c>
      <c r="BK10" s="2">
        <v>46205.7112037037</v>
      </c>
      <c r="BL10" t="s">
        <v>32</v>
      </c>
      <c r="BM10" t="s">
        <v>13</v>
      </c>
      <c r="BN10">
        <v>0</v>
      </c>
      <c r="BO10">
        <v>2.7170000000000001</v>
      </c>
      <c r="BP10" s="3">
        <v>5495403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46205.732476851852</v>
      </c>
      <c r="D11" t="s">
        <v>26</v>
      </c>
      <c r="E11" t="s">
        <v>13</v>
      </c>
      <c r="F11">
        <v>0</v>
      </c>
      <c r="G11">
        <v>6.077</v>
      </c>
      <c r="H11" s="3">
        <v>2546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46205.732476851852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46205.732476851852</v>
      </c>
      <c r="AF11" t="s">
        <v>26</v>
      </c>
      <c r="AG11" t="s">
        <v>13</v>
      </c>
      <c r="AH11">
        <v>0</v>
      </c>
      <c r="AI11">
        <v>12.333</v>
      </c>
      <c r="AJ11" s="3">
        <v>1664</v>
      </c>
      <c r="AK11">
        <v>0.377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7.9972554211760007</v>
      </c>
      <c r="AU11" s="17">
        <f t="shared" si="1"/>
        <v>353.85389878783997</v>
      </c>
      <c r="AW11" s="9">
        <f t="shared" si="2"/>
        <v>4.0886526399999994</v>
      </c>
      <c r="AX11" s="10">
        <f t="shared" si="3"/>
        <v>383.03310653439996</v>
      </c>
      <c r="AZ11" s="11">
        <f t="shared" si="4"/>
        <v>2.8047261082399997</v>
      </c>
      <c r="BA11" s="12">
        <f t="shared" si="5"/>
        <v>375.05442001920005</v>
      </c>
      <c r="BC11" s="14">
        <f t="shared" si="6"/>
        <v>5.6512246111879989</v>
      </c>
      <c r="BD11" s="15">
        <f t="shared" si="7"/>
        <v>244.75693027328003</v>
      </c>
      <c r="BF11" s="16">
        <f t="shared" si="8"/>
        <v>7.9972554211760007</v>
      </c>
      <c r="BG11" s="17">
        <f t="shared" si="9"/>
        <v>353.85389878783997</v>
      </c>
      <c r="BI11">
        <v>47</v>
      </c>
      <c r="BJ11" t="s">
        <v>37</v>
      </c>
      <c r="BK11" s="2">
        <v>46205.732476851852</v>
      </c>
      <c r="BL11" t="s">
        <v>26</v>
      </c>
      <c r="BM11" t="s">
        <v>13</v>
      </c>
      <c r="BN11">
        <v>0</v>
      </c>
      <c r="BO11">
        <v>2.7250000000000001</v>
      </c>
      <c r="BP11" s="3">
        <v>5420835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46205.753750000003</v>
      </c>
      <c r="D12">
        <v>14</v>
      </c>
      <c r="E12" t="s">
        <v>13</v>
      </c>
      <c r="F12">
        <v>0</v>
      </c>
      <c r="G12">
        <v>6.0579999999999998</v>
      </c>
      <c r="H12" s="3">
        <v>13617</v>
      </c>
      <c r="I12">
        <v>2.8000000000000001E-2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46205.753750000003</v>
      </c>
      <c r="R12">
        <v>14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46205.753750000003</v>
      </c>
      <c r="AF12">
        <v>14</v>
      </c>
      <c r="AG12" t="s">
        <v>13</v>
      </c>
      <c r="AH12">
        <v>0</v>
      </c>
      <c r="AI12">
        <v>12.308999999999999</v>
      </c>
      <c r="AJ12" s="3">
        <v>3718</v>
      </c>
      <c r="AK12">
        <v>0.72799999999999998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32.773266899860403</v>
      </c>
      <c r="AU12" s="17">
        <f t="shared" si="1"/>
        <v>735.67734392395994</v>
      </c>
      <c r="AW12" s="9">
        <f t="shared" si="2"/>
        <v>30.724119419447</v>
      </c>
      <c r="AX12" s="10">
        <f t="shared" si="3"/>
        <v>879.16709070360002</v>
      </c>
      <c r="AZ12" s="11">
        <f t="shared" si="4"/>
        <v>35.101132927416806</v>
      </c>
      <c r="BA12" s="12">
        <f t="shared" si="5"/>
        <v>795.46335326479993</v>
      </c>
      <c r="BC12" s="14">
        <f t="shared" si="6"/>
        <v>39.651027832793005</v>
      </c>
      <c r="BD12" s="15">
        <f t="shared" si="7"/>
        <v>711.91027967732009</v>
      </c>
      <c r="BF12" s="16">
        <f t="shared" si="8"/>
        <v>32.773266899860403</v>
      </c>
      <c r="BG12" s="17">
        <f t="shared" si="9"/>
        <v>735.67734392395994</v>
      </c>
      <c r="BI12">
        <v>48</v>
      </c>
      <c r="BJ12" t="s">
        <v>38</v>
      </c>
      <c r="BK12" s="2">
        <v>46205.753750000003</v>
      </c>
      <c r="BL12">
        <v>14</v>
      </c>
      <c r="BM12" t="s">
        <v>13</v>
      </c>
      <c r="BN12">
        <v>0</v>
      </c>
      <c r="BO12">
        <v>2.8660000000000001</v>
      </c>
      <c r="BP12" s="3">
        <v>1186421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46205.775000000001</v>
      </c>
      <c r="D13">
        <v>249</v>
      </c>
      <c r="E13" t="s">
        <v>13</v>
      </c>
      <c r="F13">
        <v>0</v>
      </c>
      <c r="G13">
        <v>6.0629999999999997</v>
      </c>
      <c r="H13" s="3">
        <v>10348</v>
      </c>
      <c r="I13">
        <v>2.1000000000000001E-2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46205.775000000001</v>
      </c>
      <c r="R13">
        <v>249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46205.775000000001</v>
      </c>
      <c r="AF13">
        <v>249</v>
      </c>
      <c r="AG13" t="s">
        <v>13</v>
      </c>
      <c r="AH13">
        <v>0</v>
      </c>
      <c r="AI13">
        <v>12.304</v>
      </c>
      <c r="AJ13" s="3">
        <v>19875</v>
      </c>
      <c r="AK13">
        <v>3.488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25.676334672454402</v>
      </c>
      <c r="AU13" s="17">
        <f t="shared" si="1"/>
        <v>3749.6751092187501</v>
      </c>
      <c r="AW13" s="9">
        <f t="shared" si="2"/>
        <v>20.900097098992006</v>
      </c>
      <c r="AX13" s="10">
        <f t="shared" si="3"/>
        <v>4647.6133734374998</v>
      </c>
      <c r="AZ13" s="11">
        <f t="shared" si="4"/>
        <v>25.646926977164803</v>
      </c>
      <c r="BA13" s="12">
        <f t="shared" si="5"/>
        <v>4084.8530656249995</v>
      </c>
      <c r="BC13" s="14">
        <f t="shared" si="6"/>
        <v>30.904173669647999</v>
      </c>
      <c r="BD13" s="15">
        <f t="shared" si="7"/>
        <v>4372.1540832812507</v>
      </c>
      <c r="BF13" s="16">
        <f t="shared" si="8"/>
        <v>25.676334672454402</v>
      </c>
      <c r="BG13" s="17">
        <f t="shared" si="9"/>
        <v>3749.6751092187501</v>
      </c>
      <c r="BI13">
        <v>49</v>
      </c>
      <c r="BJ13" t="s">
        <v>39</v>
      </c>
      <c r="BK13" s="2">
        <v>46205.775000000001</v>
      </c>
      <c r="BL13">
        <v>249</v>
      </c>
      <c r="BM13" t="s">
        <v>13</v>
      </c>
      <c r="BN13">
        <v>0</v>
      </c>
      <c r="BO13">
        <v>2.8919999999999999</v>
      </c>
      <c r="BP13" s="3">
        <v>740810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46205.796249999999</v>
      </c>
      <c r="D14">
        <v>254</v>
      </c>
      <c r="E14" t="s">
        <v>13</v>
      </c>
      <c r="F14">
        <v>0</v>
      </c>
      <c r="G14">
        <v>6.0629999999999997</v>
      </c>
      <c r="H14" s="3">
        <v>6363</v>
      </c>
      <c r="I14">
        <v>1.2999999999999999E-2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46205.796249999999</v>
      </c>
      <c r="R14">
        <v>254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46205.796249999999</v>
      </c>
      <c r="AF14">
        <v>254</v>
      </c>
      <c r="AG14" t="s">
        <v>13</v>
      </c>
      <c r="AH14">
        <v>0</v>
      </c>
      <c r="AI14">
        <v>12.260999999999999</v>
      </c>
      <c r="AJ14" s="3">
        <v>52457</v>
      </c>
      <c r="AK14">
        <v>9.0530000000000008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17.814243425933999</v>
      </c>
      <c r="AU14" s="17">
        <f t="shared" si="1"/>
        <v>10197.755740052582</v>
      </c>
      <c r="AW14" s="9">
        <f t="shared" si="2"/>
        <v>4.263700260000002</v>
      </c>
      <c r="AX14" s="10">
        <f t="shared" si="3"/>
        <v>11104.0528628759</v>
      </c>
      <c r="AZ14" s="11">
        <f t="shared" si="4"/>
        <v>14.110910120659998</v>
      </c>
      <c r="BA14" s="12">
        <f t="shared" si="5"/>
        <v>10205.05486351853</v>
      </c>
      <c r="BC14" s="14">
        <f t="shared" si="6"/>
        <v>19.230828622117002</v>
      </c>
      <c r="BD14" s="15">
        <f t="shared" si="7"/>
        <v>11823.894454663621</v>
      </c>
      <c r="BF14" s="16">
        <f t="shared" si="8"/>
        <v>17.814243425933999</v>
      </c>
      <c r="BG14" s="17">
        <f t="shared" si="9"/>
        <v>10197.755740052582</v>
      </c>
      <c r="BI14">
        <v>50</v>
      </c>
      <c r="BJ14" t="s">
        <v>40</v>
      </c>
      <c r="BK14" s="2">
        <v>46205.796249999999</v>
      </c>
      <c r="BL14">
        <v>254</v>
      </c>
      <c r="BM14" t="s">
        <v>13</v>
      </c>
      <c r="BN14">
        <v>0</v>
      </c>
      <c r="BO14">
        <v>2.8820000000000001</v>
      </c>
      <c r="BP14" s="3">
        <v>829604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46205.817511574074</v>
      </c>
      <c r="D15">
        <v>18</v>
      </c>
      <c r="E15" t="s">
        <v>13</v>
      </c>
      <c r="F15">
        <v>0</v>
      </c>
      <c r="G15">
        <v>6.0579999999999998</v>
      </c>
      <c r="H15" s="3">
        <v>7309</v>
      </c>
      <c r="I15">
        <v>1.4999999999999999E-2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46205.817511574074</v>
      </c>
      <c r="R15">
        <v>18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46205.817511574074</v>
      </c>
      <c r="AF15">
        <v>18</v>
      </c>
      <c r="AG15" t="s">
        <v>13</v>
      </c>
      <c r="AH15">
        <v>0</v>
      </c>
      <c r="AI15">
        <v>12.252000000000001</v>
      </c>
      <c r="AJ15" s="3">
        <v>62235</v>
      </c>
      <c r="AK15">
        <v>10.722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20.230537619566</v>
      </c>
      <c r="AU15" s="17">
        <f t="shared" si="1"/>
        <v>11798.041117379151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6.7402147400000008</v>
      </c>
      <c r="AX15" s="10">
        <f t="shared" ref="AX15:AX16" si="11">IF(AJ15&lt;45000,((-0.0000004561*AJ15^2)+(0.244*AJ15)+(-21.72)),((-0.0000000409*AJ15^2)+(0.2477*AJ15)+(-1777)))</f>
        <v>13480.1958152975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17.170480424339999</v>
      </c>
      <c r="BA15" s="12">
        <f t="shared" ref="BA15:BA16" si="13">IF(AJ15&lt;45000,((-0.0000000598*AJ15^2)+(0.205*AJ15)+(34.1)),((-0.00000002403*AJ15^2)+(0.2063*AJ15)+(-550.7)))</f>
        <v>12195.307618743249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22.634646638132999</v>
      </c>
      <c r="BD15" s="15">
        <f t="shared" ref="BD15:BD16" si="15">IF(AJ15&lt;45000,((-0.00000004907*AJ15^2)+(0.2277*AJ15)+(-134)),((-0.00000001062*AJ15^2)+(0.2147*AJ15)+(590.6)))</f>
        <v>13911.321166710501</v>
      </c>
      <c r="BF15" s="16">
        <f t="shared" si="8"/>
        <v>20.230537619566</v>
      </c>
      <c r="BG15" s="17">
        <f t="shared" si="9"/>
        <v>11798.041117379151</v>
      </c>
      <c r="BI15">
        <v>51</v>
      </c>
      <c r="BJ15" t="s">
        <v>41</v>
      </c>
      <c r="BK15" s="2">
        <v>46205.817511574074</v>
      </c>
      <c r="BL15">
        <v>18</v>
      </c>
      <c r="BM15" t="s">
        <v>13</v>
      </c>
      <c r="BN15">
        <v>0</v>
      </c>
      <c r="BO15">
        <v>2.88</v>
      </c>
      <c r="BP15" s="3">
        <v>831749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46205.838773148149</v>
      </c>
      <c r="D16">
        <v>278</v>
      </c>
      <c r="E16" t="s">
        <v>13</v>
      </c>
      <c r="F16">
        <v>0</v>
      </c>
      <c r="G16">
        <v>6.06</v>
      </c>
      <c r="H16" s="3">
        <v>14697</v>
      </c>
      <c r="I16">
        <v>0.03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46205.838773148149</v>
      </c>
      <c r="R16">
        <v>278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46205.838773148149</v>
      </c>
      <c r="AF16">
        <v>278</v>
      </c>
      <c r="AG16" t="s">
        <v>13</v>
      </c>
      <c r="AH16">
        <v>0</v>
      </c>
      <c r="AI16">
        <v>12.301</v>
      </c>
      <c r="AJ16" s="3">
        <v>3189</v>
      </c>
      <c r="AK16">
        <v>0.63700000000000001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35.116156919092397</v>
      </c>
      <c r="AU16" s="17">
        <f t="shared" si="1"/>
        <v>637.31127431459004</v>
      </c>
      <c r="AW16" s="9">
        <f t="shared" si="10"/>
        <v>33.962336147206997</v>
      </c>
      <c r="AX16" s="10">
        <f t="shared" si="11"/>
        <v>751.75759025189996</v>
      </c>
      <c r="AZ16" s="11">
        <f t="shared" si="12"/>
        <v>38.223221677560801</v>
      </c>
      <c r="BA16" s="12">
        <f t="shared" si="13"/>
        <v>687.23685068420002</v>
      </c>
      <c r="BC16" s="14">
        <f t="shared" si="14"/>
        <v>42.539545524232999</v>
      </c>
      <c r="BD16" s="15">
        <f t="shared" si="15"/>
        <v>591.63627179053003</v>
      </c>
      <c r="BF16" s="16">
        <f t="shared" si="8"/>
        <v>35.116156919092397</v>
      </c>
      <c r="BG16" s="17">
        <f t="shared" si="9"/>
        <v>637.31127431459004</v>
      </c>
      <c r="BI16">
        <v>52</v>
      </c>
      <c r="BJ16" t="s">
        <v>42</v>
      </c>
      <c r="BK16" s="2">
        <v>46205.838773148149</v>
      </c>
      <c r="BL16">
        <v>278</v>
      </c>
      <c r="BM16" t="s">
        <v>13</v>
      </c>
      <c r="BN16">
        <v>0</v>
      </c>
      <c r="BO16">
        <v>2.8929999999999998</v>
      </c>
      <c r="BP16" s="3">
        <v>722138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46205.860046296293</v>
      </c>
      <c r="D17">
        <v>68</v>
      </c>
      <c r="E17" t="s">
        <v>13</v>
      </c>
      <c r="F17">
        <v>0</v>
      </c>
      <c r="G17">
        <v>6.0609999999999999</v>
      </c>
      <c r="H17" s="3">
        <v>13525</v>
      </c>
      <c r="I17">
        <v>2.8000000000000001E-2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46205.860046296293</v>
      </c>
      <c r="R17">
        <v>68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46205.860046296293</v>
      </c>
      <c r="AF17">
        <v>68</v>
      </c>
      <c r="AG17" t="s">
        <v>13</v>
      </c>
      <c r="AH17">
        <v>0</v>
      </c>
      <c r="AI17">
        <v>12.337</v>
      </c>
      <c r="AJ17" s="3">
        <v>3205</v>
      </c>
      <c r="AK17">
        <v>0.64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32.573646794749997</v>
      </c>
      <c r="AU17" s="17">
        <f t="shared" si="1"/>
        <v>640.28613577475005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30.448101289375003</v>
      </c>
      <c r="AX17" s="10">
        <f t="shared" ref="AX17:AX21" si="17">IF(AJ17&lt;45000,((-0.0000004561*AJ17^2)+(0.244*AJ17)+(-21.72)),((-0.0000000409*AJ17^2)+(0.2477*AJ17)+(-1777)))</f>
        <v>755.61492939749996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34.835146079500007</v>
      </c>
      <c r="BA17" s="12">
        <f t="shared" ref="BA17:BA21" si="19">IF(AJ17&lt;45000,((-0.0000000598*AJ17^2)+(0.205*AJ17)+(34.1)),((-0.00000002403*AJ17^2)+(0.2063*AJ17)+(-550.7)))</f>
        <v>690.51073290500005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39.404940560625001</v>
      </c>
      <c r="BD17" s="15">
        <f t="shared" ref="BD17:BD21" si="21">IF(AJ17&lt;45000,((-0.00000004907*AJ17^2)+(0.2277*AJ17)+(-134)),((-0.00000001062*AJ17^2)+(0.2147*AJ17)+(590.6)))</f>
        <v>595.27445173324998</v>
      </c>
      <c r="BF17" s="16">
        <f t="shared" si="8"/>
        <v>32.573646794749997</v>
      </c>
      <c r="BG17" s="17">
        <f t="shared" si="9"/>
        <v>640.28613577475005</v>
      </c>
      <c r="BI17">
        <v>53</v>
      </c>
      <c r="BJ17" t="s">
        <v>43</v>
      </c>
      <c r="BK17" s="2">
        <v>46205.860046296293</v>
      </c>
      <c r="BL17">
        <v>68</v>
      </c>
      <c r="BM17" t="s">
        <v>13</v>
      </c>
      <c r="BN17">
        <v>0</v>
      </c>
      <c r="BO17">
        <v>2.8849999999999998</v>
      </c>
      <c r="BP17" s="3">
        <v>881609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46205.881307870368</v>
      </c>
      <c r="D18">
        <v>181</v>
      </c>
      <c r="E18" t="s">
        <v>13</v>
      </c>
      <c r="F18">
        <v>0</v>
      </c>
      <c r="G18">
        <v>6.056</v>
      </c>
      <c r="H18" s="3">
        <v>7346</v>
      </c>
      <c r="I18">
        <v>1.4999999999999999E-2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46205.881307870368</v>
      </c>
      <c r="R18">
        <v>181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46205.881307870368</v>
      </c>
      <c r="AF18">
        <v>181</v>
      </c>
      <c r="AG18" t="s">
        <v>13</v>
      </c>
      <c r="AH18">
        <v>0</v>
      </c>
      <c r="AI18">
        <v>12.246</v>
      </c>
      <c r="AJ18" s="3">
        <v>64318</v>
      </c>
      <c r="AK18">
        <v>11.077999999999999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20.324908758776001</v>
      </c>
      <c r="AU18" s="17">
        <f t="shared" si="1"/>
        <v>12139.005112417579</v>
      </c>
      <c r="AW18" s="9">
        <f t="shared" si="16"/>
        <v>6.8567166400000037</v>
      </c>
      <c r="AX18" s="10">
        <f t="shared" si="17"/>
        <v>13985.373270428401</v>
      </c>
      <c r="AZ18" s="11">
        <f t="shared" si="18"/>
        <v>17.292224732240001</v>
      </c>
      <c r="BA18" s="12">
        <f t="shared" si="19"/>
        <v>12618.69597287028</v>
      </c>
      <c r="BC18" s="14">
        <f t="shared" si="20"/>
        <v>22.768085839987997</v>
      </c>
      <c r="BD18" s="15">
        <f t="shared" si="21"/>
        <v>14355.74172958312</v>
      </c>
      <c r="BF18" s="16">
        <f t="shared" si="8"/>
        <v>20.324908758776001</v>
      </c>
      <c r="BG18" s="17">
        <f t="shared" si="9"/>
        <v>12139.005112417579</v>
      </c>
      <c r="BI18">
        <v>54</v>
      </c>
      <c r="BJ18" t="s">
        <v>44</v>
      </c>
      <c r="BK18" s="2">
        <v>46205.881307870368</v>
      </c>
      <c r="BL18">
        <v>181</v>
      </c>
      <c r="BM18" t="s">
        <v>13</v>
      </c>
      <c r="BN18">
        <v>0</v>
      </c>
      <c r="BO18">
        <v>2.8780000000000001</v>
      </c>
      <c r="BP18" s="3">
        <v>854861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46205.902581018519</v>
      </c>
      <c r="D19">
        <v>273</v>
      </c>
      <c r="E19" t="s">
        <v>13</v>
      </c>
      <c r="F19">
        <v>0</v>
      </c>
      <c r="G19">
        <v>6.0549999999999997</v>
      </c>
      <c r="H19" s="3">
        <v>5669</v>
      </c>
      <c r="I19">
        <v>1.2E-2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46205.902581018519</v>
      </c>
      <c r="R19">
        <v>273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46205.902581018519</v>
      </c>
      <c r="AF19">
        <v>273</v>
      </c>
      <c r="AG19" t="s">
        <v>13</v>
      </c>
      <c r="AH19">
        <v>0</v>
      </c>
      <c r="AI19">
        <v>12.259</v>
      </c>
      <c r="AJ19" s="3">
        <v>53415</v>
      </c>
      <c r="AK19">
        <v>9.2170000000000005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16.037386098446003</v>
      </c>
      <c r="AU19" s="17">
        <f t="shared" si="1"/>
        <v>10354.524484043452</v>
      </c>
      <c r="AW19" s="9">
        <f t="shared" si="16"/>
        <v>3.0614979400000006</v>
      </c>
      <c r="AX19" s="10">
        <f t="shared" si="17"/>
        <v>11337.201164997501</v>
      </c>
      <c r="AZ19" s="11">
        <f t="shared" si="18"/>
        <v>11.931397235539999</v>
      </c>
      <c r="BA19" s="12">
        <f t="shared" si="19"/>
        <v>10400.25301173325</v>
      </c>
      <c r="BC19" s="14">
        <f t="shared" si="20"/>
        <v>16.743402305572999</v>
      </c>
      <c r="BD19" s="15">
        <f t="shared" si="21"/>
        <v>12028.4999171705</v>
      </c>
      <c r="BF19" s="16">
        <f t="shared" si="8"/>
        <v>16.037386098446003</v>
      </c>
      <c r="BG19" s="17">
        <f t="shared" si="9"/>
        <v>10354.524484043452</v>
      </c>
      <c r="BI19">
        <v>55</v>
      </c>
      <c r="BJ19" t="s">
        <v>45</v>
      </c>
      <c r="BK19" s="2">
        <v>46205.902581018519</v>
      </c>
      <c r="BL19">
        <v>273</v>
      </c>
      <c r="BM19" t="s">
        <v>13</v>
      </c>
      <c r="BN19">
        <v>0</v>
      </c>
      <c r="BO19">
        <v>2.875</v>
      </c>
      <c r="BP19" s="3">
        <v>939894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46205.923842592594</v>
      </c>
      <c r="D20">
        <v>46</v>
      </c>
      <c r="E20" t="s">
        <v>13</v>
      </c>
      <c r="F20">
        <v>0</v>
      </c>
      <c r="G20">
        <v>6.0579999999999998</v>
      </c>
      <c r="H20" s="3">
        <v>14258</v>
      </c>
      <c r="I20">
        <v>2.9000000000000001E-2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46205.923842592594</v>
      </c>
      <c r="R20">
        <v>46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46205.923842592594</v>
      </c>
      <c r="AF20">
        <v>46</v>
      </c>
      <c r="AG20" t="s">
        <v>13</v>
      </c>
      <c r="AH20">
        <v>0</v>
      </c>
      <c r="AI20">
        <v>12.308999999999999</v>
      </c>
      <c r="AJ20" s="3">
        <v>16825</v>
      </c>
      <c r="AK20">
        <v>2.9670000000000001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34.163921431710399</v>
      </c>
      <c r="AU20" s="17">
        <f t="shared" si="1"/>
        <v>3179.2839555687501</v>
      </c>
      <c r="AW20" s="9">
        <f t="shared" si="16"/>
        <v>32.646504780572002</v>
      </c>
      <c r="AX20" s="10">
        <f t="shared" si="17"/>
        <v>3954.4669269375004</v>
      </c>
      <c r="AZ20" s="11">
        <f t="shared" si="18"/>
        <v>36.954231685116802</v>
      </c>
      <c r="BA20" s="12">
        <f t="shared" si="19"/>
        <v>3466.2967786250001</v>
      </c>
      <c r="BC20" s="14">
        <f t="shared" si="20"/>
        <v>41.365490581667999</v>
      </c>
      <c r="BD20" s="15">
        <f t="shared" si="21"/>
        <v>3683.16173373125</v>
      </c>
      <c r="BF20" s="16">
        <f t="shared" si="8"/>
        <v>34.163921431710399</v>
      </c>
      <c r="BG20" s="17">
        <f t="shared" si="9"/>
        <v>3179.2839555687501</v>
      </c>
      <c r="BI20">
        <v>56</v>
      </c>
      <c r="BJ20" t="s">
        <v>46</v>
      </c>
      <c r="BK20" s="2">
        <v>46205.923842592594</v>
      </c>
      <c r="BL20">
        <v>46</v>
      </c>
      <c r="BM20" t="s">
        <v>13</v>
      </c>
      <c r="BN20">
        <v>0</v>
      </c>
      <c r="BO20">
        <v>2.883</v>
      </c>
      <c r="BP20" s="3">
        <v>879703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46205.945104166669</v>
      </c>
      <c r="D21">
        <v>211</v>
      </c>
      <c r="E21" t="s">
        <v>13</v>
      </c>
      <c r="F21">
        <v>0</v>
      </c>
      <c r="G21">
        <v>6.0519999999999996</v>
      </c>
      <c r="H21" s="3">
        <v>15876</v>
      </c>
      <c r="I21">
        <v>3.2000000000000001E-2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46205.945104166669</v>
      </c>
      <c r="R21">
        <v>211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46205.945104166669</v>
      </c>
      <c r="AF21">
        <v>211</v>
      </c>
      <c r="AG21" t="s">
        <v>13</v>
      </c>
      <c r="AH21">
        <v>0</v>
      </c>
      <c r="AI21">
        <v>12.315</v>
      </c>
      <c r="AJ21" s="3">
        <v>3067</v>
      </c>
      <c r="AK21">
        <v>0.61599999999999999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37.672809367673608</v>
      </c>
      <c r="AU21" s="17">
        <f t="shared" si="1"/>
        <v>614.62855824131009</v>
      </c>
      <c r="AW21" s="9">
        <f t="shared" si="16"/>
        <v>37.493189288048001</v>
      </c>
      <c r="AX21" s="10">
        <f t="shared" si="17"/>
        <v>722.33770036709996</v>
      </c>
      <c r="AZ21" s="11">
        <f t="shared" si="18"/>
        <v>41.630732717811199</v>
      </c>
      <c r="BA21" s="12">
        <f t="shared" si="19"/>
        <v>662.27249195780007</v>
      </c>
      <c r="BC21" s="14">
        <f t="shared" si="20"/>
        <v>45.692143540111999</v>
      </c>
      <c r="BD21" s="15">
        <f t="shared" si="21"/>
        <v>563.89432358477006</v>
      </c>
      <c r="BF21" s="16">
        <f t="shared" si="8"/>
        <v>37.672809367673608</v>
      </c>
      <c r="BG21" s="17">
        <f t="shared" si="9"/>
        <v>614.62855824131009</v>
      </c>
      <c r="BI21">
        <v>57</v>
      </c>
      <c r="BJ21" t="s">
        <v>47</v>
      </c>
      <c r="BK21" s="2">
        <v>46205.945104166669</v>
      </c>
      <c r="BL21">
        <v>211</v>
      </c>
      <c r="BM21" t="s">
        <v>13</v>
      </c>
      <c r="BN21">
        <v>0</v>
      </c>
      <c r="BO21">
        <v>2.8740000000000001</v>
      </c>
      <c r="BP21" s="3">
        <v>930216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3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3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3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3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3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3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3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3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3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3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3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2026-07-06T20:59:19Z</dcterms:modified>
</cp:coreProperties>
</file>