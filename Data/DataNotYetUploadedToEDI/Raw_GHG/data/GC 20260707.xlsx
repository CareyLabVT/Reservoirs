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13_ncr:1_{0FE3BDB3-1061-49B3-BB4B-88E8265558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<sst xmlns="http://schemas.openxmlformats.org/spreadsheetml/2006/main" count="945" uniqueCount="73">
  <si>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</si>
  <si>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</si>
  <si>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</si>
  <si>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</si>
  <si>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</si>
  <si>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</si>
  <si>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</si>
  <si>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</si>
  <si>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</si>
  <si>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</si>
  <si>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</si>
  <si>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</si>
  <si>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</si>
  <si>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</si>
  <si>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</si>
  <si>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</si>
  <si>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</si>
  <si>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</si>
  <si>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</si>
  <si>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</si>
  <si>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</si>
  <si>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</si>
  <si>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</si>
  <si>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</si>
  <si>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</si>
  <si>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</si>
  <si>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</si>
  <si>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</si>
  <si>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</si>
  <si>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</si>
  <si>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</si>
  <si>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</si>
  <si>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</si>
  <si>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</si>
  <si>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</si>
  <si>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</si>
  <si>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FMI20260707_001.gcd</t>
  </si>
  <si>
    <t>FMI20260707_002.gcd</t>
  </si>
  <si>
    <t>FMI20260707_003.gcd</t>
  </si>
  <si>
    <t>FMI20260707_004.gcd</t>
  </si>
  <si>
    <t>FMI20260707_005.gcd</t>
  </si>
  <si>
    <t>FMI20260707_006.gcd</t>
  </si>
  <si>
    <t>FMI20260707_007.gcd</t>
  </si>
  <si>
    <t>FMI20260707_008.gcd</t>
  </si>
  <si>
    <t>FMI20260707_009.gcd</t>
  </si>
  <si>
    <t>FMI20260707_010.gcd</t>
  </si>
  <si>
    <t>FMI20260707_011.gcd</t>
  </si>
  <si>
    <t>FMI20260707_012.gcd</t>
  </si>
  <si>
    <t>FMI20260707_013.gcd</t>
  </si>
  <si>
    <t>FMI20260707_014.gcd</t>
  </si>
  <si>
    <t>FMI20260707_015.gcd</t>
  </si>
  <si>
    <t>FMI20260707_016.gcd</t>
  </si>
  <si>
    <t>FMI20260707_017.gcd</t>
  </si>
  <si>
    <t>FMI20260707_018.gcd</t>
  </si>
  <si>
    <t>FMI20260707_019.gcd</t>
  </si>
  <si>
    <t>FMI20260707_020.gcd</t>
  </si>
  <si>
    <t>FMI20260707_021.gcd</t>
  </si>
  <si>
    <t>FMI20260707_022.gcd</t>
  </si>
  <si>
    <t>FMI20260707_023.gcd</t>
  </si>
  <si>
    <t>FMI20260707_024.gcd</t>
  </si>
  <si>
    <t>FMI20260707_025.gcd</t>
  </si>
  <si>
    <t>FMI20260707_026.gcd</t>
  </si>
  <si>
    <t>FMI20260707_027.gcd</t>
  </si>
  <si>
    <t>FMI20260707_028.gcd</t>
  </si>
  <si>
    <t>FMI20260707_029.gcd</t>
  </si>
  <si>
    <t>box 1 60ml</t>
  </si>
  <si>
    <t>FMI20260707_030.gcd</t>
  </si>
  <si>
    <t>box 1 140ml</t>
  </si>
  <si>
    <t>FMI20260707_031.gcd</t>
  </si>
  <si>
    <t>box 2 140ml</t>
  </si>
  <si>
    <t>FMI20260707_032.gcd</t>
  </si>
  <si>
    <t>box 2 60ml</t>
  </si>
  <si>
    <t>VERY large bubble- only added 0.4mL He to get approximate 2mL headspace. Most of headspace is ambient air.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</si>
</sst>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A19" workbookViewId="0">
      <selection activeCell="AR36" sqref="AR36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28</v>
      </c>
      <c r="AR8" s="4" t="s">
        <v>18</v>
      </c>
      <c r="AS8" t="s">
        <v>19</v>
      </c>
      <c r="AT8" s="5" t="s">
        <v>25</v>
      </c>
      <c r="AU8" s="5" t="s">
        <v>20</v>
      </c>
      <c r="AV8" s="5"/>
      <c r="AW8" s="5" t="s">
        <v>23</v>
      </c>
      <c r="AX8" s="5" t="s">
        <v>24</v>
      </c>
      <c r="AZ8" s="5" t="s">
        <v>26</v>
      </c>
      <c r="BA8" s="5" t="s">
        <v>31</v>
      </c>
      <c r="BB8" s="6"/>
      <c r="BC8" s="5" t="s">
        <v>29</v>
      </c>
      <c r="BD8" s="5" t="s">
        <v>30</v>
      </c>
      <c r="BE8" s="5"/>
      <c r="BF8" s="5" t="s">
        <v>34</v>
      </c>
      <c r="BG8" s="5" t="s">
        <v>35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36</v>
      </c>
      <c r="C9" s="2">
        <v>46210.536435185182</v>
      </c>
      <c r="D9" t="s">
        <v>32</v>
      </c>
      <c r="E9" t="s">
        <v>13</v>
      </c>
      <c r="F9">
        <v>0</v>
      </c>
      <c r="G9">
        <v>6.1050000000000004</v>
      </c>
      <c r="H9" s="3">
        <v>1474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36</v>
      </c>
      <c r="Q9" s="2">
        <v>46210.536435185182</v>
      </c>
      <c r="R9" t="s">
        <v>32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36</v>
      </c>
      <c r="AE9" s="2">
        <v>46210.536435185182</v>
      </c>
      <c r="AF9" t="s">
        <v>32</v>
      </c>
      <c r="AG9" t="s">
        <v>13</v>
      </c>
      <c r="AH9">
        <v>0</v>
      </c>
      <c r="AI9">
        <v>12.349</v>
      </c>
      <c r="AJ9" s="3">
        <v>1961</v>
      </c>
      <c r="AK9">
        <v>0.42699999999999999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40" si="0">IF($H9&lt;10000,(($H9^2*-0.000000003714)+($H9*0.002605)+(1.389)),(IF($H9&lt;200000,(($H9^2*-0.0000000003764)+($H9*0.00218)+(3.158)),(IF($H9&lt;8000000,(($H9^2*-0.000000000004719)+($H9*0.001816)+(146.1)),(($V9^2*0.000000002578)+($V9*0.2173)+(2294)))))))</f>
        <v>5.220700681336</v>
      </c>
      <c r="AU9" s="17">
        <f t="shared" ref="AU9:AU40" si="1">IF($AJ9&lt;45000,((0.00000003579*$AJ9^2)+(0.1857*$AJ9)+(44.75)),((0.0000000022829*$AJ9^2)+(0.1634*$AJ9)+(1620)))</f>
        <v>409.04533119659004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6.8696350400000004</v>
      </c>
      <c r="AX9" s="10">
        <f t="shared" ref="AX9:AX14" si="3">IF(AJ9&lt;45000,((-0.0000004561*AJ9^2)+(0.244*AJ9)+(-21.72)),((-0.0000000409*AJ9^2)+(0.2477*AJ9)+(-1777)))</f>
        <v>455.01005787190002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-7.1131293360000125E-2</v>
      </c>
      <c r="BA9" s="12">
        <f t="shared" ref="BA9:BA14" si="5">IF(AJ9&lt;45000,((-0.0000000598*AJ9^2)+(0.205*AJ9)+(34.1)),((-0.00000002403*AJ9^2)+(0.2063*AJ9)+(-550.7)))</f>
        <v>435.87503784419999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1.881920537267999</v>
      </c>
      <c r="BD9" s="15">
        <f t="shared" ref="BD9:BD14" si="7">IF(AJ9&lt;45000,((-0.00000004907*AJ9^2)+(0.2277*AJ9)+(-134)),((-0.00000001062*AJ9^2)+(0.2147*AJ9)+(590.6)))</f>
        <v>312.33100028452998</v>
      </c>
      <c r="BF9" s="16">
        <f t="shared" ref="BF9:BF40" si="8">IF($H9&lt;10000,(($H9^2*-0.000000003714)+($H9*0.002605)+(1.389)),(IF($H9&lt;200000,(($H9^2*-0.0000000003764)+($H9*0.00218)+(3.158)),(IF($H9&lt;8000000,(($H9^2*-0.000000000004719)+($H9*0.001816)+(146.1)),(($V9^2*0.000000002578)+($V9*0.2173)+(2294)))))))</f>
        <v>5.220700681336</v>
      </c>
      <c r="BG9" s="17">
        <f t="shared" ref="BG9:BG40" si="9">IF($AJ9&lt;45000,((0.00000003579*$AJ9^2)+(0.1857*$AJ9)+(44.75)),((0.0000000022829*$AJ9^2)+(0.1634*$AJ9)+(1620)))</f>
        <v>409.04533119659004</v>
      </c>
      <c r="BI9">
        <v>45</v>
      </c>
      <c r="BJ9" t="s">
        <v>36</v>
      </c>
      <c r="BK9" s="2">
        <v>46210.536435185182</v>
      </c>
      <c r="BL9" t="s">
        <v>32</v>
      </c>
      <c r="BM9" t="s">
        <v>13</v>
      </c>
      <c r="BN9">
        <v>0</v>
      </c>
      <c r="BO9">
        <v>2.7320000000000002</v>
      </c>
      <c r="BP9" s="3">
        <v>5020681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37</v>
      </c>
      <c r="C10" s="2">
        <v>46210.557685185187</v>
      </c>
      <c r="D10" t="s">
        <v>33</v>
      </c>
      <c r="E10" t="s">
        <v>13</v>
      </c>
      <c r="F10">
        <v>0</v>
      </c>
      <c r="G10">
        <v>6.0460000000000003</v>
      </c>
      <c r="H10" s="3">
        <v>979884</v>
      </c>
      <c r="I10">
        <v>1.9930000000000001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37</v>
      </c>
      <c r="Q10" s="2">
        <v>46210.557685185187</v>
      </c>
      <c r="R10" t="s">
        <v>33</v>
      </c>
      <c r="S10" t="s">
        <v>13</v>
      </c>
      <c r="T10">
        <v>0</v>
      </c>
      <c r="U10">
        <v>6</v>
      </c>
      <c r="V10" s="3">
        <v>9220</v>
      </c>
      <c r="W10">
        <v>2.25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37</v>
      </c>
      <c r="AE10" s="2">
        <v>46210.557685185187</v>
      </c>
      <c r="AF10" t="s">
        <v>33</v>
      </c>
      <c r="AG10" t="s">
        <v>13</v>
      </c>
      <c r="AH10">
        <v>0</v>
      </c>
      <c r="AI10">
        <v>12.327999999999999</v>
      </c>
      <c r="AJ10" s="3">
        <v>10361</v>
      </c>
      <c r="AK10">
        <v>1.863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1921.038289248341</v>
      </c>
      <c r="AU10" s="17">
        <f t="shared" si="1"/>
        <v>1972.6297679885902</v>
      </c>
      <c r="AW10" s="9">
        <f t="shared" si="2"/>
        <v>2037.2157486457183</v>
      </c>
      <c r="AX10" s="10">
        <f t="shared" si="3"/>
        <v>2457.4015185919002</v>
      </c>
      <c r="AZ10" s="11">
        <f t="shared" si="4"/>
        <v>2250.9383415485727</v>
      </c>
      <c r="BA10" s="12">
        <f t="shared" si="5"/>
        <v>2151.6854508041997</v>
      </c>
      <c r="BC10" s="14">
        <f t="shared" si="6"/>
        <v>2182.5858156400277</v>
      </c>
      <c r="BD10" s="15">
        <f t="shared" si="7"/>
        <v>2219.9320197485299</v>
      </c>
      <c r="BF10" s="16">
        <f t="shared" si="8"/>
        <v>1921.038289248341</v>
      </c>
      <c r="BG10" s="17">
        <f t="shared" si="9"/>
        <v>1972.6297679885902</v>
      </c>
      <c r="BI10">
        <v>46</v>
      </c>
      <c r="BJ10" t="s">
        <v>37</v>
      </c>
      <c r="BK10" s="2">
        <v>46210.557685185187</v>
      </c>
      <c r="BL10" t="s">
        <v>33</v>
      </c>
      <c r="BM10" t="s">
        <v>13</v>
      </c>
      <c r="BN10">
        <v>0</v>
      </c>
      <c r="BO10">
        <v>2.726</v>
      </c>
      <c r="BP10" s="3">
        <v>5111368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38</v>
      </c>
      <c r="C11" s="2">
        <v>46210.578935185185</v>
      </c>
      <c r="D11" t="s">
        <v>27</v>
      </c>
      <c r="E11" t="s">
        <v>13</v>
      </c>
      <c r="F11">
        <v>0</v>
      </c>
      <c r="G11">
        <v>6.0679999999999996</v>
      </c>
      <c r="H11" s="3">
        <v>2766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38</v>
      </c>
      <c r="Q11" s="2">
        <v>46210.578935185185</v>
      </c>
      <c r="R11" t="s">
        <v>27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38</v>
      </c>
      <c r="AE11" s="2">
        <v>46210.578935185185</v>
      </c>
      <c r="AF11" t="s">
        <v>27</v>
      </c>
      <c r="AG11" t="s">
        <v>13</v>
      </c>
      <c r="AH11">
        <v>0</v>
      </c>
      <c r="AI11">
        <v>12.337</v>
      </c>
      <c r="AJ11" s="3">
        <v>1813</v>
      </c>
      <c r="AK11">
        <v>0.40200000000000002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8.5660150922160003</v>
      </c>
      <c r="AU11" s="17">
        <f t="shared" si="1"/>
        <v>381.54174062050998</v>
      </c>
      <c r="AW11" s="9">
        <f t="shared" si="2"/>
        <v>3.6714182399999995</v>
      </c>
      <c r="AX11" s="10">
        <f t="shared" si="3"/>
        <v>419.15281343909999</v>
      </c>
      <c r="AZ11" s="11">
        <f t="shared" si="4"/>
        <v>3.4111621978399995</v>
      </c>
      <c r="BA11" s="12">
        <f t="shared" si="5"/>
        <v>405.56843925379997</v>
      </c>
      <c r="BC11" s="14">
        <f t="shared" si="6"/>
        <v>6.4271898707080002</v>
      </c>
      <c r="BD11" s="15">
        <f t="shared" si="7"/>
        <v>278.65880843117003</v>
      </c>
      <c r="BF11" s="16">
        <f t="shared" si="8"/>
        <v>8.5660150922160003</v>
      </c>
      <c r="BG11" s="17">
        <f t="shared" si="9"/>
        <v>381.54174062050998</v>
      </c>
      <c r="BI11">
        <v>47</v>
      </c>
      <c r="BJ11" t="s">
        <v>38</v>
      </c>
      <c r="BK11" s="2">
        <v>46210.578935185185</v>
      </c>
      <c r="BL11" t="s">
        <v>27</v>
      </c>
      <c r="BM11" t="s">
        <v>13</v>
      </c>
      <c r="BN11">
        <v>0</v>
      </c>
      <c r="BO11">
        <v>2.7149999999999999</v>
      </c>
      <c r="BP11" s="3">
        <v>5312710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39</v>
      </c>
      <c r="C12" s="2">
        <v>46210.600162037037</v>
      </c>
      <c r="D12">
        <v>224</v>
      </c>
      <c r="E12" t="s">
        <v>13</v>
      </c>
      <c r="F12">
        <v>0</v>
      </c>
      <c r="G12">
        <v>5.9870000000000001</v>
      </c>
      <c r="H12" s="3">
        <v>18653631</v>
      </c>
      <c r="I12">
        <v>39.706000000000003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39</v>
      </c>
      <c r="Q12" s="2">
        <v>46210.600162037037</v>
      </c>
      <c r="R12">
        <v>224</v>
      </c>
      <c r="S12" t="s">
        <v>13</v>
      </c>
      <c r="T12">
        <v>0</v>
      </c>
      <c r="U12">
        <v>5.944</v>
      </c>
      <c r="V12" s="3">
        <v>155359</v>
      </c>
      <c r="W12">
        <v>35.389000000000003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39</v>
      </c>
      <c r="AE12" s="2">
        <v>46210.600162037037</v>
      </c>
      <c r="AF12">
        <v>224</v>
      </c>
      <c r="AG12" t="s">
        <v>13</v>
      </c>
      <c r="AH12">
        <v>0</v>
      </c>
      <c r="AI12">
        <v>12.249000000000001</v>
      </c>
      <c r="AJ12" s="3">
        <v>45453</v>
      </c>
      <c r="AK12">
        <v>7.8570000000000002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36115.734387875214</v>
      </c>
      <c r="AU12" s="17">
        <f t="shared" si="1"/>
        <v>9051.7366148046258</v>
      </c>
      <c r="AW12" s="9">
        <f t="shared" si="2"/>
        <v>38334.855122380002</v>
      </c>
      <c r="AX12" s="10">
        <f t="shared" si="3"/>
        <v>9397.2097139518992</v>
      </c>
      <c r="AZ12" s="11">
        <f t="shared" si="4"/>
        <v>41592.249914689004</v>
      </c>
      <c r="BA12" s="12">
        <f t="shared" si="5"/>
        <v>8776.6085157277303</v>
      </c>
      <c r="BC12" s="14">
        <f t="shared" si="6"/>
        <v>38397.455212546658</v>
      </c>
      <c r="BD12" s="15">
        <f t="shared" si="7"/>
        <v>10327.41844328042</v>
      </c>
      <c r="BF12" s="16">
        <f t="shared" si="8"/>
        <v>36115.734387875214</v>
      </c>
      <c r="BG12" s="17">
        <f t="shared" si="9"/>
        <v>9051.7366148046258</v>
      </c>
      <c r="BI12">
        <v>48</v>
      </c>
      <c r="BJ12" t="s">
        <v>39</v>
      </c>
      <c r="BK12" s="2">
        <v>46210.600162037037</v>
      </c>
      <c r="BL12">
        <v>224</v>
      </c>
      <c r="BM12" t="s">
        <v>13</v>
      </c>
      <c r="BN12">
        <v>0</v>
      </c>
      <c r="BO12">
        <v>2.899</v>
      </c>
      <c r="BP12" s="3">
        <v>430036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40</v>
      </c>
      <c r="C13" s="2">
        <v>46210.621388888889</v>
      </c>
      <c r="D13">
        <v>167</v>
      </c>
      <c r="E13" t="s">
        <v>13</v>
      </c>
      <c r="F13">
        <v>0</v>
      </c>
      <c r="G13">
        <v>6.077</v>
      </c>
      <c r="H13" s="3">
        <v>1939</v>
      </c>
      <c r="I13">
        <v>4.0000000000000001E-3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40</v>
      </c>
      <c r="Q13" s="2">
        <v>46210.621388888889</v>
      </c>
      <c r="R13">
        <v>167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40</v>
      </c>
      <c r="AE13" s="2">
        <v>46210.621388888889</v>
      </c>
      <c r="AF13">
        <v>167</v>
      </c>
      <c r="AG13" t="s">
        <v>13</v>
      </c>
      <c r="AH13">
        <v>0</v>
      </c>
      <c r="AI13">
        <v>12.172000000000001</v>
      </c>
      <c r="AJ13" s="3">
        <v>121986</v>
      </c>
      <c r="AK13">
        <v>20.920999999999999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6.4261313962060003</v>
      </c>
      <c r="AU13" s="17">
        <f t="shared" si="1"/>
        <v>21586.483285661048</v>
      </c>
      <c r="AW13" s="9">
        <f t="shared" si="2"/>
        <v>5.5109143400000002</v>
      </c>
      <c r="AX13" s="10">
        <f t="shared" si="3"/>
        <v>27830.3163063836</v>
      </c>
      <c r="AZ13" s="11">
        <f t="shared" si="4"/>
        <v>1.1601974579399998</v>
      </c>
      <c r="BA13" s="12">
        <f t="shared" si="5"/>
        <v>24257.431361770119</v>
      </c>
      <c r="BC13" s="14">
        <f t="shared" si="6"/>
        <v>3.5145293104529998</v>
      </c>
      <c r="BD13" s="15">
        <f t="shared" si="7"/>
        <v>26622.962395838476</v>
      </c>
      <c r="BF13" s="16">
        <f t="shared" si="8"/>
        <v>6.4261313962060003</v>
      </c>
      <c r="BG13" s="17">
        <f t="shared" si="9"/>
        <v>21586.483285661048</v>
      </c>
      <c r="BI13">
        <v>49</v>
      </c>
      <c r="BJ13" t="s">
        <v>40</v>
      </c>
      <c r="BK13" s="2">
        <v>46210.621388888889</v>
      </c>
      <c r="BL13">
        <v>167</v>
      </c>
      <c r="BM13" t="s">
        <v>13</v>
      </c>
      <c r="BN13">
        <v>0</v>
      </c>
      <c r="BO13">
        <v>2.88</v>
      </c>
      <c r="BP13" s="3">
        <v>786447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41</v>
      </c>
      <c r="C14" s="2">
        <v>46210.642627314817</v>
      </c>
      <c r="D14">
        <v>39</v>
      </c>
      <c r="E14" t="s">
        <v>13</v>
      </c>
      <c r="F14">
        <v>0</v>
      </c>
      <c r="G14">
        <v>6.06</v>
      </c>
      <c r="H14" s="3">
        <v>2443</v>
      </c>
      <c r="I14">
        <v>5.0000000000000001E-3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41</v>
      </c>
      <c r="Q14" s="2">
        <v>46210.642627314817</v>
      </c>
      <c r="R14">
        <v>39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41</v>
      </c>
      <c r="AE14" s="2">
        <v>46210.642627314817</v>
      </c>
      <c r="AF14">
        <v>39</v>
      </c>
      <c r="AG14" t="s">
        <v>13</v>
      </c>
      <c r="AH14">
        <v>0</v>
      </c>
      <c r="AI14">
        <v>12.161</v>
      </c>
      <c r="AJ14" s="3">
        <v>120079</v>
      </c>
      <c r="AK14">
        <v>20.596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7.7308489232140003</v>
      </c>
      <c r="AU14" s="17">
        <f t="shared" si="1"/>
        <v>21273.825658031579</v>
      </c>
      <c r="AW14" s="9">
        <f t="shared" si="2"/>
        <v>4.3019594600000008</v>
      </c>
      <c r="AX14" s="10">
        <f t="shared" si="3"/>
        <v>27376.832580743099</v>
      </c>
      <c r="AZ14" s="11">
        <f t="shared" si="4"/>
        <v>2.5227047478599998</v>
      </c>
      <c r="BA14" s="12">
        <f t="shared" si="5"/>
        <v>23875.109941228773</v>
      </c>
      <c r="BC14" s="14">
        <f t="shared" si="6"/>
        <v>5.2882143387569993</v>
      </c>
      <c r="BD14" s="15">
        <f t="shared" si="7"/>
        <v>26218.431878520576</v>
      </c>
      <c r="BF14" s="16">
        <f t="shared" si="8"/>
        <v>7.7308489232140003</v>
      </c>
      <c r="BG14" s="17">
        <f t="shared" si="9"/>
        <v>21273.825658031579</v>
      </c>
      <c r="BI14">
        <v>50</v>
      </c>
      <c r="BJ14" t="s">
        <v>41</v>
      </c>
      <c r="BK14" s="2">
        <v>46210.642627314817</v>
      </c>
      <c r="BL14">
        <v>39</v>
      </c>
      <c r="BM14" t="s">
        <v>13</v>
      </c>
      <c r="BN14">
        <v>0</v>
      </c>
      <c r="BO14">
        <v>2.879</v>
      </c>
      <c r="BP14" s="3">
        <v>809147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42</v>
      </c>
      <c r="C15" s="2">
        <v>46210.663888888892</v>
      </c>
      <c r="D15">
        <v>82</v>
      </c>
      <c r="E15" t="s">
        <v>13</v>
      </c>
      <c r="F15">
        <v>0</v>
      </c>
      <c r="G15">
        <v>6.0490000000000004</v>
      </c>
      <c r="H15" s="3">
        <v>15873</v>
      </c>
      <c r="I15">
        <v>3.2000000000000001E-2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42</v>
      </c>
      <c r="Q15" s="2">
        <v>46210.663888888892</v>
      </c>
      <c r="R15">
        <v>82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42</v>
      </c>
      <c r="AE15" s="2">
        <v>46210.663888888892</v>
      </c>
      <c r="AF15">
        <v>82</v>
      </c>
      <c r="AG15" t="s">
        <v>13</v>
      </c>
      <c r="AH15">
        <v>0</v>
      </c>
      <c r="AI15">
        <v>12.194000000000001</v>
      </c>
      <c r="AJ15" s="3">
        <v>84826</v>
      </c>
      <c r="AK15">
        <v>14.579000000000001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37.666305218644403</v>
      </c>
      <c r="AU15" s="17">
        <f t="shared" si="1"/>
        <v>15496.99489343508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37.484210492567001</v>
      </c>
      <c r="AX15" s="10">
        <f t="shared" ref="AX15:AX16" si="11">IF(AJ15&lt;45000,((-0.0000004561*AJ15^2)+(0.244*AJ15)+(-21.72)),((-0.0000000409*AJ15^2)+(0.2477*AJ15)+(-1777)))</f>
        <v>18940.106283711601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41.622063225144807</v>
      </c>
      <c r="BA15" s="12">
        <f t="shared" ref="BA15:BA16" si="13">IF(AJ15&lt;45000,((-0.0000000598*AJ15^2)+(0.205*AJ15)+(34.1)),((-0.00000002403*AJ15^2)+(0.2063*AJ15)+(-550.7)))</f>
        <v>16775.997129867719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45.684122590073002</v>
      </c>
      <c r="BD15" s="15">
        <f t="shared" ref="BD15:BD16" si="15">IF(AJ15&lt;45000,((-0.00000004907*AJ15^2)+(0.2277*AJ15)+(-134)),((-0.00000001062*AJ15^2)+(0.2147*AJ15)+(590.6)))</f>
        <v>18726.326518068876</v>
      </c>
      <c r="BF15" s="16">
        <f t="shared" si="8"/>
        <v>37.666305218644403</v>
      </c>
      <c r="BG15" s="17">
        <f t="shared" si="9"/>
        <v>15496.99489343508</v>
      </c>
      <c r="BI15">
        <v>51</v>
      </c>
      <c r="BJ15" t="s">
        <v>42</v>
      </c>
      <c r="BK15" s="2">
        <v>46210.663888888892</v>
      </c>
      <c r="BL15">
        <v>82</v>
      </c>
      <c r="BM15" t="s">
        <v>13</v>
      </c>
      <c r="BN15">
        <v>0</v>
      </c>
      <c r="BO15">
        <v>2.887</v>
      </c>
      <c r="BP15" s="3">
        <v>643558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43</v>
      </c>
      <c r="C16" s="2">
        <v>46210.68513888889</v>
      </c>
      <c r="D16">
        <v>259</v>
      </c>
      <c r="E16" t="s">
        <v>13</v>
      </c>
      <c r="F16">
        <v>0</v>
      </c>
      <c r="G16">
        <v>6.0730000000000004</v>
      </c>
      <c r="H16" s="3">
        <v>2461</v>
      </c>
      <c r="I16">
        <v>5.0000000000000001E-3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43</v>
      </c>
      <c r="Q16" s="2">
        <v>46210.68513888889</v>
      </c>
      <c r="R16">
        <v>259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43</v>
      </c>
      <c r="AE16" s="2">
        <v>46210.68513888889</v>
      </c>
      <c r="AF16">
        <v>259</v>
      </c>
      <c r="AG16" t="s">
        <v>13</v>
      </c>
      <c r="AH16">
        <v>0</v>
      </c>
      <c r="AI16">
        <v>12.198</v>
      </c>
      <c r="AJ16" s="3">
        <v>108415</v>
      </c>
      <c r="AK16">
        <v>18.605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7.7774110810060009</v>
      </c>
      <c r="AU16" s="17">
        <f t="shared" si="1"/>
        <v>19361.84377792845</v>
      </c>
      <c r="AW16" s="9">
        <f t="shared" si="10"/>
        <v>4.2638563400000002</v>
      </c>
      <c r="AX16" s="10">
        <f t="shared" si="11"/>
        <v>24596.664579997498</v>
      </c>
      <c r="AZ16" s="11">
        <f t="shared" si="12"/>
        <v>2.5719026099399995</v>
      </c>
      <c r="BA16" s="12">
        <f t="shared" si="13"/>
        <v>21532.87039223325</v>
      </c>
      <c r="BC16" s="14">
        <f t="shared" si="14"/>
        <v>5.3516400328529983</v>
      </c>
      <c r="BD16" s="15">
        <f t="shared" si="15"/>
        <v>23742.475014170497</v>
      </c>
      <c r="BF16" s="16">
        <f t="shared" si="8"/>
        <v>7.7774110810060009</v>
      </c>
      <c r="BG16" s="17">
        <f t="shared" si="9"/>
        <v>19361.84377792845</v>
      </c>
      <c r="BI16">
        <v>52</v>
      </c>
      <c r="BJ16" t="s">
        <v>43</v>
      </c>
      <c r="BK16" s="2">
        <v>46210.68513888889</v>
      </c>
      <c r="BL16">
        <v>259</v>
      </c>
      <c r="BM16" t="s">
        <v>13</v>
      </c>
      <c r="BN16">
        <v>0</v>
      </c>
      <c r="BO16">
        <v>2.8940000000000001</v>
      </c>
      <c r="BP16" s="3">
        <v>709458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44</v>
      </c>
      <c r="C17" s="2">
        <v>46210.706342592595</v>
      </c>
      <c r="D17">
        <v>184</v>
      </c>
      <c r="E17" t="s">
        <v>13</v>
      </c>
      <c r="F17">
        <v>0</v>
      </c>
      <c r="G17">
        <v>6.07</v>
      </c>
      <c r="H17" s="3">
        <v>3056</v>
      </c>
      <c r="I17">
        <v>6.0000000000000001E-3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44</v>
      </c>
      <c r="Q17" s="2">
        <v>46210.706342592595</v>
      </c>
      <c r="R17">
        <v>184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44</v>
      </c>
      <c r="AE17" s="2">
        <v>46210.706342592595</v>
      </c>
      <c r="AF17">
        <v>184</v>
      </c>
      <c r="AG17" t="s">
        <v>13</v>
      </c>
      <c r="AH17">
        <v>0</v>
      </c>
      <c r="AI17">
        <v>12.281000000000001</v>
      </c>
      <c r="AJ17" s="3">
        <v>28451</v>
      </c>
      <c r="AK17">
        <v>4.9530000000000003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8">
        <v>53</v>
      </c>
      <c r="AT17" s="16">
        <f t="shared" si="0"/>
        <v>9.3151944488959995</v>
      </c>
      <c r="AU17" s="17">
        <f t="shared" si="1"/>
        <v>5357.07125196179</v>
      </c>
      <c r="AW17" s="9">
        <f t="shared" ref="AW17:AW40" si="16">IF(H17&lt;10000,((H17^2*0.00000054)+(H17*-0.004765)+(12.72)),(IF(H17&lt;200000,((H17^2*-0.000000001577)+(H17*0.003043)+(-10.42)),(IF(H17&lt;8000000,((H17^2*-0.0000000000186)+(H17*0.00194)+(154.1)),((V17^2*-0.00000002)+(V17*0.2565)+(-1032)))))))</f>
        <v>3.2012934400000006</v>
      </c>
      <c r="AX17" s="10">
        <f t="shared" ref="AX17:AX40" si="17">IF(AJ17&lt;45000,((-0.0000004561*AJ17^2)+(0.244*AJ17)+(-21.72)),((-0.0000000409*AJ17^2)+(0.2477*AJ17)+(-1777)))</f>
        <v>6551.1295672038996</v>
      </c>
      <c r="AZ17" s="11">
        <f t="shared" ref="AZ17:AZ40" si="18">IF(H17&lt;10000,((H17^2*0.00000005714)+(H17*0.002453)+(-3.811)),(IF(H17&lt;200000,((H17^2*-0.0000000002888)+(H17*0.002899)+(-4.321)),(IF(H17&lt;8000000,((H17^2*-0.0000000000062)+(H17*0.002143)+(157)),((V17^2*-0.000000031)+(V17*0.2771)+(-709.5)))))))</f>
        <v>4.2190062310399998</v>
      </c>
      <c r="BA17" s="12">
        <f t="shared" ref="BA17:BA40" si="19">IF(AJ17&lt;45000,((-0.0000000598*AJ17^2)+(0.205*AJ17)+(34.1)),((-0.00000002403*AJ17^2)+(0.2063*AJ17)+(-550.7)))</f>
        <v>5818.1493278202006</v>
      </c>
      <c r="BC17" s="14">
        <f t="shared" ref="BC17:BC40" si="20">IF(H17&lt;10000,((H17^2*0.000000008493)+(H17*0.003482)+(-3.269)),(IF(H17&lt;200000,((H17^2*-0.000000000263)+(H17*0.002682)+(3.179)),(IF(H17&lt;8000000,((H17^2*-0.000000000005099)+(H17*0.002054)+(174.8)),((V17^2*-0.00000001014)+(V17*0.2415)+(1123)))))))</f>
        <v>7.4513092820479994</v>
      </c>
      <c r="BD17" s="15">
        <f t="shared" ref="BD17:BD40" si="21">IF(AJ17&lt;45000,((-0.00000004907*AJ17^2)+(0.2277*AJ17)+(-134)),((-0.00000001062*AJ17^2)+(0.2147*AJ17)+(590.6)))</f>
        <v>6304.5725271929296</v>
      </c>
      <c r="BF17" s="16">
        <f t="shared" si="8"/>
        <v>9.3151944488959995</v>
      </c>
      <c r="BG17" s="17">
        <f t="shared" si="9"/>
        <v>5357.07125196179</v>
      </c>
      <c r="BI17">
        <v>53</v>
      </c>
      <c r="BJ17" t="s">
        <v>44</v>
      </c>
      <c r="BK17" s="2">
        <v>46210.706342592595</v>
      </c>
      <c r="BL17">
        <v>184</v>
      </c>
      <c r="BM17" t="s">
        <v>13</v>
      </c>
      <c r="BN17">
        <v>0</v>
      </c>
      <c r="BO17">
        <v>2.8959999999999999</v>
      </c>
      <c r="BP17" s="3">
        <v>627390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45</v>
      </c>
      <c r="C18" s="2">
        <v>46210.72761574074</v>
      </c>
      <c r="D18">
        <v>213</v>
      </c>
      <c r="E18" t="s">
        <v>13</v>
      </c>
      <c r="F18">
        <v>0</v>
      </c>
      <c r="G18">
        <v>6.0519999999999996</v>
      </c>
      <c r="H18" s="3">
        <v>91320</v>
      </c>
      <c r="I18">
        <v>0.185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45</v>
      </c>
      <c r="Q18" s="2">
        <v>46210.72761574074</v>
      </c>
      <c r="R18">
        <v>213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45</v>
      </c>
      <c r="AE18" s="2">
        <v>46210.72761574074</v>
      </c>
      <c r="AF18">
        <v>213</v>
      </c>
      <c r="AG18" t="s">
        <v>13</v>
      </c>
      <c r="AH18">
        <v>0</v>
      </c>
      <c r="AI18">
        <v>12.317</v>
      </c>
      <c r="AJ18" s="3">
        <v>2296</v>
      </c>
      <c r="AK18">
        <v>0.48499999999999999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8">
        <v>54</v>
      </c>
      <c r="AT18" s="16">
        <f t="shared" si="0"/>
        <v>199.09667152064</v>
      </c>
      <c r="AU18" s="17">
        <f t="shared" si="1"/>
        <v>471.30587113664001</v>
      </c>
      <c r="AW18" s="9">
        <f t="shared" si="16"/>
        <v>254.31561703520006</v>
      </c>
      <c r="AX18" s="10">
        <f t="shared" si="17"/>
        <v>536.09961594239985</v>
      </c>
      <c r="AZ18" s="11">
        <f t="shared" si="18"/>
        <v>258.00727791488004</v>
      </c>
      <c r="BA18" s="12">
        <f t="shared" si="19"/>
        <v>504.46475736319996</v>
      </c>
      <c r="BC18" s="14">
        <f t="shared" si="20"/>
        <v>245.90599294880002</v>
      </c>
      <c r="BD18" s="15">
        <f t="shared" si="21"/>
        <v>388.54052180287999</v>
      </c>
      <c r="BF18" s="16">
        <f t="shared" si="8"/>
        <v>199.09667152064</v>
      </c>
      <c r="BG18" s="17">
        <f t="shared" si="9"/>
        <v>471.30587113664001</v>
      </c>
      <c r="BI18">
        <v>54</v>
      </c>
      <c r="BJ18" t="s">
        <v>45</v>
      </c>
      <c r="BK18" s="2">
        <v>46210.72761574074</v>
      </c>
      <c r="BL18">
        <v>213</v>
      </c>
      <c r="BM18" t="s">
        <v>13</v>
      </c>
      <c r="BN18">
        <v>0</v>
      </c>
      <c r="BO18">
        <v>2.8820000000000001</v>
      </c>
      <c r="BP18" s="3">
        <v>870738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46</v>
      </c>
      <c r="C19" s="2">
        <v>46210.748877314814</v>
      </c>
      <c r="D19">
        <v>282</v>
      </c>
      <c r="E19" t="s">
        <v>13</v>
      </c>
      <c r="F19">
        <v>0</v>
      </c>
      <c r="G19">
        <v>5.9749999999999996</v>
      </c>
      <c r="H19" s="3">
        <v>22021704</v>
      </c>
      <c r="I19">
        <v>47.323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46</v>
      </c>
      <c r="Q19" s="2">
        <v>46210.748877314814</v>
      </c>
      <c r="R19">
        <v>282</v>
      </c>
      <c r="S19" t="s">
        <v>13</v>
      </c>
      <c r="T19">
        <v>0</v>
      </c>
      <c r="U19">
        <v>5.9329999999999998</v>
      </c>
      <c r="V19" s="3">
        <v>189197</v>
      </c>
      <c r="W19">
        <v>43.05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46</v>
      </c>
      <c r="AE19" s="2">
        <v>46210.748877314814</v>
      </c>
      <c r="AF19">
        <v>282</v>
      </c>
      <c r="AG19" t="s">
        <v>13</v>
      </c>
      <c r="AH19">
        <v>0</v>
      </c>
      <c r="AI19">
        <v>12.263</v>
      </c>
      <c r="AJ19" s="3">
        <v>36622</v>
      </c>
      <c r="AK19">
        <v>6.3490000000000002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43498.788911397598</v>
      </c>
      <c r="AU19" s="17">
        <f t="shared" si="1"/>
        <v>6893.45590593836</v>
      </c>
      <c r="AW19" s="9">
        <f t="shared" si="16"/>
        <v>46781.120403820001</v>
      </c>
      <c r="AX19" s="10">
        <f t="shared" si="17"/>
        <v>8302.3399598076012</v>
      </c>
      <c r="AZ19" s="11">
        <f t="shared" si="18"/>
        <v>50607.328050921002</v>
      </c>
      <c r="BA19" s="12">
        <f t="shared" si="19"/>
        <v>7461.4079811367992</v>
      </c>
      <c r="BC19" s="14">
        <f t="shared" si="20"/>
        <v>46451.10908123674</v>
      </c>
      <c r="BD19" s="15">
        <f t="shared" si="21"/>
        <v>8139.0181447221203</v>
      </c>
      <c r="BF19" s="16">
        <f t="shared" si="8"/>
        <v>43498.788911397598</v>
      </c>
      <c r="BG19" s="17">
        <f t="shared" si="9"/>
        <v>6893.45590593836</v>
      </c>
      <c r="BI19">
        <v>55</v>
      </c>
      <c r="BJ19" t="s">
        <v>46</v>
      </c>
      <c r="BK19" s="2">
        <v>46210.748877314814</v>
      </c>
      <c r="BL19">
        <v>282</v>
      </c>
      <c r="BM19" t="s">
        <v>13</v>
      </c>
      <c r="BN19">
        <v>0</v>
      </c>
      <c r="BO19">
        <v>2.8929999999999998</v>
      </c>
      <c r="BP19" s="3">
        <v>513513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47</v>
      </c>
      <c r="C20" s="2">
        <v>46210.770138888889</v>
      </c>
      <c r="D20">
        <v>372</v>
      </c>
      <c r="E20" t="s">
        <v>13</v>
      </c>
      <c r="F20">
        <v>0</v>
      </c>
      <c r="G20">
        <v>6.0469999999999997</v>
      </c>
      <c r="H20" s="3">
        <v>93505</v>
      </c>
      <c r="I20">
        <v>0.19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47</v>
      </c>
      <c r="Q20" s="2">
        <v>46210.770138888889</v>
      </c>
      <c r="R20">
        <v>372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47</v>
      </c>
      <c r="AE20" s="2">
        <v>46210.770138888889</v>
      </c>
      <c r="AF20">
        <v>372</v>
      </c>
      <c r="AG20" t="s">
        <v>13</v>
      </c>
      <c r="AH20">
        <v>0</v>
      </c>
      <c r="AI20">
        <v>12.302</v>
      </c>
      <c r="AJ20" s="3">
        <v>3078</v>
      </c>
      <c r="AK20">
        <v>0.61799999999999999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203.70796515658998</v>
      </c>
      <c r="AU20" s="17">
        <f t="shared" si="1"/>
        <v>616.67367746636</v>
      </c>
      <c r="AW20" s="9">
        <f t="shared" si="16"/>
        <v>260.32771221557505</v>
      </c>
      <c r="AX20" s="10">
        <f t="shared" si="17"/>
        <v>724.99087028760005</v>
      </c>
      <c r="AZ20" s="11">
        <f t="shared" si="18"/>
        <v>264.22496316477998</v>
      </c>
      <c r="BA20" s="12">
        <f t="shared" si="19"/>
        <v>664.52344977680002</v>
      </c>
      <c r="BC20" s="14">
        <f t="shared" si="20"/>
        <v>251.659952338425</v>
      </c>
      <c r="BD20" s="15">
        <f t="shared" si="21"/>
        <v>566.39570669812008</v>
      </c>
      <c r="BF20" s="16">
        <f t="shared" si="8"/>
        <v>203.70796515658998</v>
      </c>
      <c r="BG20" s="17">
        <f t="shared" si="9"/>
        <v>616.67367746636</v>
      </c>
      <c r="BI20">
        <v>56</v>
      </c>
      <c r="BJ20" t="s">
        <v>47</v>
      </c>
      <c r="BK20" s="2">
        <v>46210.770138888889</v>
      </c>
      <c r="BL20">
        <v>372</v>
      </c>
      <c r="BM20" t="s">
        <v>13</v>
      </c>
      <c r="BN20">
        <v>0</v>
      </c>
      <c r="BO20">
        <v>2.879</v>
      </c>
      <c r="BP20" s="3">
        <v>809081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48</v>
      </c>
      <c r="C21" s="2">
        <v>46210.791435185187</v>
      </c>
      <c r="D21">
        <v>340</v>
      </c>
      <c r="E21" t="s">
        <v>13</v>
      </c>
      <c r="F21">
        <v>0</v>
      </c>
      <c r="G21">
        <v>6.008</v>
      </c>
      <c r="H21" s="3">
        <v>13876876</v>
      </c>
      <c r="I21">
        <v>29.157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48</v>
      </c>
      <c r="Q21" s="2">
        <v>46210.791435185187</v>
      </c>
      <c r="R21">
        <v>340</v>
      </c>
      <c r="S21" t="s">
        <v>13</v>
      </c>
      <c r="T21">
        <v>0</v>
      </c>
      <c r="U21">
        <v>5.9630000000000001</v>
      </c>
      <c r="V21" s="3">
        <v>118084</v>
      </c>
      <c r="W21">
        <v>26.943999999999999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48</v>
      </c>
      <c r="AE21" s="2">
        <v>46210.791435185187</v>
      </c>
      <c r="AF21">
        <v>340</v>
      </c>
      <c r="AG21" t="s">
        <v>13</v>
      </c>
      <c r="AH21">
        <v>0</v>
      </c>
      <c r="AI21">
        <v>12.201000000000001</v>
      </c>
      <c r="AJ21" s="3">
        <v>78534</v>
      </c>
      <c r="AK21">
        <v>13.505000000000001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27989.600396462367</v>
      </c>
      <c r="AU21" s="17">
        <f t="shared" si="1"/>
        <v>14466.535589284233</v>
      </c>
      <c r="AW21" s="9">
        <f t="shared" si="16"/>
        <v>28977.669378880004</v>
      </c>
      <c r="AX21" s="10">
        <f t="shared" si="17"/>
        <v>17423.617403519602</v>
      </c>
      <c r="AZ21" s="11">
        <f t="shared" si="18"/>
        <v>31579.317637264001</v>
      </c>
      <c r="BA21" s="12">
        <f t="shared" si="19"/>
        <v>15502.657032581319</v>
      </c>
      <c r="BC21" s="14">
        <f t="shared" si="20"/>
        <v>29498.895553092159</v>
      </c>
      <c r="BD21" s="15">
        <f t="shared" si="21"/>
        <v>17386.350003163279</v>
      </c>
      <c r="BF21" s="16">
        <f t="shared" si="8"/>
        <v>27989.600396462367</v>
      </c>
      <c r="BG21" s="17">
        <f t="shared" si="9"/>
        <v>14466.535589284233</v>
      </c>
      <c r="BI21">
        <v>57</v>
      </c>
      <c r="BJ21" t="s">
        <v>48</v>
      </c>
      <c r="BK21" s="2">
        <v>46210.791435185187</v>
      </c>
      <c r="BL21">
        <v>340</v>
      </c>
      <c r="BM21" t="s">
        <v>13</v>
      </c>
      <c r="BN21">
        <v>0</v>
      </c>
      <c r="BO21">
        <v>2.9020000000000001</v>
      </c>
      <c r="BP21" s="3">
        <v>499458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49</v>
      </c>
      <c r="C22" s="2">
        <v>46210.812708333331</v>
      </c>
      <c r="D22">
        <v>382</v>
      </c>
      <c r="E22" t="s">
        <v>13</v>
      </c>
      <c r="F22">
        <v>0</v>
      </c>
      <c r="G22">
        <v>6.0590000000000002</v>
      </c>
      <c r="H22" s="3">
        <v>2800</v>
      </c>
      <c r="I22">
        <v>6.0000000000000001E-3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49</v>
      </c>
      <c r="Q22" s="2">
        <v>46210.812708333331</v>
      </c>
      <c r="R22">
        <v>382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49</v>
      </c>
      <c r="AE22" s="2">
        <v>46210.812708333331</v>
      </c>
      <c r="AF22">
        <v>382</v>
      </c>
      <c r="AG22" t="s">
        <v>13</v>
      </c>
      <c r="AH22">
        <v>0</v>
      </c>
      <c r="AI22">
        <v>12.19</v>
      </c>
      <c r="AJ22" s="3">
        <v>108793</v>
      </c>
      <c r="AK22">
        <v>18.670000000000002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8">
        <v>58</v>
      </c>
      <c r="AT22" s="16">
        <f t="shared" si="0"/>
        <v>8.6538822399999997</v>
      </c>
      <c r="AU22" s="17">
        <f t="shared" si="1"/>
        <v>19423.796414574583</v>
      </c>
      <c r="AW22" s="9">
        <f t="shared" si="16"/>
        <v>3.611600000000001</v>
      </c>
      <c r="AX22" s="10">
        <f t="shared" si="17"/>
        <v>24686.937100875901</v>
      </c>
      <c r="AZ22" s="11">
        <f t="shared" si="18"/>
        <v>3.5053775999999992</v>
      </c>
      <c r="BA22" s="12">
        <f t="shared" si="19"/>
        <v>21608.87881811853</v>
      </c>
      <c r="BC22" s="14">
        <f t="shared" si="20"/>
        <v>6.5471851199999982</v>
      </c>
      <c r="BD22" s="15">
        <f t="shared" si="21"/>
        <v>23822.759663063618</v>
      </c>
      <c r="BF22" s="16">
        <f t="shared" si="8"/>
        <v>8.6538822399999997</v>
      </c>
      <c r="BG22" s="17">
        <f t="shared" si="9"/>
        <v>19423.796414574583</v>
      </c>
      <c r="BI22">
        <v>58</v>
      </c>
      <c r="BJ22" t="s">
        <v>49</v>
      </c>
      <c r="BK22" s="2">
        <v>46210.812708333331</v>
      </c>
      <c r="BL22">
        <v>382</v>
      </c>
      <c r="BM22" t="s">
        <v>13</v>
      </c>
      <c r="BN22">
        <v>0</v>
      </c>
      <c r="BO22">
        <v>2.8809999999999998</v>
      </c>
      <c r="BP22" s="3">
        <v>779035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50</v>
      </c>
      <c r="C23" s="2">
        <v>46210.833969907406</v>
      </c>
      <c r="D23">
        <v>185</v>
      </c>
      <c r="E23" t="s">
        <v>13</v>
      </c>
      <c r="F23">
        <v>0</v>
      </c>
      <c r="G23">
        <v>6.0679999999999996</v>
      </c>
      <c r="H23" s="3">
        <v>2053</v>
      </c>
      <c r="I23">
        <v>4.0000000000000001E-3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50</v>
      </c>
      <c r="Q23" s="2">
        <v>46210.833969907406</v>
      </c>
      <c r="R23">
        <v>185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50</v>
      </c>
      <c r="AE23" s="2">
        <v>46210.833969907406</v>
      </c>
      <c r="AF23">
        <v>185</v>
      </c>
      <c r="AG23" t="s">
        <v>13</v>
      </c>
      <c r="AH23">
        <v>0</v>
      </c>
      <c r="AI23">
        <v>12.179</v>
      </c>
      <c r="AJ23" s="3">
        <v>120603</v>
      </c>
      <c r="AK23">
        <v>20.684999999999999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6.7214111993740007</v>
      </c>
      <c r="AU23" s="17">
        <f t="shared" si="1"/>
        <v>21359.735171370983</v>
      </c>
      <c r="AW23" s="9">
        <f t="shared" si="16"/>
        <v>5.2134518600000002</v>
      </c>
      <c r="AX23" s="10">
        <f t="shared" si="17"/>
        <v>27501.469180391898</v>
      </c>
      <c r="AZ23" s="11">
        <f t="shared" si="18"/>
        <v>1.4658431862599999</v>
      </c>
      <c r="BA23" s="12">
        <f t="shared" si="19"/>
        <v>23980.180540875728</v>
      </c>
      <c r="BC23" s="14">
        <f t="shared" si="20"/>
        <v>3.9153423728369994</v>
      </c>
      <c r="BD23" s="15">
        <f t="shared" si="21"/>
        <v>26329.595312072419</v>
      </c>
      <c r="BF23" s="16">
        <f t="shared" si="8"/>
        <v>6.7214111993740007</v>
      </c>
      <c r="BG23" s="17">
        <f t="shared" si="9"/>
        <v>21359.735171370983</v>
      </c>
      <c r="BI23">
        <v>59</v>
      </c>
      <c r="BJ23" t="s">
        <v>50</v>
      </c>
      <c r="BK23" s="2">
        <v>46210.833969907406</v>
      </c>
      <c r="BL23">
        <v>185</v>
      </c>
      <c r="BM23" t="s">
        <v>13</v>
      </c>
      <c r="BN23">
        <v>0</v>
      </c>
      <c r="BO23">
        <v>2.871</v>
      </c>
      <c r="BP23" s="3">
        <v>948096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A24">
        <v>60</v>
      </c>
      <c r="B24" t="s">
        <v>51</v>
      </c>
      <c r="C24" s="2">
        <v>46210.855196759258</v>
      </c>
      <c r="D24">
        <v>345</v>
      </c>
      <c r="E24" t="s">
        <v>13</v>
      </c>
      <c r="F24">
        <v>0</v>
      </c>
      <c r="G24">
        <v>6.0650000000000004</v>
      </c>
      <c r="H24" s="3">
        <v>1952</v>
      </c>
      <c r="I24">
        <v>4.0000000000000001E-3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51</v>
      </c>
      <c r="Q24" s="2">
        <v>46210.855196759258</v>
      </c>
      <c r="R24">
        <v>345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51</v>
      </c>
      <c r="AE24" s="2">
        <v>46210.855196759258</v>
      </c>
      <c r="AF24">
        <v>345</v>
      </c>
      <c r="AG24" t="s">
        <v>13</v>
      </c>
      <c r="AH24">
        <v>0</v>
      </c>
      <c r="AI24">
        <v>12.178000000000001</v>
      </c>
      <c r="AJ24" s="3">
        <v>121206</v>
      </c>
      <c r="AK24">
        <v>20.788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6.4598085309440005</v>
      </c>
      <c r="AU24" s="17">
        <f t="shared" si="1"/>
        <v>21458.598242907941</v>
      </c>
      <c r="AW24" s="9">
        <f t="shared" si="16"/>
        <v>5.4762841600000005</v>
      </c>
      <c r="AX24" s="10">
        <f t="shared" si="17"/>
        <v>27644.868617567601</v>
      </c>
      <c r="AZ24" s="11">
        <f t="shared" si="18"/>
        <v>1.1949767705599994</v>
      </c>
      <c r="BA24" s="12">
        <f t="shared" si="19"/>
        <v>24101.075606702918</v>
      </c>
      <c r="BC24" s="14">
        <f t="shared" si="20"/>
        <v>3.5602249118719991</v>
      </c>
      <c r="BD24" s="15">
        <f t="shared" si="21"/>
        <v>26457.510901089678</v>
      </c>
      <c r="BF24" s="16">
        <f t="shared" si="8"/>
        <v>6.4598085309440005</v>
      </c>
      <c r="BG24" s="17">
        <f t="shared" si="9"/>
        <v>21458.598242907941</v>
      </c>
      <c r="BI24">
        <v>60</v>
      </c>
      <c r="BJ24" t="s">
        <v>51</v>
      </c>
      <c r="BK24" s="2">
        <v>46210.855196759258</v>
      </c>
      <c r="BL24">
        <v>345</v>
      </c>
      <c r="BM24" t="s">
        <v>13</v>
      </c>
      <c r="BN24">
        <v>0</v>
      </c>
      <c r="BO24">
        <v>2.875</v>
      </c>
      <c r="BP24" s="3">
        <v>879606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25">
      <c r="A25">
        <v>61</v>
      </c>
      <c r="B25" t="s">
        <v>52</v>
      </c>
      <c r="C25" s="2">
        <v>46210.876435185186</v>
      </c>
      <c r="D25">
        <v>198</v>
      </c>
      <c r="E25" t="s">
        <v>13</v>
      </c>
      <c r="F25">
        <v>0</v>
      </c>
      <c r="G25">
        <v>6.008</v>
      </c>
      <c r="H25" s="3">
        <v>14621228</v>
      </c>
      <c r="I25">
        <v>30.782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52</v>
      </c>
      <c r="Q25" s="2">
        <v>46210.876435185186</v>
      </c>
      <c r="R25">
        <v>198</v>
      </c>
      <c r="S25" t="s">
        <v>13</v>
      </c>
      <c r="T25">
        <v>0</v>
      </c>
      <c r="U25">
        <v>5.9640000000000004</v>
      </c>
      <c r="V25" s="3">
        <v>122574</v>
      </c>
      <c r="W25">
        <v>27.962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52</v>
      </c>
      <c r="AE25" s="2">
        <v>46210.876435185186</v>
      </c>
      <c r="AF25">
        <v>198</v>
      </c>
      <c r="AG25" t="s">
        <v>13</v>
      </c>
      <c r="AH25">
        <v>0</v>
      </c>
      <c r="AI25">
        <v>12.227</v>
      </c>
      <c r="AJ25" s="3">
        <v>79154</v>
      </c>
      <c r="AK25">
        <v>13.611000000000001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28968.063065757127</v>
      </c>
      <c r="AU25" s="17">
        <f t="shared" si="1"/>
        <v>14568.066780564055</v>
      </c>
      <c r="AW25" s="9">
        <f t="shared" si="16"/>
        <v>30107.743290480001</v>
      </c>
      <c r="AX25" s="10">
        <f t="shared" si="17"/>
        <v>17573.1927512156</v>
      </c>
      <c r="AZ25" s="11">
        <f t="shared" si="18"/>
        <v>32789.999450244002</v>
      </c>
      <c r="BA25" s="12">
        <f t="shared" si="19"/>
        <v>15628.213702144521</v>
      </c>
      <c r="BC25" s="14">
        <f t="shared" si="20"/>
        <v>30572.273731273359</v>
      </c>
      <c r="BD25" s="15">
        <f t="shared" si="21"/>
        <v>17518.425722296077</v>
      </c>
      <c r="BF25" s="16">
        <f t="shared" si="8"/>
        <v>28968.063065757127</v>
      </c>
      <c r="BG25" s="17">
        <f t="shared" si="9"/>
        <v>14568.066780564055</v>
      </c>
      <c r="BI25">
        <v>61</v>
      </c>
      <c r="BJ25" t="s">
        <v>52</v>
      </c>
      <c r="BK25" s="2">
        <v>46210.876435185186</v>
      </c>
      <c r="BL25">
        <v>198</v>
      </c>
      <c r="BM25" t="s">
        <v>13</v>
      </c>
      <c r="BN25">
        <v>0</v>
      </c>
      <c r="BO25">
        <v>2.8879999999999999</v>
      </c>
      <c r="BP25" s="3">
        <v>731783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25">
      <c r="A26">
        <v>62</v>
      </c>
      <c r="B26" t="s">
        <v>53</v>
      </c>
      <c r="C26" s="2">
        <v>46210.897662037038</v>
      </c>
      <c r="D26">
        <v>136</v>
      </c>
      <c r="E26" t="s">
        <v>13</v>
      </c>
      <c r="F26">
        <v>0</v>
      </c>
      <c r="G26">
        <v>6.0529999999999999</v>
      </c>
      <c r="H26" s="3">
        <v>124457</v>
      </c>
      <c r="I26">
        <v>0.253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53</v>
      </c>
      <c r="Q26" s="2">
        <v>46210.897662037038</v>
      </c>
      <c r="R26">
        <v>136</v>
      </c>
      <c r="S26" t="s">
        <v>13</v>
      </c>
      <c r="T26">
        <v>0</v>
      </c>
      <c r="U26">
        <v>6.0149999999999997</v>
      </c>
      <c r="V26" s="3">
        <v>1400</v>
      </c>
      <c r="W26">
        <v>0.47399999999999998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53</v>
      </c>
      <c r="AE26" s="2">
        <v>46210.897662037038</v>
      </c>
      <c r="AF26">
        <v>136</v>
      </c>
      <c r="AG26" t="s">
        <v>13</v>
      </c>
      <c r="AH26">
        <v>0</v>
      </c>
      <c r="AI26">
        <v>12.265000000000001</v>
      </c>
      <c r="AJ26" s="3">
        <v>40169</v>
      </c>
      <c r="AK26">
        <v>6.9539999999999997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268.6439953188364</v>
      </c>
      <c r="AU26" s="17">
        <f t="shared" si="1"/>
        <v>7561.8822029981902</v>
      </c>
      <c r="AW26" s="9">
        <f t="shared" si="16"/>
        <v>343.87563877312704</v>
      </c>
      <c r="AX26" s="10">
        <f t="shared" si="17"/>
        <v>9043.5765013278997</v>
      </c>
      <c r="AZ26" s="11">
        <f t="shared" si="18"/>
        <v>352.00646244760878</v>
      </c>
      <c r="BA26" s="12">
        <f t="shared" si="19"/>
        <v>8172.2547960521988</v>
      </c>
      <c r="BC26" s="14">
        <f t="shared" si="20"/>
        <v>332.89892370471296</v>
      </c>
      <c r="BD26" s="15">
        <f t="shared" si="21"/>
        <v>8933.3044721117312</v>
      </c>
      <c r="BF26" s="16">
        <f t="shared" si="8"/>
        <v>268.6439953188364</v>
      </c>
      <c r="BG26" s="17">
        <f t="shared" si="9"/>
        <v>7561.8822029981902</v>
      </c>
      <c r="BI26">
        <v>62</v>
      </c>
      <c r="BJ26" t="s">
        <v>53</v>
      </c>
      <c r="BK26" s="2">
        <v>46210.897662037038</v>
      </c>
      <c r="BL26">
        <v>136</v>
      </c>
      <c r="BM26" t="s">
        <v>13</v>
      </c>
      <c r="BN26">
        <v>0</v>
      </c>
      <c r="BO26">
        <v>2.887</v>
      </c>
      <c r="BP26" s="3">
        <v>774537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25">
      <c r="A27">
        <v>63</v>
      </c>
      <c r="B27" t="s">
        <v>54</v>
      </c>
      <c r="C27" s="2">
        <v>46210.918900462966</v>
      </c>
      <c r="D27">
        <v>230</v>
      </c>
      <c r="E27" t="s">
        <v>13</v>
      </c>
      <c r="F27">
        <v>0</v>
      </c>
      <c r="G27">
        <v>6.0529999999999999</v>
      </c>
      <c r="H27" s="3">
        <v>110397</v>
      </c>
      <c r="I27">
        <v>0.224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54</v>
      </c>
      <c r="Q27" s="2">
        <v>46210.918900462966</v>
      </c>
      <c r="R27">
        <v>230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54</v>
      </c>
      <c r="AE27" s="2">
        <v>46210.918900462966</v>
      </c>
      <c r="AF27">
        <v>230</v>
      </c>
      <c r="AG27" t="s">
        <v>13</v>
      </c>
      <c r="AH27">
        <v>0</v>
      </c>
      <c r="AI27">
        <v>12.318</v>
      </c>
      <c r="AJ27" s="3">
        <v>5571</v>
      </c>
      <c r="AK27">
        <v>1.044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239.23608589997238</v>
      </c>
      <c r="AU27" s="17">
        <f t="shared" si="1"/>
        <v>1080.3954799073899</v>
      </c>
      <c r="AW27" s="9">
        <f t="shared" si="16"/>
        <v>306.29838727060701</v>
      </c>
      <c r="AX27" s="10">
        <f t="shared" si="17"/>
        <v>1323.4484616999</v>
      </c>
      <c r="AZ27" s="11">
        <f t="shared" si="18"/>
        <v>312.20015369052078</v>
      </c>
      <c r="BA27" s="12">
        <f t="shared" si="19"/>
        <v>1174.2990447481998</v>
      </c>
      <c r="BC27" s="14">
        <f t="shared" si="20"/>
        <v>296.05844212883295</v>
      </c>
      <c r="BD27" s="15">
        <f t="shared" si="21"/>
        <v>1132.9937614681301</v>
      </c>
      <c r="BF27" s="16">
        <f t="shared" si="8"/>
        <v>239.23608589997238</v>
      </c>
      <c r="BG27" s="17">
        <f t="shared" si="9"/>
        <v>1080.3954799073899</v>
      </c>
      <c r="BI27">
        <v>63</v>
      </c>
      <c r="BJ27" t="s">
        <v>54</v>
      </c>
      <c r="BK27" s="2">
        <v>46210.918900462966</v>
      </c>
      <c r="BL27">
        <v>230</v>
      </c>
      <c r="BM27" t="s">
        <v>13</v>
      </c>
      <c r="BN27">
        <v>0</v>
      </c>
      <c r="BO27">
        <v>2.8839999999999999</v>
      </c>
      <c r="BP27" s="3">
        <v>830717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25">
      <c r="A28">
        <v>64</v>
      </c>
      <c r="B28" t="s">
        <v>55</v>
      </c>
      <c r="C28" s="2">
        <v>46210.940150462964</v>
      </c>
      <c r="D28">
        <v>236</v>
      </c>
      <c r="E28" t="s">
        <v>13</v>
      </c>
      <c r="F28">
        <v>0</v>
      </c>
      <c r="G28">
        <v>6.0750000000000002</v>
      </c>
      <c r="H28" s="3">
        <v>1961</v>
      </c>
      <c r="I28">
        <v>4.0000000000000001E-3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55</v>
      </c>
      <c r="Q28" s="2">
        <v>46210.940150462964</v>
      </c>
      <c r="R28">
        <v>236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55</v>
      </c>
      <c r="AE28" s="2">
        <v>46210.940150462964</v>
      </c>
      <c r="AF28">
        <v>236</v>
      </c>
      <c r="AG28" t="s">
        <v>13</v>
      </c>
      <c r="AH28">
        <v>0</v>
      </c>
      <c r="AI28">
        <v>12.282</v>
      </c>
      <c r="AJ28" s="3">
        <v>29694</v>
      </c>
      <c r="AK28">
        <v>5.165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6.4831227350060008</v>
      </c>
      <c r="AU28" s="17">
        <f t="shared" si="1"/>
        <v>5590.4830468324399</v>
      </c>
      <c r="AW28" s="9">
        <f t="shared" si="16"/>
        <v>5.452416340000001</v>
      </c>
      <c r="AX28" s="10">
        <f t="shared" si="17"/>
        <v>6821.4572886203996</v>
      </c>
      <c r="AZ28" s="11">
        <f t="shared" si="18"/>
        <v>1.2190660699400002</v>
      </c>
      <c r="BA28" s="12">
        <f t="shared" si="19"/>
        <v>6068.6423285671999</v>
      </c>
      <c r="BC28" s="14">
        <f t="shared" si="20"/>
        <v>3.5918620098530001</v>
      </c>
      <c r="BD28" s="15">
        <f t="shared" si="21"/>
        <v>6584.0571304814803</v>
      </c>
      <c r="BF28" s="16">
        <f t="shared" si="8"/>
        <v>6.4831227350060008</v>
      </c>
      <c r="BG28" s="17">
        <f t="shared" si="9"/>
        <v>5590.4830468324399</v>
      </c>
      <c r="BI28">
        <v>64</v>
      </c>
      <c r="BJ28" t="s">
        <v>55</v>
      </c>
      <c r="BK28" s="2">
        <v>46210.940150462964</v>
      </c>
      <c r="BL28">
        <v>236</v>
      </c>
      <c r="BM28" t="s">
        <v>13</v>
      </c>
      <c r="BN28">
        <v>0</v>
      </c>
      <c r="BO28">
        <v>2.8929999999999998</v>
      </c>
      <c r="BP28" s="3">
        <v>678774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25">
      <c r="A29">
        <v>65</v>
      </c>
      <c r="B29" t="s">
        <v>56</v>
      </c>
      <c r="C29" s="2">
        <v>46210.961423611108</v>
      </c>
      <c r="D29">
        <v>316</v>
      </c>
      <c r="E29" t="s">
        <v>13</v>
      </c>
      <c r="F29">
        <v>0</v>
      </c>
      <c r="G29">
        <v>6.0469999999999997</v>
      </c>
      <c r="H29" s="3">
        <v>23148</v>
      </c>
      <c r="I29">
        <v>4.7E-2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56</v>
      </c>
      <c r="Q29" s="2">
        <v>46210.961423611108</v>
      </c>
      <c r="R29">
        <v>316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56</v>
      </c>
      <c r="AE29" s="2">
        <v>46210.961423611108</v>
      </c>
      <c r="AF29">
        <v>316</v>
      </c>
      <c r="AG29" t="s">
        <v>13</v>
      </c>
      <c r="AH29">
        <v>0</v>
      </c>
      <c r="AI29">
        <v>12.244</v>
      </c>
      <c r="AJ29" s="3">
        <v>470</v>
      </c>
      <c r="AK29" s="13">
        <v>0.17299999999999999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53.418953624134403</v>
      </c>
      <c r="AU29" s="17">
        <f t="shared" si="1"/>
        <v>132.03690601099999</v>
      </c>
      <c r="AW29" s="9">
        <f t="shared" si="16"/>
        <v>59.174360241391994</v>
      </c>
      <c r="AX29" s="10">
        <f t="shared" si="17"/>
        <v>92.859247509999989</v>
      </c>
      <c r="AZ29" s="11">
        <f t="shared" si="18"/>
        <v>62.6303043237248</v>
      </c>
      <c r="BA29" s="12">
        <f t="shared" si="19"/>
        <v>130.43679018</v>
      </c>
      <c r="BC29" s="14">
        <f t="shared" si="20"/>
        <v>65.121012735248001</v>
      </c>
      <c r="BD29" s="15">
        <f t="shared" si="21"/>
        <v>-26.991839562999999</v>
      </c>
      <c r="BF29" s="16">
        <f t="shared" si="8"/>
        <v>53.418953624134403</v>
      </c>
      <c r="BG29" s="17">
        <f t="shared" si="9"/>
        <v>132.03690601099999</v>
      </c>
      <c r="BI29">
        <v>65</v>
      </c>
      <c r="BJ29" t="s">
        <v>56</v>
      </c>
      <c r="BK29" s="2">
        <v>46210.961423611108</v>
      </c>
      <c r="BL29">
        <v>316</v>
      </c>
      <c r="BM29" t="s">
        <v>13</v>
      </c>
      <c r="BN29">
        <v>0</v>
      </c>
      <c r="BO29">
        <v>2.8820000000000001</v>
      </c>
      <c r="BP29" s="3">
        <v>756338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25">
      <c r="A30">
        <v>66</v>
      </c>
      <c r="B30" t="s">
        <v>57</v>
      </c>
      <c r="C30" s="2">
        <v>46210.982662037037</v>
      </c>
      <c r="D30">
        <v>68</v>
      </c>
      <c r="E30" t="s">
        <v>13</v>
      </c>
      <c r="F30">
        <v>0</v>
      </c>
      <c r="G30">
        <v>6.0460000000000003</v>
      </c>
      <c r="H30" s="3">
        <v>113387</v>
      </c>
      <c r="I30">
        <v>0.23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57</v>
      </c>
      <c r="Q30" s="2">
        <v>46210.982662037037</v>
      </c>
      <c r="R30">
        <v>68</v>
      </c>
      <c r="S30" t="s">
        <v>13</v>
      </c>
      <c r="T30">
        <v>0</v>
      </c>
      <c r="U30">
        <v>6</v>
      </c>
      <c r="V30" s="3">
        <v>1004</v>
      </c>
      <c r="W30">
        <v>0.38400000000000001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57</v>
      </c>
      <c r="AE30" s="2">
        <v>46210.982662037037</v>
      </c>
      <c r="AF30">
        <v>68</v>
      </c>
      <c r="AG30" t="s">
        <v>13</v>
      </c>
      <c r="AH30">
        <v>0</v>
      </c>
      <c r="AI30">
        <v>12.305999999999999</v>
      </c>
      <c r="AJ30" s="3">
        <v>5437</v>
      </c>
      <c r="AK30">
        <v>1.0209999999999999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245.5024313301484</v>
      </c>
      <c r="AU30" s="17">
        <f t="shared" si="1"/>
        <v>1055.4588870805101</v>
      </c>
      <c r="AW30" s="9">
        <f t="shared" si="16"/>
        <v>314.34176424028703</v>
      </c>
      <c r="AX30" s="10">
        <f t="shared" si="17"/>
        <v>1291.4252420390999</v>
      </c>
      <c r="AZ30" s="11">
        <f t="shared" si="18"/>
        <v>320.67492352111276</v>
      </c>
      <c r="BA30" s="12">
        <f t="shared" si="19"/>
        <v>1146.9172540538</v>
      </c>
      <c r="BC30" s="14">
        <f t="shared" si="20"/>
        <v>303.90164510475296</v>
      </c>
      <c r="BD30" s="15">
        <f t="shared" si="21"/>
        <v>1102.5543432511702</v>
      </c>
      <c r="BF30" s="16">
        <f t="shared" si="8"/>
        <v>245.5024313301484</v>
      </c>
      <c r="BG30" s="17">
        <f t="shared" si="9"/>
        <v>1055.4588870805101</v>
      </c>
      <c r="BI30">
        <v>66</v>
      </c>
      <c r="BJ30" t="s">
        <v>57</v>
      </c>
      <c r="BK30" s="2">
        <v>46210.982662037037</v>
      </c>
      <c r="BL30">
        <v>68</v>
      </c>
      <c r="BM30" t="s">
        <v>13</v>
      </c>
      <c r="BN30">
        <v>0</v>
      </c>
      <c r="BO30">
        <v>2.8650000000000002</v>
      </c>
      <c r="BP30" s="3">
        <v>1049469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25">
      <c r="A31">
        <v>67</v>
      </c>
      <c r="B31" t="s">
        <v>58</v>
      </c>
      <c r="C31" s="2">
        <v>46211.003912037035</v>
      </c>
      <c r="D31">
        <v>379</v>
      </c>
      <c r="E31" t="s">
        <v>13</v>
      </c>
      <c r="F31">
        <v>0</v>
      </c>
      <c r="G31">
        <v>6.0540000000000003</v>
      </c>
      <c r="H31" s="3">
        <v>81707</v>
      </c>
      <c r="I31">
        <v>0.16600000000000001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58</v>
      </c>
      <c r="Q31" s="2">
        <v>46211.003912037035</v>
      </c>
      <c r="R31">
        <v>379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58</v>
      </c>
      <c r="AE31" s="2">
        <v>46211.003912037035</v>
      </c>
      <c r="AF31">
        <v>379</v>
      </c>
      <c r="AG31" t="s">
        <v>13</v>
      </c>
      <c r="AH31">
        <v>0</v>
      </c>
      <c r="AI31">
        <v>12.271000000000001</v>
      </c>
      <c r="AJ31" s="3">
        <v>41679</v>
      </c>
      <c r="AK31">
        <v>7.2119999999999997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178.7664008592364</v>
      </c>
      <c r="AU31" s="17">
        <f t="shared" si="1"/>
        <v>7846.7125062773903</v>
      </c>
      <c r="AW31" s="9">
        <f t="shared" si="16"/>
        <v>227.686295620127</v>
      </c>
      <c r="AX31" s="10">
        <f t="shared" si="17"/>
        <v>9355.6468833999006</v>
      </c>
      <c r="AZ31" s="11">
        <f t="shared" si="18"/>
        <v>230.61955442440882</v>
      </c>
      <c r="BA31" s="12">
        <f t="shared" si="19"/>
        <v>8474.4140853482004</v>
      </c>
      <c r="BC31" s="14">
        <f t="shared" si="20"/>
        <v>220.56137709771301</v>
      </c>
      <c r="BD31" s="15">
        <f t="shared" si="21"/>
        <v>9271.06688725813</v>
      </c>
      <c r="BF31" s="16">
        <f t="shared" si="8"/>
        <v>178.7664008592364</v>
      </c>
      <c r="BG31" s="17">
        <f t="shared" si="9"/>
        <v>7846.7125062773903</v>
      </c>
      <c r="BI31">
        <v>67</v>
      </c>
      <c r="BJ31" t="s">
        <v>58</v>
      </c>
      <c r="BK31" s="2">
        <v>46211.003912037035</v>
      </c>
      <c r="BL31">
        <v>379</v>
      </c>
      <c r="BM31" t="s">
        <v>13</v>
      </c>
      <c r="BN31">
        <v>0</v>
      </c>
      <c r="BO31">
        <v>2.883</v>
      </c>
      <c r="BP31" s="3">
        <v>853399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25">
      <c r="A32">
        <v>68</v>
      </c>
      <c r="B32" t="s">
        <v>59</v>
      </c>
      <c r="C32" s="2">
        <v>46211.025150462963</v>
      </c>
      <c r="D32">
        <v>285</v>
      </c>
      <c r="E32" t="s">
        <v>13</v>
      </c>
      <c r="F32">
        <v>0</v>
      </c>
      <c r="G32">
        <v>6.048</v>
      </c>
      <c r="H32" s="3">
        <v>22756</v>
      </c>
      <c r="I32">
        <v>4.5999999999999999E-2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59</v>
      </c>
      <c r="Q32" s="2">
        <v>46211.025150462963</v>
      </c>
      <c r="R32">
        <v>285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59</v>
      </c>
      <c r="AE32" s="2">
        <v>46211.025150462963</v>
      </c>
      <c r="AF32">
        <v>285</v>
      </c>
      <c r="AG32" t="s">
        <v>13</v>
      </c>
      <c r="AH32">
        <v>0</v>
      </c>
      <c r="AI32">
        <v>12.329000000000001</v>
      </c>
      <c r="AJ32" s="3">
        <v>364</v>
      </c>
      <c r="AK32">
        <v>0.154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52.571166704249599</v>
      </c>
      <c r="AU32" s="17">
        <f t="shared" si="1"/>
        <v>112.34954203184</v>
      </c>
      <c r="AW32" s="9">
        <f t="shared" si="16"/>
        <v>58.009881359727999</v>
      </c>
      <c r="AX32" s="10">
        <f t="shared" si="17"/>
        <v>67.035568574400003</v>
      </c>
      <c r="AZ32" s="11">
        <f t="shared" si="18"/>
        <v>61.4990930972032</v>
      </c>
      <c r="BA32" s="12">
        <f t="shared" si="19"/>
        <v>108.7120767392</v>
      </c>
      <c r="BC32" s="14">
        <f t="shared" si="20"/>
        <v>64.074401254031997</v>
      </c>
      <c r="BD32" s="15">
        <f t="shared" si="21"/>
        <v>-51.123701578720002</v>
      </c>
      <c r="BF32" s="16">
        <f t="shared" si="8"/>
        <v>52.571166704249599</v>
      </c>
      <c r="BG32" s="17">
        <f t="shared" si="9"/>
        <v>112.34954203184</v>
      </c>
      <c r="BI32">
        <v>68</v>
      </c>
      <c r="BJ32" t="s">
        <v>59</v>
      </c>
      <c r="BK32" s="2">
        <v>46211.025150462963</v>
      </c>
      <c r="BL32">
        <v>285</v>
      </c>
      <c r="BM32" t="s">
        <v>13</v>
      </c>
      <c r="BN32">
        <v>0</v>
      </c>
      <c r="BO32">
        <v>2.8809999999999998</v>
      </c>
      <c r="BP32" s="3">
        <v>771315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25">
      <c r="A33">
        <v>69</v>
      </c>
      <c r="B33" t="s">
        <v>60</v>
      </c>
      <c r="C33" s="2">
        <v>46211.046412037038</v>
      </c>
      <c r="D33">
        <v>85</v>
      </c>
      <c r="E33" t="s">
        <v>13</v>
      </c>
      <c r="F33">
        <v>0</v>
      </c>
      <c r="G33">
        <v>6.0469999999999997</v>
      </c>
      <c r="H33" s="3">
        <v>24876</v>
      </c>
      <c r="I33">
        <v>5.0999999999999997E-2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60</v>
      </c>
      <c r="Q33" s="2">
        <v>46211.046412037038</v>
      </c>
      <c r="R33">
        <v>85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60</v>
      </c>
      <c r="AE33" s="2">
        <v>46211.046412037038</v>
      </c>
      <c r="AF33">
        <v>85</v>
      </c>
      <c r="AG33" t="s">
        <v>13</v>
      </c>
      <c r="AH33">
        <v>0</v>
      </c>
      <c r="AI33">
        <v>12.291</v>
      </c>
      <c r="AJ33" s="3">
        <v>5924</v>
      </c>
      <c r="AK33">
        <v>1.1040000000000001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57.154757892473604</v>
      </c>
      <c r="AU33" s="17">
        <f t="shared" si="1"/>
        <v>1146.0928062430401</v>
      </c>
      <c r="AW33" s="9">
        <f t="shared" si="16"/>
        <v>64.301796152047999</v>
      </c>
      <c r="AX33" s="10">
        <f t="shared" si="17"/>
        <v>1407.7297287663998</v>
      </c>
      <c r="AZ33" s="11">
        <f t="shared" si="18"/>
        <v>67.615810119411208</v>
      </c>
      <c r="BA33" s="12">
        <f t="shared" si="19"/>
        <v>1246.4213921951998</v>
      </c>
      <c r="BC33" s="14">
        <f t="shared" si="20"/>
        <v>69.733683556111998</v>
      </c>
      <c r="BD33" s="15">
        <f t="shared" si="21"/>
        <v>1213.17274841168</v>
      </c>
      <c r="BF33" s="16">
        <f t="shared" si="8"/>
        <v>57.154757892473604</v>
      </c>
      <c r="BG33" s="17">
        <f t="shared" si="9"/>
        <v>1146.0928062430401</v>
      </c>
      <c r="BI33">
        <v>69</v>
      </c>
      <c r="BJ33" t="s">
        <v>60</v>
      </c>
      <c r="BK33" s="2">
        <v>46211.046412037038</v>
      </c>
      <c r="BL33">
        <v>85</v>
      </c>
      <c r="BM33" t="s">
        <v>13</v>
      </c>
      <c r="BN33">
        <v>0</v>
      </c>
      <c r="BO33">
        <v>2.8759999999999999</v>
      </c>
      <c r="BP33" s="3">
        <v>867677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25">
      <c r="A34">
        <v>70</v>
      </c>
      <c r="B34" t="s">
        <v>61</v>
      </c>
      <c r="C34" s="2">
        <v>46211.067673611113</v>
      </c>
      <c r="D34">
        <v>408</v>
      </c>
      <c r="E34" t="s">
        <v>13</v>
      </c>
      <c r="F34">
        <v>0</v>
      </c>
      <c r="G34">
        <v>6.0549999999999997</v>
      </c>
      <c r="H34" s="3">
        <v>10306</v>
      </c>
      <c r="I34">
        <v>2.1000000000000001E-2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61</v>
      </c>
      <c r="Q34" s="2">
        <v>46211.067673611113</v>
      </c>
      <c r="R34">
        <v>408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61</v>
      </c>
      <c r="AE34" s="2">
        <v>46211.067673611113</v>
      </c>
      <c r="AF34">
        <v>408</v>
      </c>
      <c r="AG34" t="s">
        <v>13</v>
      </c>
      <c r="AH34">
        <v>0</v>
      </c>
      <c r="AI34">
        <v>12.218999999999999</v>
      </c>
      <c r="AJ34" s="3">
        <v>87967</v>
      </c>
      <c r="AK34">
        <v>15.116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25.585101187409599</v>
      </c>
      <c r="AU34" s="17">
        <f t="shared" si="1"/>
        <v>16011.473321002877</v>
      </c>
      <c r="AW34" s="9">
        <f t="shared" si="16"/>
        <v>20.773659096027998</v>
      </c>
      <c r="AX34" s="10">
        <f t="shared" si="17"/>
        <v>19695.933802659903</v>
      </c>
      <c r="AZ34" s="11">
        <f t="shared" si="18"/>
        <v>25.525419501923203</v>
      </c>
      <c r="BA34" s="12">
        <f t="shared" si="19"/>
        <v>17410.943320071332</v>
      </c>
      <c r="BC34" s="14">
        <f t="shared" si="20"/>
        <v>30.791757813731998</v>
      </c>
      <c r="BD34" s="15">
        <f t="shared" si="21"/>
        <v>19394.93528939482</v>
      </c>
      <c r="BF34" s="16">
        <f t="shared" si="8"/>
        <v>25.585101187409599</v>
      </c>
      <c r="BG34" s="17">
        <f t="shared" si="9"/>
        <v>16011.473321002877</v>
      </c>
      <c r="BI34">
        <v>70</v>
      </c>
      <c r="BJ34" t="s">
        <v>61</v>
      </c>
      <c r="BK34" s="2">
        <v>46211.067673611113</v>
      </c>
      <c r="BL34">
        <v>408</v>
      </c>
      <c r="BM34" t="s">
        <v>13</v>
      </c>
      <c r="BN34">
        <v>0</v>
      </c>
      <c r="BO34">
        <v>2.8820000000000001</v>
      </c>
      <c r="BP34" s="3">
        <v>817482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25">
      <c r="A35">
        <v>71</v>
      </c>
      <c r="B35" t="s">
        <v>62</v>
      </c>
      <c r="C35" s="2">
        <v>46211.088900462964</v>
      </c>
      <c r="D35">
        <v>258</v>
      </c>
      <c r="E35" t="s">
        <v>13</v>
      </c>
      <c r="F35">
        <v>0</v>
      </c>
      <c r="G35">
        <v>6.048</v>
      </c>
      <c r="H35" s="3">
        <v>32510</v>
      </c>
      <c r="I35">
        <v>6.6000000000000003E-2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62</v>
      </c>
      <c r="Q35" s="2">
        <v>46211.088900462964</v>
      </c>
      <c r="R35">
        <v>258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62</v>
      </c>
      <c r="AE35" s="2">
        <v>46211.088900462964</v>
      </c>
      <c r="AF35">
        <v>258</v>
      </c>
      <c r="AG35" t="s">
        <v>13</v>
      </c>
      <c r="AH35">
        <v>0</v>
      </c>
      <c r="AI35">
        <v>12.298999999999999</v>
      </c>
      <c r="AJ35" s="3">
        <v>7871</v>
      </c>
      <c r="AK35">
        <v>1.4370000000000001</v>
      </c>
      <c r="AL35" t="s">
        <v>14</v>
      </c>
      <c r="AM35" t="s">
        <v>14</v>
      </c>
      <c r="AN35" t="s">
        <v>14</v>
      </c>
      <c r="AO35" t="s">
        <v>14</v>
      </c>
      <c r="AQ35">
        <v>3</v>
      </c>
      <c r="AR35" t="s">
        <v>72</v>
      </c>
      <c r="AS35" s="8">
        <v>71</v>
      </c>
      <c r="AT35" s="16">
        <f t="shared" si="0"/>
        <v>73.631982802360014</v>
      </c>
      <c r="AU35" s="17">
        <f t="shared" si="1"/>
        <v>1508.61198502139</v>
      </c>
      <c r="AW35" s="9">
        <f t="shared" si="16"/>
        <v>86.841198542300006</v>
      </c>
      <c r="AX35" s="10">
        <f t="shared" si="17"/>
        <v>1870.5474004398998</v>
      </c>
      <c r="AZ35" s="11">
        <f t="shared" si="18"/>
        <v>89.620257251120009</v>
      </c>
      <c r="BA35" s="12">
        <f t="shared" si="19"/>
        <v>1643.9502320681997</v>
      </c>
      <c r="BC35" s="14">
        <f t="shared" si="20"/>
        <v>90.092855273699996</v>
      </c>
      <c r="BD35" s="15">
        <f t="shared" si="21"/>
        <v>1655.1866839061302</v>
      </c>
      <c r="BF35" s="16">
        <f t="shared" si="8"/>
        <v>73.631982802360014</v>
      </c>
      <c r="BG35" s="17">
        <f t="shared" si="9"/>
        <v>1508.61198502139</v>
      </c>
      <c r="BI35">
        <v>71</v>
      </c>
      <c r="BJ35" t="s">
        <v>62</v>
      </c>
      <c r="BK35" s="2">
        <v>46211.088900462964</v>
      </c>
      <c r="BL35">
        <v>258</v>
      </c>
      <c r="BM35" t="s">
        <v>13</v>
      </c>
      <c r="BN35">
        <v>0</v>
      </c>
      <c r="BO35">
        <v>2.7530000000000001</v>
      </c>
      <c r="BP35" s="3">
        <v>3971749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25">
      <c r="A36">
        <v>72</v>
      </c>
      <c r="B36" t="s">
        <v>63</v>
      </c>
      <c r="C36" s="2">
        <v>46211.110138888886</v>
      </c>
      <c r="D36" t="s">
        <v>22</v>
      </c>
      <c r="E36" t="s">
        <v>13</v>
      </c>
      <c r="F36">
        <v>0</v>
      </c>
      <c r="G36">
        <v>6.0860000000000003</v>
      </c>
      <c r="H36" s="3">
        <v>1150</v>
      </c>
      <c r="I36">
        <v>2E-3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63</v>
      </c>
      <c r="Q36" s="2">
        <v>46211.110138888886</v>
      </c>
      <c r="R36" t="s">
        <v>22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63</v>
      </c>
      <c r="AE36" s="2">
        <v>46211.110138888886</v>
      </c>
      <c r="AF36" t="s">
        <v>22</v>
      </c>
      <c r="AG36" t="s">
        <v>13</v>
      </c>
      <c r="AH36">
        <v>0</v>
      </c>
      <c r="AI36">
        <v>12.318</v>
      </c>
      <c r="AJ36" s="3">
        <v>1848</v>
      </c>
      <c r="AK36">
        <v>0.40799999999999997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8">
        <v>72</v>
      </c>
      <c r="AT36" s="16">
        <f t="shared" si="0"/>
        <v>4.3798382350000002</v>
      </c>
      <c r="AU36" s="17">
        <f t="shared" si="1"/>
        <v>388.04582657216002</v>
      </c>
      <c r="AW36" s="9">
        <f t="shared" si="16"/>
        <v>7.9544000000000006</v>
      </c>
      <c r="AX36" s="10">
        <f t="shared" si="17"/>
        <v>427.63437106560002</v>
      </c>
      <c r="AZ36" s="11">
        <f t="shared" si="18"/>
        <v>-0.91448235000000011</v>
      </c>
      <c r="BA36" s="12">
        <f t="shared" si="19"/>
        <v>412.73577678079999</v>
      </c>
      <c r="BC36" s="14">
        <f t="shared" si="20"/>
        <v>0.74653199249999957</v>
      </c>
      <c r="BD36" s="15">
        <f t="shared" si="21"/>
        <v>286.62202084672003</v>
      </c>
      <c r="BF36" s="16">
        <f t="shared" si="8"/>
        <v>4.3798382350000002</v>
      </c>
      <c r="BG36" s="17">
        <f t="shared" si="9"/>
        <v>388.04582657216002</v>
      </c>
      <c r="BI36">
        <v>72</v>
      </c>
      <c r="BJ36" t="s">
        <v>63</v>
      </c>
      <c r="BK36" s="2">
        <v>46211.110138888886</v>
      </c>
      <c r="BL36" t="s">
        <v>22</v>
      </c>
      <c r="BM36" t="s">
        <v>13</v>
      </c>
      <c r="BN36">
        <v>0</v>
      </c>
      <c r="BO36">
        <v>2.7250000000000001</v>
      </c>
      <c r="BP36" s="3">
        <v>4860468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25">
      <c r="A37">
        <v>73</v>
      </c>
      <c r="B37" t="s">
        <v>64</v>
      </c>
      <c r="C37" s="2">
        <v>46211.131354166668</v>
      </c>
      <c r="D37" t="s">
        <v>65</v>
      </c>
      <c r="E37" t="s">
        <v>13</v>
      </c>
      <c r="F37">
        <v>0</v>
      </c>
      <c r="G37">
        <v>6.0579999999999998</v>
      </c>
      <c r="H37" s="3">
        <v>3753</v>
      </c>
      <c r="I37">
        <v>8.0000000000000002E-3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64</v>
      </c>
      <c r="Q37" s="2">
        <v>46211.131354166668</v>
      </c>
      <c r="R37" t="s">
        <v>65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64</v>
      </c>
      <c r="AE37" s="2">
        <v>46211.131354166668</v>
      </c>
      <c r="AF37" t="s">
        <v>65</v>
      </c>
      <c r="AG37" t="s">
        <v>13</v>
      </c>
      <c r="AH37">
        <v>0</v>
      </c>
      <c r="AI37">
        <v>12.308999999999999</v>
      </c>
      <c r="AJ37" s="3">
        <v>557</v>
      </c>
      <c r="AK37">
        <v>0.187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8">
        <v>73</v>
      </c>
      <c r="AT37" s="16">
        <f t="shared" si="0"/>
        <v>11.113253276574</v>
      </c>
      <c r="AU37" s="17">
        <f t="shared" si="1"/>
        <v>148.19600381171</v>
      </c>
      <c r="AW37" s="9">
        <f t="shared" si="16"/>
        <v>2.4428598600000004</v>
      </c>
      <c r="AX37" s="10">
        <f t="shared" si="17"/>
        <v>114.0464954311</v>
      </c>
      <c r="AZ37" s="11">
        <f t="shared" si="18"/>
        <v>6.1999264142600001</v>
      </c>
      <c r="BA37" s="12">
        <f t="shared" si="19"/>
        <v>148.2664471098</v>
      </c>
      <c r="BC37" s="14">
        <f t="shared" si="20"/>
        <v>9.918569981436999</v>
      </c>
      <c r="BD37" s="15">
        <f t="shared" si="21"/>
        <v>-7.1863239184299914</v>
      </c>
      <c r="BF37" s="16">
        <f t="shared" si="8"/>
        <v>11.113253276574</v>
      </c>
      <c r="BG37" s="17">
        <f t="shared" si="9"/>
        <v>148.19600381171</v>
      </c>
      <c r="BI37">
        <v>73</v>
      </c>
      <c r="BJ37" t="s">
        <v>64</v>
      </c>
      <c r="BK37" s="2">
        <v>46211.131354166668</v>
      </c>
      <c r="BL37" t="s">
        <v>65</v>
      </c>
      <c r="BM37" t="s">
        <v>13</v>
      </c>
      <c r="BN37">
        <v>0</v>
      </c>
      <c r="BO37">
        <v>2.7189999999999999</v>
      </c>
      <c r="BP37" s="3">
        <v>5124706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25">
      <c r="A38">
        <v>74</v>
      </c>
      <c r="B38" t="s">
        <v>66</v>
      </c>
      <c r="C38" s="2">
        <v>46211.152604166666</v>
      </c>
      <c r="D38" t="s">
        <v>67</v>
      </c>
      <c r="E38" t="s">
        <v>13</v>
      </c>
      <c r="F38">
        <v>0</v>
      </c>
      <c r="G38">
        <v>6.0529999999999999</v>
      </c>
      <c r="H38" s="3">
        <v>4790</v>
      </c>
      <c r="I38">
        <v>0.01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66</v>
      </c>
      <c r="Q38" s="2">
        <v>46211.152604166666</v>
      </c>
      <c r="R38" t="s">
        <v>67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66</v>
      </c>
      <c r="AE38" s="2">
        <v>46211.152604166666</v>
      </c>
      <c r="AF38" t="s">
        <v>67</v>
      </c>
      <c r="AG38" t="s">
        <v>13</v>
      </c>
      <c r="AH38">
        <v>0</v>
      </c>
      <c r="AI38">
        <v>12.222</v>
      </c>
      <c r="AJ38" s="3">
        <v>276</v>
      </c>
      <c r="AK38">
        <v>0.13900000000000001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8">
        <v>74</v>
      </c>
      <c r="AT38" s="16">
        <f t="shared" si="0"/>
        <v>13.781735612599999</v>
      </c>
      <c r="AU38" s="17">
        <f t="shared" si="1"/>
        <v>96.005926339040002</v>
      </c>
      <c r="AW38" s="9">
        <f t="shared" si="16"/>
        <v>2.2854640000000028</v>
      </c>
      <c r="AX38" s="10">
        <f t="shared" si="17"/>
        <v>45.589256126400002</v>
      </c>
      <c r="AZ38" s="11">
        <f t="shared" si="18"/>
        <v>9.2498958739999999</v>
      </c>
      <c r="BA38" s="12">
        <f t="shared" si="19"/>
        <v>90.675444675199998</v>
      </c>
      <c r="BC38" s="14">
        <f t="shared" si="20"/>
        <v>13.604644241299999</v>
      </c>
      <c r="BD38" s="15">
        <f t="shared" si="21"/>
        <v>-71.158537956320004</v>
      </c>
      <c r="BF38" s="16">
        <f t="shared" si="8"/>
        <v>13.781735612599999</v>
      </c>
      <c r="BG38" s="17">
        <f t="shared" si="9"/>
        <v>96.005926339040002</v>
      </c>
      <c r="BI38">
        <v>74</v>
      </c>
      <c r="BJ38" t="s">
        <v>66</v>
      </c>
      <c r="BK38" s="2">
        <v>46211.152604166666</v>
      </c>
      <c r="BL38" t="s">
        <v>67</v>
      </c>
      <c r="BM38" t="s">
        <v>13</v>
      </c>
      <c r="BN38">
        <v>0</v>
      </c>
      <c r="BO38">
        <v>2.7189999999999999</v>
      </c>
      <c r="BP38" s="3">
        <v>5122463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25">
      <c r="A39">
        <v>75</v>
      </c>
      <c r="B39" t="s">
        <v>68</v>
      </c>
      <c r="C39" s="2">
        <v>46211.17386574074</v>
      </c>
      <c r="D39" t="s">
        <v>69</v>
      </c>
      <c r="E39" t="s">
        <v>13</v>
      </c>
      <c r="F39">
        <v>0</v>
      </c>
      <c r="G39">
        <v>6.06</v>
      </c>
      <c r="H39" s="3">
        <v>4043</v>
      </c>
      <c r="I39">
        <v>8.0000000000000002E-3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68</v>
      </c>
      <c r="Q39" s="2">
        <v>46211.17386574074</v>
      </c>
      <c r="R39" t="s">
        <v>69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68</v>
      </c>
      <c r="AE39" s="2">
        <v>46211.17386574074</v>
      </c>
      <c r="AF39" t="s">
        <v>69</v>
      </c>
      <c r="AG39" t="s">
        <v>13</v>
      </c>
      <c r="AH39">
        <v>0</v>
      </c>
      <c r="AI39">
        <v>12.313000000000001</v>
      </c>
      <c r="AJ39" s="3">
        <v>262</v>
      </c>
      <c r="AK39">
        <v>0.13700000000000001</v>
      </c>
      <c r="AL39" t="s">
        <v>14</v>
      </c>
      <c r="AM39" t="s">
        <v>14</v>
      </c>
      <c r="AN39" t="s">
        <v>14</v>
      </c>
      <c r="AO39" t="s">
        <v>14</v>
      </c>
      <c r="AQ39">
        <v>1</v>
      </c>
      <c r="AS39" s="8">
        <v>75</v>
      </c>
      <c r="AT39" s="16">
        <f t="shared" si="0"/>
        <v>11.860306516814001</v>
      </c>
      <c r="AU39" s="17">
        <f t="shared" si="1"/>
        <v>93.405856768760003</v>
      </c>
      <c r="AW39" s="9">
        <f t="shared" si="16"/>
        <v>2.2818634600000021</v>
      </c>
      <c r="AX39" s="10">
        <f t="shared" si="17"/>
        <v>42.176691471600002</v>
      </c>
      <c r="AZ39" s="11">
        <f t="shared" si="18"/>
        <v>7.0404808118600002</v>
      </c>
      <c r="BA39" s="12">
        <f t="shared" si="19"/>
        <v>87.805895088799986</v>
      </c>
      <c r="BC39" s="14">
        <f t="shared" si="20"/>
        <v>10.947551295557</v>
      </c>
      <c r="BD39" s="15">
        <f t="shared" si="21"/>
        <v>-74.345968361079997</v>
      </c>
      <c r="BF39" s="16">
        <f t="shared" si="8"/>
        <v>11.860306516814001</v>
      </c>
      <c r="BG39" s="17">
        <f t="shared" si="9"/>
        <v>93.405856768760003</v>
      </c>
      <c r="BI39">
        <v>75</v>
      </c>
      <c r="BJ39" t="s">
        <v>68</v>
      </c>
      <c r="BK39" s="2">
        <v>46211.17386574074</v>
      </c>
      <c r="BL39" t="s">
        <v>69</v>
      </c>
      <c r="BM39" t="s">
        <v>13</v>
      </c>
      <c r="BN39">
        <v>0</v>
      </c>
      <c r="BO39">
        <v>2.7330000000000001</v>
      </c>
      <c r="BP39" s="3">
        <v>4892240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25">
      <c r="A40">
        <v>76</v>
      </c>
      <c r="B40" t="s">
        <v>70</v>
      </c>
      <c r="C40" s="2">
        <v>46211.195115740738</v>
      </c>
      <c r="D40" t="s">
        <v>71</v>
      </c>
      <c r="E40" t="s">
        <v>13</v>
      </c>
      <c r="F40">
        <v>0</v>
      </c>
      <c r="G40">
        <v>6.0670000000000002</v>
      </c>
      <c r="H40" s="3">
        <v>2996</v>
      </c>
      <c r="I40">
        <v>6.0000000000000001E-3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70</v>
      </c>
      <c r="Q40" s="2">
        <v>46211.195115740738</v>
      </c>
      <c r="R40" t="s">
        <v>71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70</v>
      </c>
      <c r="AE40" s="2">
        <v>46211.195115740738</v>
      </c>
      <c r="AF40" t="s">
        <v>71</v>
      </c>
      <c r="AG40" t="s">
        <v>13</v>
      </c>
      <c r="AH40">
        <v>0</v>
      </c>
      <c r="AI40">
        <v>12.324999999999999</v>
      </c>
      <c r="AJ40" s="3">
        <v>289</v>
      </c>
      <c r="AK40">
        <v>0.14199999999999999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8">
        <v>76</v>
      </c>
      <c r="AT40" s="16">
        <f t="shared" si="0"/>
        <v>9.1602430765760001</v>
      </c>
      <c r="AU40" s="17">
        <f t="shared" si="1"/>
        <v>98.420289216590007</v>
      </c>
      <c r="AW40" s="9">
        <f t="shared" si="16"/>
        <v>3.2911086400000009</v>
      </c>
      <c r="AX40" s="10">
        <f t="shared" si="17"/>
        <v>48.75790607190001</v>
      </c>
      <c r="AZ40" s="11">
        <f t="shared" si="18"/>
        <v>4.0510775542399999</v>
      </c>
      <c r="BA40" s="12">
        <f t="shared" si="19"/>
        <v>93.340005444199988</v>
      </c>
      <c r="BC40" s="14">
        <f t="shared" si="20"/>
        <v>7.2393053038879991</v>
      </c>
      <c r="BD40" s="15">
        <f t="shared" si="21"/>
        <v>-68.198798375469991</v>
      </c>
      <c r="BF40" s="16">
        <f t="shared" si="8"/>
        <v>9.1602430765760001</v>
      </c>
      <c r="BG40" s="17">
        <f t="shared" si="9"/>
        <v>98.420289216590007</v>
      </c>
      <c r="BI40">
        <v>76</v>
      </c>
      <c r="BJ40" t="s">
        <v>70</v>
      </c>
      <c r="BK40" s="2">
        <v>46211.195115740738</v>
      </c>
      <c r="BL40" t="s">
        <v>71</v>
      </c>
      <c r="BM40" t="s">
        <v>13</v>
      </c>
      <c r="BN40">
        <v>0</v>
      </c>
      <c r="BO40">
        <v>2.7330000000000001</v>
      </c>
      <c r="BP40" s="3">
        <v>4871967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2026-07-09T20:14:20Z</dcterms:modified>
</cp:coreProperties>
</file>