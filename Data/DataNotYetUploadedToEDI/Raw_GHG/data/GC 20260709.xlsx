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CE45A18F-283A-4F80-B4C8-C7EF3BA022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<sst xmlns="http://schemas.openxmlformats.org/spreadsheetml/2006/main" count="429" uniqueCount="48">
  <si>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</si>
  <si>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</si>
  <si>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</si>
  <si>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</si>
  <si>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</si>
  <si>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</si>
  <si>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</si>
  <si>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</si>
  <si>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</si>
  <si>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</si>
  <si>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</si>
  <si>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</si>
  <si>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</si>
  <si>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</si>
  <si>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</si>
  <si>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</si>
  <si>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</si>
  <si>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</si>
  <si>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</si>
  <si>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</si>
  <si>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</si>
  <si>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</si>
  <si>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</si>
  <si>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</si>
  <si>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</si>
  <si>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</si>
  <si>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</si>
  <si>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</si>
  <si>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</si>
  <si>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</si>
  <si>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</si>
  <si>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</si>
  <si>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</si>
  <si>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</si>
  <si>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</si>
  <si>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FMI20260709_001.gcd</t>
  </si>
  <si>
    <t>FMI20260709_002.gcd</t>
  </si>
  <si>
    <t>FMI20260709_003.gcd</t>
  </si>
  <si>
    <t>FMI20260709_004.gcd</t>
  </si>
  <si>
    <t>FMI20260709_005.gcd</t>
  </si>
  <si>
    <t>FMI20260709_006.gcd</t>
  </si>
  <si>
    <t>FMI20260709_007.gcd</t>
  </si>
  <si>
    <t>FMI20260709_008.gcd</t>
  </si>
  <si>
    <t>FMI20260709_009.gcd</t>
  </si>
  <si>
    <t>FMI20260709_010.gcd</t>
  </si>
  <si>
    <t>FMI20260709_011.gcd</t>
  </si>
  <si>
    <t>FMI20260709_012.gcd</t>
  </si>
  <si>
    <t>FMI20260709_013.gcd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</si>
</sst>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G1" workbookViewId="0">
      <selection activeCell="AR12" sqref="AR12"/>
    </sheetView>
  </sheetViews>
  <sheetFormatPr defaultRowHeight="15" x14ac:dyDescent="0.25"/>
  <cols>
    <col min="2" max="2" width="23.5703125" customWidth="1"/>
    <col min="3" max="3" width="17.85546875" customWidth="1"/>
    <col min="31" max="31" width="21.42578125" customWidth="1"/>
    <col min="43" max="43" width="9.7109375" customWidth="1"/>
    <col min="46" max="47" width="10.140625" customWidth="1"/>
    <col min="49" max="50" width="10.140625" customWidth="1"/>
    <col min="52" max="53" width="10.140625" customWidth="1"/>
    <col min="54" max="54" width="8.7109375" style="7"/>
    <col min="55" max="56" width="10.140625" customWidth="1"/>
    <col min="58" max="59" width="10.140625" customWidth="1"/>
  </cols>
  <sheetData>
    <row r="7" spans="1:73" x14ac:dyDescent="0.25">
      <c r="A7" t="s">
        <v>15</v>
      </c>
      <c r="O7" t="s">
        <v>16</v>
      </c>
      <c r="AC7" t="s">
        <v>17</v>
      </c>
      <c r="BI7" t="s">
        <v>21</v>
      </c>
    </row>
    <row r="8" spans="1:73" ht="135" x14ac:dyDescent="0.2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25">
      <c r="A9">
        <v>45</v>
      </c>
      <c r="B9" t="s">
        <v>35</v>
      </c>
      <c r="C9" s="2">
        <v>46212.691828703704</v>
      </c>
      <c r="D9" t="s">
        <v>31</v>
      </c>
      <c r="E9" t="s">
        <v>13</v>
      </c>
      <c r="F9">
        <v>0</v>
      </c>
      <c r="G9">
        <v>6.0789999999999997</v>
      </c>
      <c r="H9" s="3">
        <v>1423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46212.691828703704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46212.691828703704</v>
      </c>
      <c r="AF9" t="s">
        <v>31</v>
      </c>
      <c r="AG9" t="s">
        <v>13</v>
      </c>
      <c r="AH9">
        <v>0</v>
      </c>
      <c r="AI9">
        <v>12.334</v>
      </c>
      <c r="AJ9" s="3">
        <v>2234</v>
      </c>
      <c r="AK9">
        <v>0.47399999999999998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1" si="0">IF($H9&lt;10000,(($H9^2*-0.000000003714)+($H9*0.002605)+(1.389)),(IF($H9&lt;200000,(($H9^2*-0.0000000003764)+($H9*0.00218)+(3.158)),(IF($H9&lt;8000000,(($H9^2*-0.000000000004719)+($H9*0.001816)+(146.1)),(($V9^2*0.000000002578)+($V9*0.2173)+(2294)))))))</f>
        <v>5.088394413694</v>
      </c>
      <c r="AU9" s="17">
        <f t="shared" ref="AU9:AU21" si="1">IF($AJ9&lt;45000,((0.00000003579*$AJ9^2)+(0.1857*$AJ9)+(44.75)),((0.0000000022829*$AJ9^2)+(0.1634*$AJ9)+(1620)))</f>
        <v>459.78241915724004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7.0328666600000007</v>
      </c>
      <c r="AX9" s="10">
        <f t="shared" ref="AX9:AX14" si="3">IF(AJ9&lt;45000,((-0.0000004561*AJ9^2)+(0.244*AJ9)+(-21.72)),((-0.0000000409*AJ9^2)+(0.2477*AJ9)+(-1777)))</f>
        <v>521.09971618839995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-0.20467655694000042</v>
      </c>
      <c r="BA9" s="12">
        <f t="shared" ref="BA9:BA14" si="5">IF(AJ9&lt;45000,((-0.0000000598*AJ9^2)+(0.205*AJ9)+(34.1)),((-0.00000002403*AJ9^2)+(0.2063*AJ9)+(-550.7)))</f>
        <v>491.77155279120001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1.7030837219970003</v>
      </c>
      <c r="BD9" s="15">
        <f t="shared" ref="BD9:BD14" si="7">IF(AJ9&lt;45000,((-0.00000004907*AJ9^2)+(0.2277*AJ9)+(-134)),((-0.00000001062*AJ9^2)+(0.2147*AJ9)+(590.6)))</f>
        <v>374.43690360308</v>
      </c>
      <c r="BF9" s="16">
        <f t="shared" ref="BF9:BF21" si="8">IF($H9&lt;10000,(($H9^2*-0.000000003714)+($H9*0.002605)+(1.389)),(IF($H9&lt;200000,(($H9^2*-0.0000000003764)+($H9*0.00218)+(3.158)),(IF($H9&lt;8000000,(($H9^2*-0.000000000004719)+($H9*0.001816)+(146.1)),(($V9^2*0.000000002578)+($V9*0.2173)+(2294)))))))</f>
        <v>5.088394413694</v>
      </c>
      <c r="BG9" s="17">
        <f t="shared" ref="BG9:BG21" si="9">IF($AJ9&lt;45000,((0.00000003579*$AJ9^2)+(0.1857*$AJ9)+(44.75)),((0.0000000022829*$AJ9^2)+(0.1634*$AJ9)+(1620)))</f>
        <v>459.78241915724004</v>
      </c>
      <c r="BI9">
        <v>45</v>
      </c>
      <c r="BJ9" t="s">
        <v>35</v>
      </c>
      <c r="BK9" s="2">
        <v>46212.691828703704</v>
      </c>
      <c r="BL9" t="s">
        <v>31</v>
      </c>
      <c r="BM9" t="s">
        <v>13</v>
      </c>
      <c r="BN9">
        <v>0</v>
      </c>
      <c r="BO9">
        <v>2.7189999999999999</v>
      </c>
      <c r="BP9" s="3">
        <v>5012685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25">
      <c r="A10">
        <v>46</v>
      </c>
      <c r="B10" t="s">
        <v>36</v>
      </c>
      <c r="C10" s="2">
        <v>46212.713078703702</v>
      </c>
      <c r="D10" t="s">
        <v>32</v>
      </c>
      <c r="E10" t="s">
        <v>13</v>
      </c>
      <c r="F10">
        <v>0</v>
      </c>
      <c r="G10">
        <v>6.0350000000000001</v>
      </c>
      <c r="H10" s="3">
        <v>1017397</v>
      </c>
      <c r="I10">
        <v>2.069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46212.713078703702</v>
      </c>
      <c r="R10" t="s">
        <v>32</v>
      </c>
      <c r="S10" t="s">
        <v>13</v>
      </c>
      <c r="T10">
        <v>0</v>
      </c>
      <c r="U10">
        <v>5.9889999999999999</v>
      </c>
      <c r="V10" s="3">
        <v>10150</v>
      </c>
      <c r="W10">
        <v>2.4609999999999999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46212.713078703702</v>
      </c>
      <c r="AF10" t="s">
        <v>32</v>
      </c>
      <c r="AG10" t="s">
        <v>13</v>
      </c>
      <c r="AH10">
        <v>0</v>
      </c>
      <c r="AI10">
        <v>12.295</v>
      </c>
      <c r="AJ10" s="3">
        <v>10052</v>
      </c>
      <c r="AK10">
        <v>1.81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1988.8083308821811</v>
      </c>
      <c r="AU10" s="17">
        <f t="shared" si="1"/>
        <v>1915.0227183761601</v>
      </c>
      <c r="AW10" s="9">
        <f t="shared" si="2"/>
        <v>2108.5973822056726</v>
      </c>
      <c r="AX10" s="10">
        <f t="shared" si="3"/>
        <v>2384.8824227056002</v>
      </c>
      <c r="AZ10" s="11">
        <f t="shared" si="4"/>
        <v>2330.8641717352243</v>
      </c>
      <c r="BA10" s="12">
        <f t="shared" si="5"/>
        <v>2088.7176463008</v>
      </c>
      <c r="BC10" s="14">
        <f t="shared" si="6"/>
        <v>2259.2554801530496</v>
      </c>
      <c r="BD10" s="15">
        <f t="shared" si="7"/>
        <v>2149.88223451472</v>
      </c>
      <c r="BF10" s="16">
        <f t="shared" si="8"/>
        <v>1988.8083308821811</v>
      </c>
      <c r="BG10" s="17">
        <f t="shared" si="9"/>
        <v>1915.0227183761601</v>
      </c>
      <c r="BI10">
        <v>46</v>
      </c>
      <c r="BJ10" t="s">
        <v>36</v>
      </c>
      <c r="BK10" s="2">
        <v>46212.713078703702</v>
      </c>
      <c r="BL10" t="s">
        <v>32</v>
      </c>
      <c r="BM10" t="s">
        <v>13</v>
      </c>
      <c r="BN10">
        <v>0</v>
      </c>
      <c r="BO10">
        <v>2.7170000000000001</v>
      </c>
      <c r="BP10" s="3">
        <v>5076437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25">
      <c r="A11">
        <v>47</v>
      </c>
      <c r="B11" t="s">
        <v>37</v>
      </c>
      <c r="C11" s="2">
        <v>46212.734293981484</v>
      </c>
      <c r="D11" t="s">
        <v>26</v>
      </c>
      <c r="E11" t="s">
        <v>13</v>
      </c>
      <c r="F11">
        <v>0</v>
      </c>
      <c r="G11">
        <v>6.0590000000000002</v>
      </c>
      <c r="H11" s="3">
        <v>2346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46212.734293981484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46212.734293981484</v>
      </c>
      <c r="AF11" t="s">
        <v>26</v>
      </c>
      <c r="AG11" t="s">
        <v>13</v>
      </c>
      <c r="AH11">
        <v>0</v>
      </c>
      <c r="AI11">
        <v>12.316000000000001</v>
      </c>
      <c r="AJ11" s="3">
        <v>1900</v>
      </c>
      <c r="AK11">
        <v>0.41699999999999998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7.479889198776001</v>
      </c>
      <c r="AU11" s="17">
        <f t="shared" si="1"/>
        <v>397.70920189999998</v>
      </c>
      <c r="AW11" s="9">
        <f t="shared" si="2"/>
        <v>4.5133166400000011</v>
      </c>
      <c r="AX11" s="10">
        <f t="shared" si="3"/>
        <v>440.23347899999999</v>
      </c>
      <c r="AZ11" s="11">
        <f t="shared" si="4"/>
        <v>2.2582203322399996</v>
      </c>
      <c r="BA11" s="12">
        <f t="shared" si="5"/>
        <v>423.38412200000005</v>
      </c>
      <c r="BC11" s="14">
        <f t="shared" si="6"/>
        <v>4.9465150599879983</v>
      </c>
      <c r="BD11" s="15">
        <f t="shared" si="7"/>
        <v>298.45285730000006</v>
      </c>
      <c r="BF11" s="16">
        <f t="shared" si="8"/>
        <v>7.479889198776001</v>
      </c>
      <c r="BG11" s="17">
        <f t="shared" si="9"/>
        <v>397.70920189999998</v>
      </c>
      <c r="BI11">
        <v>47</v>
      </c>
      <c r="BJ11" t="s">
        <v>37</v>
      </c>
      <c r="BK11" s="2">
        <v>46212.734293981484</v>
      </c>
      <c r="BL11" t="s">
        <v>26</v>
      </c>
      <c r="BM11" t="s">
        <v>13</v>
      </c>
      <c r="BN11">
        <v>0</v>
      </c>
      <c r="BO11">
        <v>2.718</v>
      </c>
      <c r="BP11" s="3">
        <v>5098403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25">
      <c r="A12">
        <v>48</v>
      </c>
      <c r="B12" t="s">
        <v>38</v>
      </c>
      <c r="C12" s="2">
        <v>46212.755520833336</v>
      </c>
      <c r="D12">
        <v>357</v>
      </c>
      <c r="E12" t="s">
        <v>13</v>
      </c>
      <c r="F12">
        <v>0</v>
      </c>
      <c r="G12">
        <v>6.0430000000000001</v>
      </c>
      <c r="H12" s="3">
        <v>8800</v>
      </c>
      <c r="I12">
        <v>1.7999999999999999E-2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46212.755520833336</v>
      </c>
      <c r="R12">
        <v>357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46212.755520833336</v>
      </c>
      <c r="AF12">
        <v>357</v>
      </c>
      <c r="AG12" t="s">
        <v>13</v>
      </c>
      <c r="AH12">
        <v>0</v>
      </c>
      <c r="AI12">
        <v>12.268000000000001</v>
      </c>
      <c r="AJ12" s="3">
        <v>13889</v>
      </c>
      <c r="AK12">
        <v>2.4649999999999999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24.02538784</v>
      </c>
      <c r="AU12" s="17">
        <f t="shared" si="1"/>
        <v>2630.84134564859</v>
      </c>
      <c r="AW12" s="9">
        <f t="shared" si="2"/>
        <v>12.605599999999997</v>
      </c>
      <c r="AX12" s="10">
        <f t="shared" si="3"/>
        <v>3279.2123391918999</v>
      </c>
      <c r="AZ12" s="11">
        <f t="shared" si="4"/>
        <v>22.200321599999999</v>
      </c>
      <c r="BA12" s="12">
        <f t="shared" si="5"/>
        <v>2869.8093216041998</v>
      </c>
      <c r="BC12" s="14">
        <f t="shared" si="6"/>
        <v>28.030297920000002</v>
      </c>
      <c r="BD12" s="15">
        <f t="shared" si="7"/>
        <v>3019.0594849685303</v>
      </c>
      <c r="BF12" s="16">
        <f t="shared" si="8"/>
        <v>24.02538784</v>
      </c>
      <c r="BG12" s="17">
        <f t="shared" si="9"/>
        <v>2630.84134564859</v>
      </c>
      <c r="BI12">
        <v>48</v>
      </c>
      <c r="BJ12" t="s">
        <v>38</v>
      </c>
      <c r="BK12" s="2">
        <v>46212.755520833336</v>
      </c>
      <c r="BL12">
        <v>357</v>
      </c>
      <c r="BM12" t="s">
        <v>13</v>
      </c>
      <c r="BN12">
        <v>0</v>
      </c>
      <c r="BO12">
        <v>2.8809999999999998</v>
      </c>
      <c r="BP12" s="3">
        <v>696327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25">
      <c r="A13">
        <v>49</v>
      </c>
      <c r="B13" t="s">
        <v>39</v>
      </c>
      <c r="C13" s="2">
        <v>46212.776736111111</v>
      </c>
      <c r="D13">
        <v>91</v>
      </c>
      <c r="E13" t="s">
        <v>13</v>
      </c>
      <c r="F13">
        <v>0</v>
      </c>
      <c r="G13">
        <v>6.0419999999999998</v>
      </c>
      <c r="H13" s="3">
        <v>17921</v>
      </c>
      <c r="I13">
        <v>3.5999999999999997E-2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46212.776736111111</v>
      </c>
      <c r="R13">
        <v>91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46212.776736111111</v>
      </c>
      <c r="AF13">
        <v>91</v>
      </c>
      <c r="AG13" t="s">
        <v>13</v>
      </c>
      <c r="AH13">
        <v>0</v>
      </c>
      <c r="AI13">
        <v>12.289</v>
      </c>
      <c r="AJ13" s="3">
        <v>2713</v>
      </c>
      <c r="AK13">
        <v>0.55600000000000005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42.104894532487599</v>
      </c>
      <c r="AU13" s="17">
        <f t="shared" si="1"/>
        <v>548.81752760651</v>
      </c>
      <c r="AW13" s="9">
        <f t="shared" si="2"/>
        <v>43.607130145942996</v>
      </c>
      <c r="AX13" s="10">
        <f t="shared" si="3"/>
        <v>636.89493569909996</v>
      </c>
      <c r="AZ13" s="11">
        <f t="shared" si="4"/>
        <v>47.539227344799201</v>
      </c>
      <c r="BA13" s="12">
        <f t="shared" si="5"/>
        <v>589.82484993380001</v>
      </c>
      <c r="BC13" s="14">
        <f t="shared" si="6"/>
        <v>51.158656330616999</v>
      </c>
      <c r="BD13" s="15">
        <f t="shared" si="7"/>
        <v>483.38892669317011</v>
      </c>
      <c r="BF13" s="16">
        <f t="shared" si="8"/>
        <v>42.104894532487599</v>
      </c>
      <c r="BG13" s="17">
        <f t="shared" si="9"/>
        <v>548.81752760651</v>
      </c>
      <c r="BI13">
        <v>49</v>
      </c>
      <c r="BJ13" t="s">
        <v>39</v>
      </c>
      <c r="BK13" s="2">
        <v>46212.776736111111</v>
      </c>
      <c r="BL13">
        <v>91</v>
      </c>
      <c r="BM13" t="s">
        <v>13</v>
      </c>
      <c r="BN13">
        <v>0</v>
      </c>
      <c r="BO13">
        <v>2.875</v>
      </c>
      <c r="BP13" s="3">
        <v>821475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25">
      <c r="A14">
        <v>50</v>
      </c>
      <c r="B14" t="s">
        <v>40</v>
      </c>
      <c r="C14" s="2">
        <v>46212.797962962963</v>
      </c>
      <c r="D14">
        <v>262</v>
      </c>
      <c r="E14" t="s">
        <v>13</v>
      </c>
      <c r="F14">
        <v>0</v>
      </c>
      <c r="G14">
        <v>6.048</v>
      </c>
      <c r="H14" s="3">
        <v>6642</v>
      </c>
      <c r="I14">
        <v>1.4E-2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46212.797962962963</v>
      </c>
      <c r="R14">
        <v>262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46212.797962962963</v>
      </c>
      <c r="AF14">
        <v>262</v>
      </c>
      <c r="AG14" t="s">
        <v>13</v>
      </c>
      <c r="AH14">
        <v>0</v>
      </c>
      <c r="AI14">
        <v>12.234</v>
      </c>
      <c r="AJ14" s="3">
        <v>49388</v>
      </c>
      <c r="AK14">
        <v>8.5289999999999999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18.527562566904002</v>
      </c>
      <c r="AU14" s="17">
        <f t="shared" si="1"/>
        <v>9695.5675915664979</v>
      </c>
      <c r="AW14" s="9">
        <f t="shared" si="2"/>
        <v>4.8935985600000027</v>
      </c>
      <c r="AX14" s="10">
        <f t="shared" si="3"/>
        <v>10356.6453611504</v>
      </c>
      <c r="AZ14" s="11">
        <f t="shared" si="4"/>
        <v>15.002623610959997</v>
      </c>
      <c r="BA14" s="12">
        <f t="shared" si="5"/>
        <v>9579.4310357076811</v>
      </c>
      <c r="BC14" s="14">
        <f t="shared" si="6"/>
        <v>20.233122580851997</v>
      </c>
      <c r="BD14" s="15">
        <f t="shared" si="7"/>
        <v>11168.299566342721</v>
      </c>
      <c r="BF14" s="16">
        <f t="shared" si="8"/>
        <v>18.527562566904002</v>
      </c>
      <c r="BG14" s="17">
        <f t="shared" si="9"/>
        <v>9695.5675915664979</v>
      </c>
      <c r="BI14">
        <v>50</v>
      </c>
      <c r="BJ14" t="s">
        <v>40</v>
      </c>
      <c r="BK14" s="2">
        <v>46212.797962962963</v>
      </c>
      <c r="BL14">
        <v>262</v>
      </c>
      <c r="BM14" t="s">
        <v>13</v>
      </c>
      <c r="BN14">
        <v>0</v>
      </c>
      <c r="BO14">
        <v>2.875</v>
      </c>
      <c r="BP14" s="3">
        <v>825911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25">
      <c r="A15">
        <v>51</v>
      </c>
      <c r="B15" t="s">
        <v>41</v>
      </c>
      <c r="C15" s="2">
        <v>46212.819224537037</v>
      </c>
      <c r="D15">
        <v>103</v>
      </c>
      <c r="E15" t="s">
        <v>13</v>
      </c>
      <c r="F15">
        <v>0</v>
      </c>
      <c r="G15">
        <v>6.0549999999999997</v>
      </c>
      <c r="H15" s="3">
        <v>5537</v>
      </c>
      <c r="I15">
        <v>1.0999999999999999E-2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46212.819224537037</v>
      </c>
      <c r="R15">
        <v>103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46212.819224537037</v>
      </c>
      <c r="AF15">
        <v>103</v>
      </c>
      <c r="AG15" t="s">
        <v>13</v>
      </c>
      <c r="AH15">
        <v>0</v>
      </c>
      <c r="AI15">
        <v>12.233000000000001</v>
      </c>
      <c r="AJ15" s="3">
        <v>63068</v>
      </c>
      <c r="AK15">
        <v>10.865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15.699019817533999</v>
      </c>
      <c r="AU15" s="17">
        <f t="shared" si="1"/>
        <v>11934.391600543329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2.8917142599999988</v>
      </c>
      <c r="AX15" s="10">
        <f t="shared" ref="AX15:AX16" si="11">IF(AJ15&lt;45000,((-0.0000004561*AJ15^2)+(0.244*AJ15)+(-21.72)),((-0.0000000409*AJ15^2)+(0.2477*AJ15)+(-1777)))</f>
        <v>13682.260879678401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11.523080204659999</v>
      </c>
      <c r="BA15" s="12">
        <f t="shared" ref="BA15:BA16" si="13">IF(AJ15&lt;45000,((-0.0000000598*AJ15^2)+(0.205*AJ15)+(34.1)),((-0.00000002403*AJ15^2)+(0.2063*AJ15)+(-550.7)))</f>
        <v>12364.64732984528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16.271215527917001</v>
      </c>
      <c r="BD15" s="15">
        <f t="shared" ref="BD15:BD16" si="15">IF(AJ15&lt;45000,((-0.00000004907*AJ15^2)+(0.2277*AJ15)+(-134)),((-0.00000001062*AJ15^2)+(0.2147*AJ15)+(590.6)))</f>
        <v>14089.05777873312</v>
      </c>
      <c r="BF15" s="16">
        <f t="shared" si="8"/>
        <v>15.699019817533999</v>
      </c>
      <c r="BG15" s="17">
        <f t="shared" si="9"/>
        <v>11934.391600543329</v>
      </c>
      <c r="BI15">
        <v>51</v>
      </c>
      <c r="BJ15" t="s">
        <v>41</v>
      </c>
      <c r="BK15" s="2">
        <v>46212.819224537037</v>
      </c>
      <c r="BL15">
        <v>103</v>
      </c>
      <c r="BM15" t="s">
        <v>13</v>
      </c>
      <c r="BN15">
        <v>0</v>
      </c>
      <c r="BO15">
        <v>2.883</v>
      </c>
      <c r="BP15" s="3">
        <v>790130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25">
      <c r="A16">
        <v>52</v>
      </c>
      <c r="B16" t="s">
        <v>42</v>
      </c>
      <c r="C16" s="2">
        <v>46212.840439814812</v>
      </c>
      <c r="D16">
        <v>339</v>
      </c>
      <c r="E16" t="s">
        <v>13</v>
      </c>
      <c r="F16">
        <v>0</v>
      </c>
      <c r="G16">
        <v>6.0510000000000002</v>
      </c>
      <c r="H16" s="3">
        <v>9377</v>
      </c>
      <c r="I16">
        <v>1.9E-2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46212.840439814812</v>
      </c>
      <c r="R16">
        <v>339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46212.840439814812</v>
      </c>
      <c r="AF16">
        <v>339</v>
      </c>
      <c r="AG16" t="s">
        <v>13</v>
      </c>
      <c r="AH16">
        <v>0</v>
      </c>
      <c r="AI16">
        <v>12.289</v>
      </c>
      <c r="AJ16" s="3">
        <v>14440</v>
      </c>
      <c r="AK16">
        <v>2.5590000000000002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25.489519928894001</v>
      </c>
      <c r="AU16" s="17">
        <f t="shared" si="1"/>
        <v>2733.7207017440001</v>
      </c>
      <c r="AW16" s="9">
        <f t="shared" si="10"/>
        <v>15.519784660000001</v>
      </c>
      <c r="AX16" s="10">
        <f t="shared" si="11"/>
        <v>3406.5369470400005</v>
      </c>
      <c r="AZ16" s="11">
        <f t="shared" si="12"/>
        <v>24.214994291059998</v>
      </c>
      <c r="BA16" s="12">
        <f t="shared" si="13"/>
        <v>2981.8308867199999</v>
      </c>
      <c r="BC16" s="14">
        <f t="shared" si="14"/>
        <v>30.128487599597001</v>
      </c>
      <c r="BD16" s="15">
        <f t="shared" si="15"/>
        <v>3143.7562376480005</v>
      </c>
      <c r="BF16" s="16">
        <f t="shared" si="8"/>
        <v>25.489519928894001</v>
      </c>
      <c r="BG16" s="17">
        <f t="shared" si="9"/>
        <v>2733.7207017440001</v>
      </c>
      <c r="BI16">
        <v>52</v>
      </c>
      <c r="BJ16" t="s">
        <v>42</v>
      </c>
      <c r="BK16" s="2">
        <v>46212.840439814812</v>
      </c>
      <c r="BL16">
        <v>339</v>
      </c>
      <c r="BM16" t="s">
        <v>13</v>
      </c>
      <c r="BN16">
        <v>0</v>
      </c>
      <c r="BO16">
        <v>2.8820000000000001</v>
      </c>
      <c r="BP16" s="3">
        <v>810252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25">
      <c r="A17">
        <v>53</v>
      </c>
      <c r="B17" t="s">
        <v>43</v>
      </c>
      <c r="C17" s="2">
        <v>46212.861643518518</v>
      </c>
      <c r="D17">
        <v>312</v>
      </c>
      <c r="E17" t="s">
        <v>13</v>
      </c>
      <c r="F17">
        <v>0</v>
      </c>
      <c r="G17">
        <v>6.048</v>
      </c>
      <c r="H17" s="3">
        <v>6193</v>
      </c>
      <c r="I17">
        <v>1.2999999999999999E-2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46212.861643518518</v>
      </c>
      <c r="R17">
        <v>312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46212.861643518518</v>
      </c>
      <c r="AF17">
        <v>312</v>
      </c>
      <c r="AG17" t="s">
        <v>13</v>
      </c>
      <c r="AH17">
        <v>0</v>
      </c>
      <c r="AI17">
        <v>12.226000000000001</v>
      </c>
      <c r="AJ17" s="3">
        <v>61778</v>
      </c>
      <c r="AK17">
        <v>10.644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17.379321033213998</v>
      </c>
      <c r="AU17" s="17">
        <f t="shared" si="1"/>
        <v>11723.237936439244</v>
      </c>
      <c r="AW17" s="9">
        <f t="shared" ref="AW17:AW21" si="16">IF(H17&lt;10000,((H17^2*0.00000054)+(H17*-0.004765)+(12.72)),(IF(H17&lt;200000,((H17^2*-0.000000001577)+(H17*0.003043)+(-10.42)),(IF(H17&lt;8000000,((H17^2*-0.0000000000186)+(H17*0.00194)+(154.1)),((V17^2*-0.00000002)+(V17*0.2565)+(-1032)))))))</f>
        <v>3.9211094599999985</v>
      </c>
      <c r="AX17" s="10">
        <f t="shared" ref="AX17:AX21" si="17">IF(AJ17&lt;45000,((-0.0000004561*AJ17^2)+(0.244*AJ17)+(-21.72)),((-0.0000000409*AJ17^2)+(0.2477*AJ17)+(-1777)))</f>
        <v>13369.314879484402</v>
      </c>
      <c r="AZ17" s="11">
        <f t="shared" ref="AZ17:AZ21" si="18">IF(H17&lt;10000,((H17^2*0.00000005714)+(H17*0.002453)+(-3.811)),(IF(H17&lt;200000,((H17^2*-0.0000000002888)+(H17*0.002899)+(-4.321)),(IF(H17&lt;8000000,((H17^2*-0.0000000000062)+(H17*0.002143)+(157)),((V17^2*-0.000000031)+(V17*0.2771)+(-709.5)))))))</f>
        <v>13.57193364786</v>
      </c>
      <c r="BA17" s="12">
        <f t="shared" ref="BA17:BA21" si="19">IF(AJ17&lt;45000,((-0.0000000598*AJ17^2)+(0.205*AJ17)+(34.1)),((-0.00000002403*AJ17^2)+(0.2063*AJ17)+(-550.7)))</f>
        <v>12102.39039354548</v>
      </c>
      <c r="BC17" s="14">
        <f t="shared" ref="BC17:BC21" si="20">IF(H17&lt;10000,((H17^2*0.000000008493)+(H17*0.003482)+(-3.269)),(IF(H17&lt;200000,((H17^2*-0.000000000263)+(H17*0.002682)+(3.179)),(IF(H17&lt;8000000,((H17^2*-0.000000000005099)+(H17*0.002054)+(174.8)),((V17^2*-0.00000001014)+(V17*0.2415)+(1123)))))))</f>
        <v>18.620760143756996</v>
      </c>
      <c r="BD17" s="15">
        <f t="shared" ref="BD17:BD21" si="21">IF(AJ17&lt;45000,((-0.00000004907*AJ17^2)+(0.2277*AJ17)+(-134)),((-0.00000001062*AJ17^2)+(0.2147*AJ17)+(590.6)))</f>
        <v>13813.80514396392</v>
      </c>
      <c r="BF17" s="16">
        <f t="shared" si="8"/>
        <v>17.379321033213998</v>
      </c>
      <c r="BG17" s="17">
        <f t="shared" si="9"/>
        <v>11723.237936439244</v>
      </c>
      <c r="BI17">
        <v>53</v>
      </c>
      <c r="BJ17" t="s">
        <v>43</v>
      </c>
      <c r="BK17" s="2">
        <v>46212.861643518518</v>
      </c>
      <c r="BL17">
        <v>312</v>
      </c>
      <c r="BM17" t="s">
        <v>13</v>
      </c>
      <c r="BN17">
        <v>0</v>
      </c>
      <c r="BO17">
        <v>2.8690000000000002</v>
      </c>
      <c r="BP17" s="3">
        <v>939833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25">
      <c r="A18">
        <v>54</v>
      </c>
      <c r="B18" t="s">
        <v>44</v>
      </c>
      <c r="C18" s="2">
        <v>46212.882916666669</v>
      </c>
      <c r="D18">
        <v>416</v>
      </c>
      <c r="E18" t="s">
        <v>13</v>
      </c>
      <c r="F18">
        <v>0</v>
      </c>
      <c r="G18">
        <v>6.048</v>
      </c>
      <c r="H18" s="3">
        <v>6883</v>
      </c>
      <c r="I18">
        <v>1.4E-2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46212.882916666669</v>
      </c>
      <c r="R18">
        <v>416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46212.882916666669</v>
      </c>
      <c r="AF18">
        <v>416</v>
      </c>
      <c r="AG18" t="s">
        <v>13</v>
      </c>
      <c r="AH18">
        <v>0</v>
      </c>
      <c r="AI18">
        <v>12.238</v>
      </c>
      <c r="AJ18" s="3">
        <v>50859</v>
      </c>
      <c r="AK18">
        <v>8.7799999999999994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19.143261691054001</v>
      </c>
      <c r="AU18" s="17">
        <f t="shared" si="1"/>
        <v>9936.2656356185344</v>
      </c>
      <c r="AW18" s="9">
        <f t="shared" si="16"/>
        <v>5.5053770600000025</v>
      </c>
      <c r="AX18" s="10">
        <f t="shared" si="17"/>
        <v>10714.980810667101</v>
      </c>
      <c r="AZ18" s="11">
        <f t="shared" si="18"/>
        <v>15.78004586946</v>
      </c>
      <c r="BA18" s="12">
        <f t="shared" si="19"/>
        <v>9879.3547917195683</v>
      </c>
      <c r="BC18" s="14">
        <f t="shared" si="20"/>
        <v>21.099967726677001</v>
      </c>
      <c r="BD18" s="15">
        <f t="shared" si="21"/>
        <v>11482.557205703779</v>
      </c>
      <c r="BF18" s="16">
        <f t="shared" si="8"/>
        <v>19.143261691054001</v>
      </c>
      <c r="BG18" s="17">
        <f t="shared" si="9"/>
        <v>9936.2656356185344</v>
      </c>
      <c r="BI18">
        <v>54</v>
      </c>
      <c r="BJ18" t="s">
        <v>44</v>
      </c>
      <c r="BK18" s="2">
        <v>46212.882916666669</v>
      </c>
      <c r="BL18">
        <v>416</v>
      </c>
      <c r="BM18" t="s">
        <v>13</v>
      </c>
      <c r="BN18">
        <v>0</v>
      </c>
      <c r="BO18">
        <v>2.8260000000000001</v>
      </c>
      <c r="BP18" s="3">
        <v>1836763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25">
      <c r="A19">
        <v>55</v>
      </c>
      <c r="B19" t="s">
        <v>45</v>
      </c>
      <c r="C19" s="2">
        <v>46212.904143518521</v>
      </c>
      <c r="D19">
        <v>306</v>
      </c>
      <c r="E19" t="s">
        <v>13</v>
      </c>
      <c r="F19">
        <v>0</v>
      </c>
      <c r="G19">
        <v>6.0439999999999996</v>
      </c>
      <c r="H19" s="3">
        <v>20209</v>
      </c>
      <c r="I19">
        <v>4.1000000000000002E-2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46212.904143518521</v>
      </c>
      <c r="R19">
        <v>306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46212.904143518521</v>
      </c>
      <c r="AF19">
        <v>306</v>
      </c>
      <c r="AG19" t="s">
        <v>13</v>
      </c>
      <c r="AH19">
        <v>0</v>
      </c>
      <c r="AI19">
        <v>12.298999999999999</v>
      </c>
      <c r="AJ19" s="3">
        <v>2476</v>
      </c>
      <c r="AK19">
        <v>0.51500000000000001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47.059896854471603</v>
      </c>
      <c r="AU19" s="17">
        <f t="shared" si="1"/>
        <v>504.76261331504003</v>
      </c>
      <c r="AW19" s="9">
        <f t="shared" si="16"/>
        <v>50.431934395062996</v>
      </c>
      <c r="AX19" s="10">
        <f t="shared" si="17"/>
        <v>579.62784428639998</v>
      </c>
      <c r="AZ19" s="11">
        <f t="shared" si="18"/>
        <v>54.146944016927208</v>
      </c>
      <c r="BA19" s="12">
        <f t="shared" si="19"/>
        <v>541.31339155519993</v>
      </c>
      <c r="BC19" s="14">
        <f t="shared" si="20"/>
        <v>57.272127831897002</v>
      </c>
      <c r="BD19" s="15">
        <f t="shared" si="21"/>
        <v>429.48437263568007</v>
      </c>
      <c r="BF19" s="16">
        <f t="shared" si="8"/>
        <v>47.059896854471603</v>
      </c>
      <c r="BG19" s="17">
        <f t="shared" si="9"/>
        <v>504.76261331504003</v>
      </c>
      <c r="BI19">
        <v>55</v>
      </c>
      <c r="BJ19" t="s">
        <v>45</v>
      </c>
      <c r="BK19" s="2">
        <v>46212.904143518521</v>
      </c>
      <c r="BL19">
        <v>306</v>
      </c>
      <c r="BM19" t="s">
        <v>13</v>
      </c>
      <c r="BN19">
        <v>0</v>
      </c>
      <c r="BO19">
        <v>2.8660000000000001</v>
      </c>
      <c r="BP19" s="3">
        <v>992592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25">
      <c r="A20">
        <v>56</v>
      </c>
      <c r="B20" t="s">
        <v>46</v>
      </c>
      <c r="C20" s="2">
        <v>46212.925370370373</v>
      </c>
      <c r="D20">
        <v>204</v>
      </c>
      <c r="E20" t="s">
        <v>13</v>
      </c>
      <c r="F20">
        <v>0</v>
      </c>
      <c r="G20">
        <v>6.0439999999999996</v>
      </c>
      <c r="H20" s="3">
        <v>20818</v>
      </c>
      <c r="I20">
        <v>4.2000000000000003E-2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46212.925370370373</v>
      </c>
      <c r="R20">
        <v>204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46212.925370370373</v>
      </c>
      <c r="AF20">
        <v>204</v>
      </c>
      <c r="AG20" t="s">
        <v>13</v>
      </c>
      <c r="AH20">
        <v>0</v>
      </c>
      <c r="AI20">
        <v>12.273999999999999</v>
      </c>
      <c r="AJ20" s="3">
        <v>3024</v>
      </c>
      <c r="AK20">
        <v>0.60899999999999999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48.378112333726399</v>
      </c>
      <c r="AU20" s="17">
        <f t="shared" si="1"/>
        <v>606.63408437504006</v>
      </c>
      <c r="AW20" s="9">
        <f t="shared" si="16"/>
        <v>52.245719351452003</v>
      </c>
      <c r="AX20" s="10">
        <f t="shared" si="17"/>
        <v>711.96515888639999</v>
      </c>
      <c r="AZ20" s="11">
        <f t="shared" si="18"/>
        <v>55.905219220988805</v>
      </c>
      <c r="BA20" s="12">
        <f t="shared" si="19"/>
        <v>653.47315435519999</v>
      </c>
      <c r="BC20" s="14">
        <f t="shared" si="20"/>
        <v>58.898894660387995</v>
      </c>
      <c r="BD20" s="15">
        <f t="shared" si="21"/>
        <v>554.11607565567999</v>
      </c>
      <c r="BF20" s="16">
        <f t="shared" si="8"/>
        <v>48.378112333726399</v>
      </c>
      <c r="BG20" s="17">
        <f t="shared" si="9"/>
        <v>606.63408437504006</v>
      </c>
      <c r="BI20">
        <v>56</v>
      </c>
      <c r="BJ20" t="s">
        <v>46</v>
      </c>
      <c r="BK20" s="2">
        <v>46212.925370370373</v>
      </c>
      <c r="BL20">
        <v>204</v>
      </c>
      <c r="BM20" t="s">
        <v>13</v>
      </c>
      <c r="BN20">
        <v>0</v>
      </c>
      <c r="BO20">
        <v>2.8690000000000002</v>
      </c>
      <c r="BP20" s="3">
        <v>940768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25">
      <c r="A21">
        <v>57</v>
      </c>
      <c r="B21" t="s">
        <v>47</v>
      </c>
      <c r="C21" s="2">
        <v>46212.946608796294</v>
      </c>
      <c r="D21">
        <v>301</v>
      </c>
      <c r="E21" t="s">
        <v>13</v>
      </c>
      <c r="F21">
        <v>0</v>
      </c>
      <c r="G21">
        <v>6.0439999999999996</v>
      </c>
      <c r="H21" s="3">
        <v>20569</v>
      </c>
      <c r="I21">
        <v>4.2000000000000003E-2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46212.946608796294</v>
      </c>
      <c r="R21">
        <v>301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46212.946608796294</v>
      </c>
      <c r="AF21">
        <v>301</v>
      </c>
      <c r="AG21" t="s">
        <v>13</v>
      </c>
      <c r="AH21">
        <v>0</v>
      </c>
      <c r="AI21">
        <v>12.297000000000001</v>
      </c>
      <c r="AJ21" s="3">
        <v>3147</v>
      </c>
      <c r="AK21">
        <v>0.63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47.8391712723596</v>
      </c>
      <c r="AU21" s="17">
        <f t="shared" si="1"/>
        <v>629.50235016611009</v>
      </c>
      <c r="AW21" s="9">
        <f t="shared" si="16"/>
        <v>51.504263908902999</v>
      </c>
      <c r="AX21" s="10">
        <f t="shared" si="17"/>
        <v>741.63096393509989</v>
      </c>
      <c r="AZ21" s="11">
        <f t="shared" si="18"/>
        <v>55.186344409823199</v>
      </c>
      <c r="BA21" s="12">
        <f t="shared" si="19"/>
        <v>678.64276418179998</v>
      </c>
      <c r="BC21" s="14">
        <f t="shared" si="20"/>
        <v>58.233786970857004</v>
      </c>
      <c r="BD21" s="15">
        <f t="shared" si="21"/>
        <v>582.08592990636998</v>
      </c>
      <c r="BF21" s="16">
        <f t="shared" si="8"/>
        <v>47.8391712723596</v>
      </c>
      <c r="BG21" s="17">
        <f t="shared" si="9"/>
        <v>629.50235016611009</v>
      </c>
      <c r="BI21">
        <v>57</v>
      </c>
      <c r="BJ21" t="s">
        <v>47</v>
      </c>
      <c r="BK21" s="2">
        <v>46212.946608796294</v>
      </c>
      <c r="BL21">
        <v>301</v>
      </c>
      <c r="BM21" t="s">
        <v>13</v>
      </c>
      <c r="BN21">
        <v>0</v>
      </c>
      <c r="BO21">
        <v>2.875</v>
      </c>
      <c r="BP21" s="3">
        <v>827211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25">
      <c r="C22" s="2"/>
      <c r="H22" s="3"/>
      <c r="Q22" s="2"/>
      <c r="V22" s="3"/>
      <c r="AE22" s="2"/>
      <c r="AS22" s="8"/>
      <c r="AT22" s="14"/>
      <c r="AU22" s="15"/>
      <c r="AW22" s="9"/>
      <c r="AX22" s="10"/>
      <c r="AZ22" s="11"/>
      <c r="BA22" s="12"/>
      <c r="BC22" s="14"/>
      <c r="BD22" s="15"/>
      <c r="BF22" s="14"/>
      <c r="BG22" s="15"/>
      <c r="BK22" s="2"/>
      <c r="BP22" s="3"/>
    </row>
    <row r="23" spans="1:73" x14ac:dyDescent="0.25">
      <c r="C23" s="2"/>
      <c r="H23" s="3"/>
      <c r="Q23" s="2"/>
      <c r="AE23" s="2"/>
      <c r="AJ23" s="3"/>
      <c r="AS23" s="8"/>
      <c r="AT23" s="14"/>
      <c r="AU23" s="15"/>
      <c r="AW23" s="9"/>
      <c r="AX23" s="10"/>
      <c r="AZ23" s="11"/>
      <c r="BA23" s="12"/>
      <c r="BC23" s="14"/>
      <c r="BD23" s="15"/>
      <c r="BF23" s="14"/>
      <c r="BG23" s="15"/>
      <c r="BK23" s="2"/>
      <c r="BP23" s="3"/>
    </row>
    <row r="24" spans="1:73" x14ac:dyDescent="0.2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2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2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2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2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2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2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2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2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2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2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2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2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2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2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2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2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2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2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2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2026-07-10T15:36:39Z</dcterms:modified>
</cp:coreProperties>
</file>