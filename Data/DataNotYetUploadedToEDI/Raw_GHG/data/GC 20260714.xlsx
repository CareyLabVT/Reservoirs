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A3A572AE-B2EE-4ECF-B199-93CC6D4F45C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<sst xmlns="http://schemas.openxmlformats.org/spreadsheetml/2006/main" count="788" uniqueCount="63">
  <si>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</si>
  <si>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</si>
  <si>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</si>
  <si>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</si>
  <si>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</si>
  <si>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</si>
  <si>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</si>
  <si>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</si>
  <si>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</si>
  <si>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</si>
  <si>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</si>
  <si>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</si>
  <si>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</si>
  <si>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</si>
  <si>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</si>
  <si>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</si>
  <si>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</si>
  <si>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</si>
  <si>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</si>
  <si>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</si>
  <si>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</si>
  <si>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</si>
  <si>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</si>
  <si>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</si>
  <si>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</si>
  <si>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</si>
  <si>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</si>
  <si>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</si>
  <si>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</si>
  <si>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</si>
  <si>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</si>
  <si>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</si>
  <si>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</si>
  <si>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</si>
  <si>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</si>
  <si>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FMI20260714_001.gcd</t>
  </si>
  <si>
    <t>FMI20260714_002.gcd</t>
  </si>
  <si>
    <t>FMI20260714_003.gcd</t>
  </si>
  <si>
    <t>FMI20260714_004.gcd</t>
  </si>
  <si>
    <t>FMI20260714_005.gcd</t>
  </si>
  <si>
    <t>FMI20260714_006.gcd</t>
  </si>
  <si>
    <t>FMI20260714_007.gcd</t>
  </si>
  <si>
    <t>FMI20260714_008.gcd</t>
  </si>
  <si>
    <t>FMI20260714_009.gcd</t>
  </si>
  <si>
    <t>FMI20260714_010.gcd</t>
  </si>
  <si>
    <t>FMI20260714_011.gcd</t>
  </si>
  <si>
    <t>FMI20260714_012.gcd</t>
  </si>
  <si>
    <t>FMI20260714_013.gcd</t>
  </si>
  <si>
    <t>FMI20260714_014.gcd</t>
  </si>
  <si>
    <t>FMI20260714_015.gcd</t>
  </si>
  <si>
    <t>FMI20260714_016.gcd</t>
  </si>
  <si>
    <t>FMI20260714_017.gcd</t>
  </si>
  <si>
    <t>FMI20260714_018.gcd</t>
  </si>
  <si>
    <t>FMI20260714_019.gcd</t>
  </si>
  <si>
    <t>FMI20260714_020.gcd</t>
  </si>
  <si>
    <t>FMI20260714_021.gcd</t>
  </si>
  <si>
    <t>FMI20260714_022.gcd</t>
  </si>
  <si>
    <t>FMI20260714_023.gcd</t>
  </si>
  <si>
    <t>FMI20260714_024.gcd</t>
  </si>
  <si>
    <t>FMI20260714_025.gcd</t>
  </si>
  <si>
    <t>FMI20260714_026.gcd</t>
  </si>
  <si>
    <t>FMI20260714_027.gcd</t>
  </si>
  <si>
    <t>leaked when creating headspace- tried to estimate 2mL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</si>
</sst>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D1" workbookViewId="0">
      <selection activeCell="AQ17" sqref="AQ17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46217.4765625</v>
      </c>
      <c r="D9" t="s">
        <v>31</v>
      </c>
      <c r="E9" t="s">
        <v>13</v>
      </c>
      <c r="F9">
        <v>0</v>
      </c>
      <c r="G9">
        <v>6.09</v>
      </c>
      <c r="H9" s="3">
        <v>1377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46217.4765625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46217.4765625</v>
      </c>
      <c r="AF9" t="s">
        <v>31</v>
      </c>
      <c r="AG9" t="s">
        <v>13</v>
      </c>
      <c r="AH9">
        <v>0</v>
      </c>
      <c r="AI9">
        <v>12.362</v>
      </c>
      <c r="AJ9" s="3">
        <v>1940</v>
      </c>
      <c r="AK9">
        <v>0.42399999999999999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35" si="0">IF($H9&lt;10000,(($H9^2*-0.000000003714)+($H9*0.002605)+(1.389)),(IF($H9&lt;200000,(($H9^2*-0.0000000003764)+($H9*0.00218)+(3.158)),(IF($H9&lt;8000000,(($H9^2*-0.000000000004719)+($H9*0.001816)+(146.1)),(($V9^2*0.000000002578)+($V9*0.2173)+(2294)))))))</f>
        <v>4.9690427768939998</v>
      </c>
      <c r="AU9" s="17">
        <f t="shared" ref="AU9:AU35" si="1">IF($AJ9&lt;45000,((0.00000003579*$AJ9^2)+(0.1857*$AJ9)+(44.75)),((0.0000000022829*$AJ9^2)+(0.1634*$AJ9)+(1620)))</f>
        <v>405.14269924399997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7.1825046600000002</v>
      </c>
      <c r="AX9" s="10">
        <f t="shared" ref="AX9:AX14" si="3">IF(AJ9&lt;45000,((-0.0000004561*AJ9^2)+(0.244*AJ9)+(-21.72)),((-0.0000000409*AJ9^2)+(0.2477*AJ9)+(-1777)))</f>
        <v>449.92342203999999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-0.32487418894000042</v>
      </c>
      <c r="BA9" s="12">
        <f t="shared" ref="BA9:BA14" si="5">IF(AJ9&lt;45000,((-0.0000000598*AJ9^2)+(0.205*AJ9)+(34.1)),((-0.00000002403*AJ9^2)+(0.2063*AJ9)+(-550.7)))</f>
        <v>431.57493672000004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1.5418178235969995</v>
      </c>
      <c r="BD9" s="15">
        <f t="shared" ref="BD9:BD14" si="7">IF(AJ9&lt;45000,((-0.00000004907*AJ9^2)+(0.2277*AJ9)+(-134)),((-0.00000001062*AJ9^2)+(0.2147*AJ9)+(590.6)))</f>
        <v>307.55332014800001</v>
      </c>
      <c r="BF9" s="16">
        <f t="shared" ref="BF9:BF35" si="8">IF($H9&lt;10000,(($H9^2*-0.000000003714)+($H9*0.002605)+(1.389)),(IF($H9&lt;200000,(($H9^2*-0.0000000003764)+($H9*0.00218)+(3.158)),(IF($H9&lt;8000000,(($H9^2*-0.000000000004719)+($H9*0.001816)+(146.1)),(($V9^2*0.000000002578)+($V9*0.2173)+(2294)))))))</f>
        <v>4.9690427768939998</v>
      </c>
      <c r="BG9" s="17">
        <f t="shared" ref="BG9:BG35" si="9">IF($AJ9&lt;45000,((0.00000003579*$AJ9^2)+(0.1857*$AJ9)+(44.75)),((0.0000000022829*$AJ9^2)+(0.1634*$AJ9)+(1620)))</f>
        <v>405.14269924399997</v>
      </c>
      <c r="BI9">
        <v>45</v>
      </c>
      <c r="BJ9" t="s">
        <v>35</v>
      </c>
      <c r="BK9" s="2">
        <v>46217.4765625</v>
      </c>
      <c r="BL9" t="s">
        <v>31</v>
      </c>
      <c r="BM9" t="s">
        <v>13</v>
      </c>
      <c r="BN9">
        <v>0</v>
      </c>
      <c r="BO9">
        <v>2.7349999999999999</v>
      </c>
      <c r="BP9" s="3">
        <v>4812792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46217.497754629629</v>
      </c>
      <c r="D10" t="s">
        <v>32</v>
      </c>
      <c r="E10" t="s">
        <v>13</v>
      </c>
      <c r="F10">
        <v>0</v>
      </c>
      <c r="G10">
        <v>6.0449999999999999</v>
      </c>
      <c r="H10" s="3">
        <v>963806</v>
      </c>
      <c r="I10">
        <v>1.96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46217.497754629629</v>
      </c>
      <c r="R10" t="s">
        <v>32</v>
      </c>
      <c r="S10" t="s">
        <v>13</v>
      </c>
      <c r="T10">
        <v>0</v>
      </c>
      <c r="U10">
        <v>5.9969999999999999</v>
      </c>
      <c r="V10" s="3">
        <v>8912</v>
      </c>
      <c r="W10">
        <v>2.1800000000000002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46217.497754629629</v>
      </c>
      <c r="AF10" t="s">
        <v>32</v>
      </c>
      <c r="AG10" t="s">
        <v>13</v>
      </c>
      <c r="AH10">
        <v>0</v>
      </c>
      <c r="AI10">
        <v>12.311</v>
      </c>
      <c r="AJ10" s="3">
        <v>9398</v>
      </c>
      <c r="AK10">
        <v>1.698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1891.9881130554036</v>
      </c>
      <c r="AU10" s="17">
        <f t="shared" si="1"/>
        <v>1793.1196588391599</v>
      </c>
      <c r="AW10" s="9">
        <f t="shared" si="2"/>
        <v>2006.6056906951703</v>
      </c>
      <c r="AX10" s="10">
        <f t="shared" si="3"/>
        <v>2231.1081515356004</v>
      </c>
      <c r="AZ10" s="11">
        <f t="shared" si="4"/>
        <v>2216.6769415650565</v>
      </c>
      <c r="BA10" s="12">
        <f t="shared" si="5"/>
        <v>1955.4083202407999</v>
      </c>
      <c r="BC10" s="14">
        <f t="shared" si="6"/>
        <v>2149.7209506932618</v>
      </c>
      <c r="BD10" s="15">
        <f t="shared" si="7"/>
        <v>2001.5906196357205</v>
      </c>
      <c r="BF10" s="16">
        <f t="shared" si="8"/>
        <v>1891.9881130554036</v>
      </c>
      <c r="BG10" s="17">
        <f t="shared" si="9"/>
        <v>1793.1196588391599</v>
      </c>
      <c r="BI10">
        <v>46</v>
      </c>
      <c r="BJ10" t="s">
        <v>36</v>
      </c>
      <c r="BK10" s="2">
        <v>46217.497754629629</v>
      </c>
      <c r="BL10" t="s">
        <v>32</v>
      </c>
      <c r="BM10" t="s">
        <v>13</v>
      </c>
      <c r="BN10">
        <v>0</v>
      </c>
      <c r="BO10">
        <v>2.73</v>
      </c>
      <c r="BP10" s="3">
        <v>4869296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46217.518946759257</v>
      </c>
      <c r="D11" t="s">
        <v>26</v>
      </c>
      <c r="E11" t="s">
        <v>13</v>
      </c>
      <c r="F11">
        <v>0</v>
      </c>
      <c r="G11">
        <v>6.0629999999999997</v>
      </c>
      <c r="H11" s="3">
        <v>2350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46217.518946759257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46217.518946759257</v>
      </c>
      <c r="AF11" t="s">
        <v>26</v>
      </c>
      <c r="AG11" t="s">
        <v>13</v>
      </c>
      <c r="AH11">
        <v>0</v>
      </c>
      <c r="AI11">
        <v>12.31</v>
      </c>
      <c r="AJ11" s="3">
        <v>1287</v>
      </c>
      <c r="AK11">
        <v>0.312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7.4902394350000003</v>
      </c>
      <c r="AU11" s="17">
        <f t="shared" si="1"/>
        <v>283.80518144651001</v>
      </c>
      <c r="AW11" s="9">
        <f t="shared" si="2"/>
        <v>4.5044000000000004</v>
      </c>
      <c r="AX11" s="10">
        <f t="shared" si="3"/>
        <v>291.55253009910007</v>
      </c>
      <c r="AZ11" s="11">
        <f t="shared" si="4"/>
        <v>2.2691056500000002</v>
      </c>
      <c r="BA11" s="12">
        <f t="shared" si="5"/>
        <v>297.8359491338</v>
      </c>
      <c r="BC11" s="14">
        <f t="shared" si="6"/>
        <v>4.9606025925000008</v>
      </c>
      <c r="BD11" s="15">
        <f t="shared" si="7"/>
        <v>158.96862197317006</v>
      </c>
      <c r="BF11" s="16">
        <f t="shared" si="8"/>
        <v>7.4902394350000003</v>
      </c>
      <c r="BG11" s="17">
        <f t="shared" si="9"/>
        <v>283.80518144651001</v>
      </c>
      <c r="BI11">
        <v>47</v>
      </c>
      <c r="BJ11" t="s">
        <v>37</v>
      </c>
      <c r="BK11" s="2">
        <v>46217.518946759257</v>
      </c>
      <c r="BL11" t="s">
        <v>26</v>
      </c>
      <c r="BM11" t="s">
        <v>13</v>
      </c>
      <c r="BN11">
        <v>0</v>
      </c>
      <c r="BO11">
        <v>2.7280000000000002</v>
      </c>
      <c r="BP11" s="3">
        <v>4938491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46217.540173611109</v>
      </c>
      <c r="D12">
        <v>133</v>
      </c>
      <c r="E12" t="s">
        <v>13</v>
      </c>
      <c r="F12">
        <v>0</v>
      </c>
      <c r="G12">
        <v>6.0410000000000004</v>
      </c>
      <c r="H12" s="3">
        <v>157616</v>
      </c>
      <c r="I12">
        <v>0.32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46217.540173611109</v>
      </c>
      <c r="R12">
        <v>133</v>
      </c>
      <c r="S12" t="s">
        <v>13</v>
      </c>
      <c r="T12">
        <v>0</v>
      </c>
      <c r="U12">
        <v>5.9980000000000002</v>
      </c>
      <c r="V12" s="3">
        <v>1762</v>
      </c>
      <c r="W12">
        <v>0.55600000000000005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46217.540173611109</v>
      </c>
      <c r="AF12">
        <v>133</v>
      </c>
      <c r="AG12" t="s">
        <v>13</v>
      </c>
      <c r="AH12">
        <v>0</v>
      </c>
      <c r="AI12">
        <v>12.233000000000001</v>
      </c>
      <c r="AJ12" s="3">
        <v>44922</v>
      </c>
      <c r="AK12">
        <v>7.766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337.41004877916163</v>
      </c>
      <c r="AU12" s="17">
        <f t="shared" si="1"/>
        <v>8458.9891219463607</v>
      </c>
      <c r="AW12" s="9">
        <f t="shared" si="2"/>
        <v>430.02838694988799</v>
      </c>
      <c r="AX12" s="10">
        <f t="shared" si="3"/>
        <v>10018.844547087599</v>
      </c>
      <c r="AZ12" s="11">
        <f t="shared" si="4"/>
        <v>445.4331823619072</v>
      </c>
      <c r="BA12" s="12">
        <f t="shared" si="5"/>
        <v>9122.4344321768003</v>
      </c>
      <c r="BC12" s="14">
        <f t="shared" si="6"/>
        <v>419.37145469107196</v>
      </c>
      <c r="BD12" s="15">
        <f t="shared" si="7"/>
        <v>9995.7168228581195</v>
      </c>
      <c r="BF12" s="16">
        <f t="shared" si="8"/>
        <v>337.41004877916163</v>
      </c>
      <c r="BG12" s="17">
        <f t="shared" si="9"/>
        <v>8458.9891219463607</v>
      </c>
      <c r="BI12">
        <v>48</v>
      </c>
      <c r="BJ12" t="s">
        <v>38</v>
      </c>
      <c r="BK12" s="2">
        <v>46217.540173611109</v>
      </c>
      <c r="BL12">
        <v>133</v>
      </c>
      <c r="BM12" t="s">
        <v>13</v>
      </c>
      <c r="BN12">
        <v>0</v>
      </c>
      <c r="BO12">
        <v>2.855</v>
      </c>
      <c r="BP12" s="3">
        <v>1167099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46217.561400462961</v>
      </c>
      <c r="D13">
        <v>327</v>
      </c>
      <c r="E13" t="s">
        <v>13</v>
      </c>
      <c r="F13">
        <v>0</v>
      </c>
      <c r="G13">
        <v>6.0620000000000003</v>
      </c>
      <c r="H13" s="3">
        <v>1814</v>
      </c>
      <c r="I13">
        <v>4.0000000000000001E-3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46217.561400462961</v>
      </c>
      <c r="R13">
        <v>327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46217.561400462961</v>
      </c>
      <c r="AF13">
        <v>327</v>
      </c>
      <c r="AG13" t="s">
        <v>13</v>
      </c>
      <c r="AH13">
        <v>0</v>
      </c>
      <c r="AI13">
        <v>12.302</v>
      </c>
      <c r="AJ13" s="3">
        <v>3711</v>
      </c>
      <c r="AK13">
        <v>0.72599999999999998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6.1022487264560006</v>
      </c>
      <c r="AU13" s="17">
        <f t="shared" si="1"/>
        <v>734.37558273658999</v>
      </c>
      <c r="AW13" s="9">
        <f t="shared" si="2"/>
        <v>5.8532118400000002</v>
      </c>
      <c r="AX13" s="10">
        <f t="shared" si="3"/>
        <v>877.4828092718999</v>
      </c>
      <c r="AZ13" s="11">
        <f t="shared" si="4"/>
        <v>0.82676665543999928</v>
      </c>
      <c r="BA13" s="12">
        <f t="shared" si="5"/>
        <v>794.0314630442</v>
      </c>
      <c r="BC13" s="14">
        <f t="shared" si="6"/>
        <v>3.0752950318279995</v>
      </c>
      <c r="BD13" s="15">
        <f t="shared" si="7"/>
        <v>710.31893146453012</v>
      </c>
      <c r="BF13" s="16">
        <f t="shared" si="8"/>
        <v>6.1022487264560006</v>
      </c>
      <c r="BG13" s="17">
        <f t="shared" si="9"/>
        <v>734.37558273658999</v>
      </c>
      <c r="BI13">
        <v>49</v>
      </c>
      <c r="BJ13" t="s">
        <v>39</v>
      </c>
      <c r="BK13" s="2">
        <v>46217.561400462961</v>
      </c>
      <c r="BL13">
        <v>327</v>
      </c>
      <c r="BM13" t="s">
        <v>13</v>
      </c>
      <c r="BN13">
        <v>0</v>
      </c>
      <c r="BO13">
        <v>2.8719999999999999</v>
      </c>
      <c r="BP13" s="3">
        <v>890262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46217.582604166666</v>
      </c>
      <c r="D14">
        <v>69</v>
      </c>
      <c r="E14" t="s">
        <v>13</v>
      </c>
      <c r="F14">
        <v>0</v>
      </c>
      <c r="G14">
        <v>6.069</v>
      </c>
      <c r="H14" s="3">
        <v>2789</v>
      </c>
      <c r="I14">
        <v>6.0000000000000001E-3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46217.582604166666</v>
      </c>
      <c r="R14">
        <v>69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46217.582604166666</v>
      </c>
      <c r="AF14">
        <v>69</v>
      </c>
      <c r="AG14" t="s">
        <v>13</v>
      </c>
      <c r="AH14">
        <v>0</v>
      </c>
      <c r="AI14">
        <v>12.151</v>
      </c>
      <c r="AJ14" s="3">
        <v>122087</v>
      </c>
      <c r="AK14">
        <v>20.937999999999999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8.6254555730060005</v>
      </c>
      <c r="AU14" s="17">
        <f t="shared" si="1"/>
        <v>21603.042962280466</v>
      </c>
      <c r="AW14" s="9">
        <f t="shared" si="2"/>
        <v>3.6308163400000009</v>
      </c>
      <c r="AX14" s="10">
        <f t="shared" si="3"/>
        <v>27854.325765227899</v>
      </c>
      <c r="AZ14" s="11">
        <f t="shared" si="4"/>
        <v>3.4748816899400001</v>
      </c>
      <c r="BA14" s="12">
        <f t="shared" si="5"/>
        <v>24277.675289276929</v>
      </c>
      <c r="BC14" s="14">
        <f t="shared" si="6"/>
        <v>6.5083609788529984</v>
      </c>
      <c r="BD14" s="15">
        <f t="shared" si="7"/>
        <v>26644.385298257221</v>
      </c>
      <c r="BF14" s="16">
        <f t="shared" si="8"/>
        <v>8.6254555730060005</v>
      </c>
      <c r="BG14" s="17">
        <f t="shared" si="9"/>
        <v>21603.042962280466</v>
      </c>
      <c r="BI14">
        <v>50</v>
      </c>
      <c r="BJ14" t="s">
        <v>40</v>
      </c>
      <c r="BK14" s="2">
        <v>46217.582604166666</v>
      </c>
      <c r="BL14">
        <v>69</v>
      </c>
      <c r="BM14" t="s">
        <v>13</v>
      </c>
      <c r="BN14">
        <v>0</v>
      </c>
      <c r="BO14">
        <v>2.863</v>
      </c>
      <c r="BP14" s="3">
        <v>1143249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46217.603807870371</v>
      </c>
      <c r="D15">
        <v>237</v>
      </c>
      <c r="E15" t="s">
        <v>13</v>
      </c>
      <c r="F15">
        <v>0</v>
      </c>
      <c r="G15">
        <v>6.0430000000000001</v>
      </c>
      <c r="H15" s="3">
        <v>205489</v>
      </c>
      <c r="I15">
        <v>0.41699999999999998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46217.603807870371</v>
      </c>
      <c r="R15">
        <v>237</v>
      </c>
      <c r="S15" t="s">
        <v>13</v>
      </c>
      <c r="T15">
        <v>0</v>
      </c>
      <c r="U15">
        <v>5.9909999999999997</v>
      </c>
      <c r="V15" s="3">
        <v>1967</v>
      </c>
      <c r="W15">
        <v>0.60299999999999998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46217.603807870371</v>
      </c>
      <c r="AF15">
        <v>237</v>
      </c>
      <c r="AG15" t="s">
        <v>13</v>
      </c>
      <c r="AH15">
        <v>0</v>
      </c>
      <c r="AI15">
        <v>12.218</v>
      </c>
      <c r="AJ15" s="3">
        <v>69111</v>
      </c>
      <c r="AK15">
        <v>11.897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519.06876078427797</v>
      </c>
      <c r="AU15" s="17">
        <f t="shared" si="1"/>
        <v>12923.641284489811</v>
      </c>
      <c r="AW15" s="9">
        <f t="shared" ref="AW15:AW17" si="10">IF(H15&lt;10000,((H15^2*0.00000054)+(H15*-0.004765)+(12.72)),(IF(H15&lt;200000,((H15^2*-0.000000001577)+(H15*0.003043)+(-10.42)),(IF(H15&lt;8000000,((H15^2*-0.0000000000186)+(H15*0.00194)+(154.1)),((V15^2*-0.00000002)+(V15*0.2565)+(-1032)))))))</f>
        <v>551.96326143834938</v>
      </c>
      <c r="AX15" s="10">
        <f t="shared" ref="AX15:AX17" si="11">IF(AJ15&lt;45000,((-0.0000004561*AJ15^2)+(0.244*AJ15)+(-21.72)),((-0.0000000409*AJ15^2)+(0.2477*AJ15)+(-1777)))</f>
        <v>15146.4427898711</v>
      </c>
      <c r="AZ15" s="11">
        <f t="shared" ref="AZ15:AZ17" si="12">IF(H15&lt;10000,((H15^2*0.00000005714)+(H15*0.002453)+(-3.811)),(IF(H15&lt;200000,((H15^2*-0.0000000002888)+(H15*0.002899)+(-4.321)),(IF(H15&lt;8000000,((H15^2*-0.0000000000062)+(H15*0.002143)+(157)),((V15^2*-0.000000031)+(V15*0.2771)+(-709.5)))))))</f>
        <v>597.10112747944981</v>
      </c>
      <c r="BA15" s="12">
        <f t="shared" ref="BA15:BA17" si="13">IF(AJ15&lt;45000,((-0.0000000598*AJ15^2)+(0.205*AJ15)+(34.1)),((-0.00000002403*AJ15^2)+(0.2063*AJ15)+(-550.7)))</f>
        <v>13592.124082386372</v>
      </c>
      <c r="BC15" s="14">
        <f t="shared" ref="BC15:BC17" si="14">IF(H15&lt;10000,((H15^2*0.000000008493)+(H15*0.003482)+(-3.269)),(IF(H15&lt;200000,((H15^2*-0.000000000263)+(H15*0.002682)+(3.179)),(IF(H15&lt;8000000,((H15^2*-0.000000000005099)+(H15*0.002054)+(174.8)),((V15^2*-0.00000001014)+(V15*0.2415)+(1123)))))))</f>
        <v>596.65909700721204</v>
      </c>
      <c r="BD15" s="15">
        <f t="shared" ref="BD15:BD17" si="15">IF(AJ15&lt;45000,((-0.00000004907*AJ15^2)+(0.2277*AJ15)+(-134)),((-0.00000001062*AJ15^2)+(0.2147*AJ15)+(590.6)))</f>
        <v>15378.00707199098</v>
      </c>
      <c r="BF15" s="16">
        <f t="shared" si="8"/>
        <v>519.06876078427797</v>
      </c>
      <c r="BG15" s="17">
        <f t="shared" si="9"/>
        <v>12923.641284489811</v>
      </c>
      <c r="BI15">
        <v>51</v>
      </c>
      <c r="BJ15" t="s">
        <v>41</v>
      </c>
      <c r="BK15" s="2">
        <v>46217.603807870371</v>
      </c>
      <c r="BL15">
        <v>237</v>
      </c>
      <c r="BM15" t="s">
        <v>13</v>
      </c>
      <c r="BN15">
        <v>0</v>
      </c>
      <c r="BO15">
        <v>2.879</v>
      </c>
      <c r="BP15" s="3">
        <v>738521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46217.6250462963</v>
      </c>
      <c r="D16">
        <v>26</v>
      </c>
      <c r="E16" t="s">
        <v>13</v>
      </c>
      <c r="F16">
        <v>0</v>
      </c>
      <c r="G16">
        <v>6.0780000000000003</v>
      </c>
      <c r="H16" s="3">
        <v>1781</v>
      </c>
      <c r="I16">
        <v>4.0000000000000001E-3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46217.6250462963</v>
      </c>
      <c r="R16">
        <v>26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46217.6250462963</v>
      </c>
      <c r="AF16">
        <v>26</v>
      </c>
      <c r="AG16" t="s">
        <v>13</v>
      </c>
      <c r="AH16">
        <v>0</v>
      </c>
      <c r="AI16">
        <v>12.173</v>
      </c>
      <c r="AJ16" s="3">
        <v>121571</v>
      </c>
      <c r="AK16">
        <v>20.85</v>
      </c>
      <c r="AL16" t="s">
        <v>14</v>
      </c>
      <c r="AM16" t="s">
        <v>14</v>
      </c>
      <c r="AN16" t="s">
        <v>14</v>
      </c>
      <c r="AO16" t="s">
        <v>14</v>
      </c>
      <c r="AQ16">
        <v>2</v>
      </c>
      <c r="AR16" t="s">
        <v>62</v>
      </c>
      <c r="AS16" s="8">
        <v>52</v>
      </c>
      <c r="AT16" s="16">
        <f t="shared" si="0"/>
        <v>6.0167243368459999</v>
      </c>
      <c r="AU16" s="17">
        <f t="shared" si="1"/>
        <v>21518.441538906798</v>
      </c>
      <c r="AW16" s="9">
        <f t="shared" si="10"/>
        <v>5.9463939400000001</v>
      </c>
      <c r="AX16" s="10">
        <f t="shared" si="11"/>
        <v>27731.654821123098</v>
      </c>
      <c r="AZ16" s="11">
        <f t="shared" si="12"/>
        <v>0.73903885154000015</v>
      </c>
      <c r="BA16" s="12">
        <f t="shared" si="13"/>
        <v>24174.245721774769</v>
      </c>
      <c r="BC16" s="14">
        <f t="shared" si="14"/>
        <v>2.9593814647730001</v>
      </c>
      <c r="BD16" s="15">
        <f t="shared" si="15"/>
        <v>26534.935324604579</v>
      </c>
      <c r="BF16" s="16">
        <f t="shared" si="8"/>
        <v>6.0167243368459999</v>
      </c>
      <c r="BG16" s="17">
        <f t="shared" si="9"/>
        <v>21518.441538906798</v>
      </c>
      <c r="BI16">
        <v>52</v>
      </c>
      <c r="BJ16" t="s">
        <v>42</v>
      </c>
      <c r="BK16" s="2">
        <v>46217.6250462963</v>
      </c>
      <c r="BL16">
        <v>26</v>
      </c>
      <c r="BM16" t="s">
        <v>13</v>
      </c>
      <c r="BN16">
        <v>0</v>
      </c>
      <c r="BO16">
        <v>2.8690000000000002</v>
      </c>
      <c r="BP16" s="3">
        <v>1057741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46217.646249999998</v>
      </c>
      <c r="D17">
        <v>326</v>
      </c>
      <c r="E17" t="s">
        <v>13</v>
      </c>
      <c r="F17">
        <v>0</v>
      </c>
      <c r="G17">
        <v>6.0510000000000002</v>
      </c>
      <c r="H17" s="3">
        <v>143700</v>
      </c>
      <c r="I17">
        <v>0.29199999999999998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46217.646249999998</v>
      </c>
      <c r="R17">
        <v>326</v>
      </c>
      <c r="S17" t="s">
        <v>13</v>
      </c>
      <c r="T17">
        <v>0</v>
      </c>
      <c r="U17">
        <v>6.0069999999999997</v>
      </c>
      <c r="V17" s="3">
        <v>1511</v>
      </c>
      <c r="W17">
        <v>0.5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46217.646249999998</v>
      </c>
      <c r="AF17">
        <v>326</v>
      </c>
      <c r="AG17" t="s">
        <v>13</v>
      </c>
      <c r="AH17">
        <v>0</v>
      </c>
      <c r="AI17">
        <v>12.234</v>
      </c>
      <c r="AJ17" s="3">
        <v>64493</v>
      </c>
      <c r="AK17">
        <v>11.108000000000001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308.65145668400004</v>
      </c>
      <c r="AU17" s="17">
        <f t="shared" si="1"/>
        <v>12167.651573378162</v>
      </c>
      <c r="AW17" s="9">
        <f t="shared" si="10"/>
        <v>394.29453887</v>
      </c>
      <c r="AX17" s="10">
        <f t="shared" si="11"/>
        <v>14027.7988056959</v>
      </c>
      <c r="AZ17" s="11">
        <f t="shared" si="12"/>
        <v>406.30166952799999</v>
      </c>
      <c r="BA17" s="12">
        <f t="shared" si="13"/>
        <v>12654.256790412532</v>
      </c>
      <c r="BC17" s="14">
        <f t="shared" si="14"/>
        <v>383.15153152999994</v>
      </c>
      <c r="BD17" s="15">
        <f t="shared" si="15"/>
        <v>14393.074834339621</v>
      </c>
      <c r="BF17" s="16">
        <f t="shared" si="8"/>
        <v>308.65145668400004</v>
      </c>
      <c r="BG17" s="17">
        <f t="shared" si="9"/>
        <v>12167.651573378162</v>
      </c>
      <c r="BI17">
        <v>53</v>
      </c>
      <c r="BJ17" t="s">
        <v>43</v>
      </c>
      <c r="BK17" s="2">
        <v>46217.646249999998</v>
      </c>
      <c r="BL17">
        <v>326</v>
      </c>
      <c r="BM17" t="s">
        <v>13</v>
      </c>
      <c r="BN17">
        <v>0</v>
      </c>
      <c r="BO17">
        <v>2.8879999999999999</v>
      </c>
      <c r="BP17" s="3">
        <v>708489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46217.66747685185</v>
      </c>
      <c r="D18">
        <v>22</v>
      </c>
      <c r="E18" t="s">
        <v>13</v>
      </c>
      <c r="F18">
        <v>0</v>
      </c>
      <c r="G18">
        <v>5.9969999999999999</v>
      </c>
      <c r="H18" s="3">
        <v>17979188</v>
      </c>
      <c r="I18">
        <v>38.198999999999998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46217.66747685185</v>
      </c>
      <c r="R18">
        <v>22</v>
      </c>
      <c r="S18" t="s">
        <v>13</v>
      </c>
      <c r="T18">
        <v>0</v>
      </c>
      <c r="U18">
        <v>5.952</v>
      </c>
      <c r="V18" s="3">
        <v>146937</v>
      </c>
      <c r="W18">
        <v>33.481000000000002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46217.66747685185</v>
      </c>
      <c r="AF18">
        <v>22</v>
      </c>
      <c r="AG18" t="s">
        <v>13</v>
      </c>
      <c r="AH18">
        <v>0</v>
      </c>
      <c r="AI18">
        <v>12.227</v>
      </c>
      <c r="AJ18" s="3">
        <v>72378</v>
      </c>
      <c r="AK18">
        <v>12.454000000000001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34279.070362516082</v>
      </c>
      <c r="AU18" s="17">
        <f t="shared" si="1"/>
        <v>13458.524342602683</v>
      </c>
      <c r="AW18" s="9">
        <f t="shared" ref="AW18:AW35" si="16">IF(H18&lt;10000,((H18^2*0.00000054)+(H18*-0.004765)+(12.72)),(IF(H18&lt;200000,((H18^2*-0.000000001577)+(H18*0.003043)+(-10.42)),(IF(H18&lt;8000000,((H18^2*-0.0000000000186)+(H18*0.00194)+(154.1)),((V18^2*-0.00000002)+(V18*0.2565)+(-1032)))))))</f>
        <v>36225.530860619998</v>
      </c>
      <c r="AX18" s="10">
        <f t="shared" ref="AX18:AX35" si="17">IF(AJ18&lt;45000,((-0.0000004561*AJ18^2)+(0.244*AJ18)+(-21.72)),((-0.0000000409*AJ18^2)+(0.2477*AJ18)+(-1777)))</f>
        <v>15936.772887244402</v>
      </c>
      <c r="AZ18" s="11">
        <f t="shared" ref="AZ18:AZ35" si="18">IF(H18&lt;10000,((H18^2*0.00000005714)+(H18*0.002453)+(-3.811)),(IF(H18&lt;200000,((H18^2*-0.0000000002888)+(H18*0.002899)+(-4.321)),(IF(H18&lt;8000000,((H18^2*-0.0000000000062)+(H18*0.002143)+(157)),((V18^2*-0.000000031)+(V18*0.2771)+(-709.5)))))))</f>
        <v>39337.437758961001</v>
      </c>
      <c r="BA18" s="12">
        <f t="shared" ref="BA18:BA35" si="19">IF(AJ18&lt;45000,((-0.0000000598*AJ18^2)+(0.205*AJ18)+(34.1)),((-0.00000002403*AJ18^2)+(0.2063*AJ18)+(-550.7)))</f>
        <v>14254.99844553748</v>
      </c>
      <c r="BC18" s="14">
        <f t="shared" ref="BC18:BC35" si="20">IF(H18&lt;10000,((H18^2*0.000000008493)+(H18*0.003482)+(-3.269)),(IF(H18&lt;200000,((H18^2*-0.000000000263)+(H18*0.002682)+(3.179)),(IF(H18&lt;8000000,((H18^2*-0.000000000005099)+(H18*0.002054)+(174.8)),((V18^2*-0.00000001014)+(V18*0.2415)+(1123)))))))</f>
        <v>36389.358012834338</v>
      </c>
      <c r="BD18" s="15">
        <f t="shared" ref="BD18:BD35" si="21">IF(AJ18&lt;45000,((-0.00000004907*AJ18^2)+(0.2277*AJ18)+(-134)),((-0.00000001062*AJ18^2)+(0.2147*AJ18)+(590.6)))</f>
        <v>16074.52293473192</v>
      </c>
      <c r="BF18" s="16">
        <f t="shared" si="8"/>
        <v>34279.070362516082</v>
      </c>
      <c r="BG18" s="17">
        <f t="shared" si="9"/>
        <v>13458.524342602683</v>
      </c>
      <c r="BI18">
        <v>54</v>
      </c>
      <c r="BJ18" t="s">
        <v>44</v>
      </c>
      <c r="BK18" s="2">
        <v>46217.66747685185</v>
      </c>
      <c r="BL18">
        <v>22</v>
      </c>
      <c r="BM18" t="s">
        <v>13</v>
      </c>
      <c r="BN18">
        <v>0</v>
      </c>
      <c r="BO18">
        <v>2.8860000000000001</v>
      </c>
      <c r="BP18" s="3">
        <v>726841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46217.688692129632</v>
      </c>
      <c r="D19">
        <v>369</v>
      </c>
      <c r="E19" t="s">
        <v>13</v>
      </c>
      <c r="F19">
        <v>0</v>
      </c>
      <c r="G19">
        <v>6.069</v>
      </c>
      <c r="H19" s="3">
        <v>2329</v>
      </c>
      <c r="I19">
        <v>5.0000000000000001E-3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46217.688692129632</v>
      </c>
      <c r="R19">
        <v>369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46217.688692129632</v>
      </c>
      <c r="AF19">
        <v>369</v>
      </c>
      <c r="AG19" t="s">
        <v>13</v>
      </c>
      <c r="AH19">
        <v>0</v>
      </c>
      <c r="AI19">
        <v>12.17</v>
      </c>
      <c r="AJ19" s="3">
        <v>125620</v>
      </c>
      <c r="AK19">
        <v>21.541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7.4358993689260009</v>
      </c>
      <c r="AU19" s="17">
        <f t="shared" si="1"/>
        <v>22182.333039546756</v>
      </c>
      <c r="AW19" s="9">
        <f t="shared" si="16"/>
        <v>4.55140514</v>
      </c>
      <c r="AX19" s="10">
        <f t="shared" si="17"/>
        <v>28693.656278040002</v>
      </c>
      <c r="AZ19" s="11">
        <f t="shared" si="18"/>
        <v>2.2119781307400004</v>
      </c>
      <c r="BA19" s="12">
        <f t="shared" si="19"/>
        <v>24985.503362868003</v>
      </c>
      <c r="BC19" s="14">
        <f t="shared" si="20"/>
        <v>4.8866460788129995</v>
      </c>
      <c r="BD19" s="15">
        <f t="shared" si="21"/>
        <v>27393.626317671999</v>
      </c>
      <c r="BF19" s="16">
        <f t="shared" si="8"/>
        <v>7.4358993689260009</v>
      </c>
      <c r="BG19" s="17">
        <f t="shared" si="9"/>
        <v>22182.333039546756</v>
      </c>
      <c r="BI19">
        <v>55</v>
      </c>
      <c r="BJ19" t="s">
        <v>45</v>
      </c>
      <c r="BK19" s="2">
        <v>46217.688692129632</v>
      </c>
      <c r="BL19">
        <v>369</v>
      </c>
      <c r="BM19" t="s">
        <v>13</v>
      </c>
      <c r="BN19">
        <v>0</v>
      </c>
      <c r="BO19">
        <v>2.8769999999999998</v>
      </c>
      <c r="BP19" s="3">
        <v>828542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46217.70988425926</v>
      </c>
      <c r="D20">
        <v>269</v>
      </c>
      <c r="E20" t="s">
        <v>13</v>
      </c>
      <c r="F20">
        <v>0</v>
      </c>
      <c r="G20">
        <v>6.0519999999999996</v>
      </c>
      <c r="H20" s="3">
        <v>8633</v>
      </c>
      <c r="I20">
        <v>1.7999999999999999E-2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46217.70988425926</v>
      </c>
      <c r="R20">
        <v>269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46217.70988425926</v>
      </c>
      <c r="AF20">
        <v>269</v>
      </c>
      <c r="AG20" t="s">
        <v>13</v>
      </c>
      <c r="AH20">
        <v>0</v>
      </c>
      <c r="AI20">
        <v>12.276999999999999</v>
      </c>
      <c r="AJ20" s="3">
        <v>6119</v>
      </c>
      <c r="AK20">
        <v>1.1379999999999999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23.601165449054001</v>
      </c>
      <c r="AU20" s="17">
        <f t="shared" si="1"/>
        <v>1182.3883549421898</v>
      </c>
      <c r="AW20" s="9">
        <f t="shared" si="16"/>
        <v>11.829247060000002</v>
      </c>
      <c r="AX20" s="10">
        <f t="shared" si="17"/>
        <v>1454.2386303679</v>
      </c>
      <c r="AZ20" s="11">
        <f t="shared" si="18"/>
        <v>21.62431828946</v>
      </c>
      <c r="BA20" s="12">
        <f t="shared" si="19"/>
        <v>1286.2559587721998</v>
      </c>
      <c r="BC20" s="14">
        <f t="shared" si="20"/>
        <v>27.424078155676995</v>
      </c>
      <c r="BD20" s="15">
        <f t="shared" si="21"/>
        <v>1257.4590131597299</v>
      </c>
      <c r="BF20" s="16">
        <f t="shared" si="8"/>
        <v>23.601165449054001</v>
      </c>
      <c r="BG20" s="17">
        <f t="shared" si="9"/>
        <v>1182.3883549421898</v>
      </c>
      <c r="BI20">
        <v>56</v>
      </c>
      <c r="BJ20" t="s">
        <v>46</v>
      </c>
      <c r="BK20" s="2">
        <v>46217.70988425926</v>
      </c>
      <c r="BL20">
        <v>269</v>
      </c>
      <c r="BM20" t="s">
        <v>13</v>
      </c>
      <c r="BN20">
        <v>0</v>
      </c>
      <c r="BO20">
        <v>2.8780000000000001</v>
      </c>
      <c r="BP20" s="3">
        <v>834051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46217.731122685182</v>
      </c>
      <c r="D21">
        <v>384</v>
      </c>
      <c r="E21" t="s">
        <v>13</v>
      </c>
      <c r="F21">
        <v>0</v>
      </c>
      <c r="G21">
        <v>6.0490000000000004</v>
      </c>
      <c r="H21" s="3">
        <v>44934</v>
      </c>
      <c r="I21">
        <v>9.0999999999999998E-2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46217.731122685182</v>
      </c>
      <c r="R21">
        <v>384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46217.731122685182</v>
      </c>
      <c r="AF21">
        <v>384</v>
      </c>
      <c r="AG21" t="s">
        <v>13</v>
      </c>
      <c r="AH21">
        <v>0</v>
      </c>
      <c r="AI21">
        <v>12.302</v>
      </c>
      <c r="AJ21" s="3">
        <v>7732</v>
      </c>
      <c r="AK21">
        <v>1.413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100.3541441764016</v>
      </c>
      <c r="AU21" s="17">
        <f t="shared" si="1"/>
        <v>1482.72206306096</v>
      </c>
      <c r="AW21" s="9">
        <f t="shared" si="16"/>
        <v>123.13009751058799</v>
      </c>
      <c r="AX21" s="10">
        <f t="shared" si="17"/>
        <v>1837.6205978736</v>
      </c>
      <c r="AZ21" s="11">
        <f t="shared" si="18"/>
        <v>125.35956021398721</v>
      </c>
      <c r="BA21" s="12">
        <f t="shared" si="19"/>
        <v>1615.5849273247998</v>
      </c>
      <c r="BC21" s="14">
        <f t="shared" si="20"/>
        <v>123.16097407437199</v>
      </c>
      <c r="BD21" s="15">
        <f t="shared" si="21"/>
        <v>1623.6428077563201</v>
      </c>
      <c r="BF21" s="16">
        <f t="shared" si="8"/>
        <v>100.3541441764016</v>
      </c>
      <c r="BG21" s="17">
        <f t="shared" si="9"/>
        <v>1482.72206306096</v>
      </c>
      <c r="BI21">
        <v>57</v>
      </c>
      <c r="BJ21" t="s">
        <v>47</v>
      </c>
      <c r="BK21" s="2">
        <v>46217.731122685182</v>
      </c>
      <c r="BL21">
        <v>384</v>
      </c>
      <c r="BM21" t="s">
        <v>13</v>
      </c>
      <c r="BN21">
        <v>0</v>
      </c>
      <c r="BO21">
        <v>2.8740000000000001</v>
      </c>
      <c r="BP21" s="3">
        <v>889523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46217.752337962964</v>
      </c>
      <c r="D22">
        <v>225</v>
      </c>
      <c r="E22" t="s">
        <v>13</v>
      </c>
      <c r="F22">
        <v>0</v>
      </c>
      <c r="G22">
        <v>6.0490000000000004</v>
      </c>
      <c r="H22" s="3">
        <v>49121</v>
      </c>
      <c r="I22">
        <v>0.1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46217.752337962964</v>
      </c>
      <c r="R22">
        <v>225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46217.752337962964</v>
      </c>
      <c r="AF22">
        <v>225</v>
      </c>
      <c r="AG22" t="s">
        <v>13</v>
      </c>
      <c r="AH22">
        <v>0</v>
      </c>
      <c r="AI22">
        <v>12.302</v>
      </c>
      <c r="AJ22" s="3">
        <v>7074</v>
      </c>
      <c r="AK22">
        <v>1.3009999999999999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109.33357473792761</v>
      </c>
      <c r="AU22" s="17">
        <f t="shared" si="1"/>
        <v>1360.1827844260401</v>
      </c>
      <c r="AW22" s="9">
        <f t="shared" si="16"/>
        <v>135.250102845143</v>
      </c>
      <c r="AX22" s="10">
        <f t="shared" si="17"/>
        <v>1681.5120827963999</v>
      </c>
      <c r="AZ22" s="11">
        <f t="shared" si="18"/>
        <v>137.38394138127921</v>
      </c>
      <c r="BA22" s="12">
        <f t="shared" si="19"/>
        <v>1481.2775197351998</v>
      </c>
      <c r="BC22" s="14">
        <f t="shared" si="20"/>
        <v>134.28693649541702</v>
      </c>
      <c r="BD22" s="15">
        <f t="shared" si="21"/>
        <v>1474.29426477268</v>
      </c>
      <c r="BF22" s="16">
        <f t="shared" si="8"/>
        <v>109.33357473792761</v>
      </c>
      <c r="BG22" s="17">
        <f t="shared" si="9"/>
        <v>1360.1827844260401</v>
      </c>
      <c r="BI22">
        <v>58</v>
      </c>
      <c r="BJ22" t="s">
        <v>48</v>
      </c>
      <c r="BK22" s="2">
        <v>46217.752337962964</v>
      </c>
      <c r="BL22">
        <v>225</v>
      </c>
      <c r="BM22" t="s">
        <v>13</v>
      </c>
      <c r="BN22">
        <v>0</v>
      </c>
      <c r="BO22">
        <v>2.8679999999999999</v>
      </c>
      <c r="BP22" s="3">
        <v>1028536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46217.773587962962</v>
      </c>
      <c r="D23">
        <v>250</v>
      </c>
      <c r="E23" t="s">
        <v>13</v>
      </c>
      <c r="F23">
        <v>0</v>
      </c>
      <c r="G23">
        <v>6.0540000000000003</v>
      </c>
      <c r="H23" s="3">
        <v>8635</v>
      </c>
      <c r="I23">
        <v>1.7999999999999999E-2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46217.773587962962</v>
      </c>
      <c r="R23">
        <v>250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46217.773587962962</v>
      </c>
      <c r="AF23">
        <v>250</v>
      </c>
      <c r="AG23" t="s">
        <v>13</v>
      </c>
      <c r="AH23">
        <v>0</v>
      </c>
      <c r="AI23">
        <v>12.305</v>
      </c>
      <c r="AJ23" s="3">
        <v>6310</v>
      </c>
      <c r="AK23">
        <v>1.17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23.60624718235</v>
      </c>
      <c r="AU23" s="17">
        <f t="shared" si="1"/>
        <v>1217.9420182190001</v>
      </c>
      <c r="AW23" s="9">
        <f t="shared" si="16"/>
        <v>11.838366500000001</v>
      </c>
      <c r="AX23" s="10">
        <f t="shared" si="17"/>
        <v>1499.7598767899999</v>
      </c>
      <c r="AZ23" s="11">
        <f t="shared" si="18"/>
        <v>21.631197676500001</v>
      </c>
      <c r="BA23" s="12">
        <f t="shared" si="19"/>
        <v>1325.2689972199998</v>
      </c>
      <c r="BC23" s="14">
        <f t="shared" si="20"/>
        <v>27.431335469924996</v>
      </c>
      <c r="BD23" s="15">
        <f t="shared" si="21"/>
        <v>1300.833223973</v>
      </c>
      <c r="BF23" s="16">
        <f t="shared" si="8"/>
        <v>23.60624718235</v>
      </c>
      <c r="BG23" s="17">
        <f t="shared" si="9"/>
        <v>1217.9420182190001</v>
      </c>
      <c r="BI23">
        <v>59</v>
      </c>
      <c r="BJ23" t="s">
        <v>49</v>
      </c>
      <c r="BK23" s="2">
        <v>46217.773587962962</v>
      </c>
      <c r="BL23">
        <v>250</v>
      </c>
      <c r="BM23" t="s">
        <v>13</v>
      </c>
      <c r="BN23">
        <v>0</v>
      </c>
      <c r="BO23">
        <v>2.8780000000000001</v>
      </c>
      <c r="BP23" s="3">
        <v>832214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46217.79482638889</v>
      </c>
      <c r="D24">
        <v>190</v>
      </c>
      <c r="E24" t="s">
        <v>13</v>
      </c>
      <c r="F24">
        <v>0</v>
      </c>
      <c r="G24">
        <v>6.0469999999999997</v>
      </c>
      <c r="H24" s="3">
        <v>95691</v>
      </c>
      <c r="I24">
        <v>0.19400000000000001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46217.79482638889</v>
      </c>
      <c r="R24">
        <v>190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46217.79482638889</v>
      </c>
      <c r="AF24">
        <v>190</v>
      </c>
      <c r="AG24" t="s">
        <v>13</v>
      </c>
      <c r="AH24">
        <v>0</v>
      </c>
      <c r="AI24">
        <v>12.176</v>
      </c>
      <c r="AJ24" s="3">
        <v>121364</v>
      </c>
      <c r="AK24">
        <v>20.815000000000001</v>
      </c>
      <c r="AL24" t="s">
        <v>14</v>
      </c>
      <c r="AM24" t="s">
        <v>14</v>
      </c>
      <c r="AN24" t="s">
        <v>14</v>
      </c>
      <c r="AO24" t="s">
        <v>14</v>
      </c>
      <c r="AQ24">
        <v>2</v>
      </c>
      <c r="AR24" t="s">
        <v>62</v>
      </c>
      <c r="AS24" s="8">
        <v>60</v>
      </c>
      <c r="AT24" s="16">
        <f t="shared" si="0"/>
        <v>208.31777272015159</v>
      </c>
      <c r="AU24" s="17">
        <f t="shared" si="1"/>
        <v>21484.502937470319</v>
      </c>
      <c r="AW24" s="9">
        <f t="shared" si="16"/>
        <v>266.32749068246301</v>
      </c>
      <c r="AX24" s="10">
        <f t="shared" si="17"/>
        <v>27682.4376817136</v>
      </c>
      <c r="AZ24" s="11">
        <f t="shared" si="18"/>
        <v>270.44273455148715</v>
      </c>
      <c r="BA24" s="12">
        <f t="shared" si="19"/>
        <v>24132.750031481122</v>
      </c>
      <c r="BC24" s="14">
        <f t="shared" si="20"/>
        <v>257.41403215249699</v>
      </c>
      <c r="BD24" s="15">
        <f t="shared" si="21"/>
        <v>26491.026478332478</v>
      </c>
      <c r="BF24" s="16">
        <f t="shared" si="8"/>
        <v>208.31777272015159</v>
      </c>
      <c r="BG24" s="17">
        <f t="shared" si="9"/>
        <v>21484.502937470319</v>
      </c>
      <c r="BI24">
        <v>60</v>
      </c>
      <c r="BJ24" t="s">
        <v>50</v>
      </c>
      <c r="BK24" s="2">
        <v>46217.79482638889</v>
      </c>
      <c r="BL24">
        <v>190</v>
      </c>
      <c r="BM24" t="s">
        <v>13</v>
      </c>
      <c r="BN24">
        <v>0</v>
      </c>
      <c r="BO24">
        <v>2.8610000000000002</v>
      </c>
      <c r="BP24" s="3">
        <v>1144854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46217.816064814811</v>
      </c>
      <c r="D25">
        <v>27</v>
      </c>
      <c r="E25" t="s">
        <v>13</v>
      </c>
      <c r="F25">
        <v>0</v>
      </c>
      <c r="G25">
        <v>5.9</v>
      </c>
      <c r="H25" s="3">
        <v>42962621</v>
      </c>
      <c r="I25">
        <v>98.671000000000006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46217.816064814811</v>
      </c>
      <c r="R25">
        <v>27</v>
      </c>
      <c r="S25" t="s">
        <v>13</v>
      </c>
      <c r="T25">
        <v>0</v>
      </c>
      <c r="U25">
        <v>5.8680000000000003</v>
      </c>
      <c r="V25" s="3">
        <v>415776</v>
      </c>
      <c r="W25">
        <v>94.238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46217.816064814811</v>
      </c>
      <c r="AF25">
        <v>27</v>
      </c>
      <c r="AG25" t="s">
        <v>13</v>
      </c>
      <c r="AH25">
        <v>0</v>
      </c>
      <c r="AI25">
        <v>12.236000000000001</v>
      </c>
      <c r="AJ25" s="3">
        <v>62083</v>
      </c>
      <c r="AK25">
        <v>10.696999999999999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93087.782840649714</v>
      </c>
      <c r="AU25" s="17">
        <f t="shared" si="1"/>
        <v>11773.161178933698</v>
      </c>
      <c r="AW25" s="9">
        <f t="shared" si="16"/>
        <v>102157.15035648001</v>
      </c>
      <c r="AX25" s="10">
        <f t="shared" si="17"/>
        <v>13443.3182754399</v>
      </c>
      <c r="AZ25" s="11">
        <f t="shared" si="18"/>
        <v>109143.069452544</v>
      </c>
      <c r="BA25" s="12">
        <f t="shared" si="19"/>
        <v>12164.40409769733</v>
      </c>
      <c r="BC25" s="14">
        <f t="shared" si="20"/>
        <v>99780.005422735354</v>
      </c>
      <c r="BD25" s="15">
        <f t="shared" si="21"/>
        <v>13878.88744579882</v>
      </c>
      <c r="BF25" s="16">
        <f t="shared" si="8"/>
        <v>93087.782840649714</v>
      </c>
      <c r="BG25" s="17">
        <f t="shared" si="9"/>
        <v>11773.161178933698</v>
      </c>
      <c r="BI25">
        <v>61</v>
      </c>
      <c r="BJ25" t="s">
        <v>51</v>
      </c>
      <c r="BK25" s="2">
        <v>46217.816064814811</v>
      </c>
      <c r="BL25">
        <v>27</v>
      </c>
      <c r="BM25" t="s">
        <v>13</v>
      </c>
      <c r="BN25">
        <v>0</v>
      </c>
      <c r="BO25">
        <v>2.89</v>
      </c>
      <c r="BP25" s="3">
        <v>546825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46217.837268518517</v>
      </c>
      <c r="D26">
        <v>264</v>
      </c>
      <c r="E26" t="s">
        <v>13</v>
      </c>
      <c r="F26">
        <v>0</v>
      </c>
      <c r="G26">
        <v>6.0620000000000003</v>
      </c>
      <c r="H26" s="3">
        <v>3889</v>
      </c>
      <c r="I26">
        <v>8.0000000000000002E-3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46217.837268518517</v>
      </c>
      <c r="R26">
        <v>264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46217.837268518517</v>
      </c>
      <c r="AF26">
        <v>264</v>
      </c>
      <c r="AG26" t="s">
        <v>13</v>
      </c>
      <c r="AH26">
        <v>0</v>
      </c>
      <c r="AI26">
        <v>12.175000000000001</v>
      </c>
      <c r="AJ26" s="3">
        <v>129136</v>
      </c>
      <c r="AK26">
        <v>22.140999999999998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11.463673271806</v>
      </c>
      <c r="AU26" s="17">
        <f t="shared" si="1"/>
        <v>22758.892283519715</v>
      </c>
      <c r="AW26" s="9">
        <f t="shared" si="16"/>
        <v>2.3560483399999992</v>
      </c>
      <c r="AX26" s="10">
        <f t="shared" si="17"/>
        <v>29527.9344443136</v>
      </c>
      <c r="AZ26" s="11">
        <f t="shared" si="18"/>
        <v>6.5929207019399989</v>
      </c>
      <c r="BA26" s="12">
        <f t="shared" si="19"/>
        <v>25689.329960901123</v>
      </c>
      <c r="BC26" s="14">
        <f t="shared" si="20"/>
        <v>10.400948858252999</v>
      </c>
      <c r="BD26" s="15">
        <f t="shared" si="21"/>
        <v>28138.998949012479</v>
      </c>
      <c r="BF26" s="16">
        <f t="shared" si="8"/>
        <v>11.463673271806</v>
      </c>
      <c r="BG26" s="17">
        <f t="shared" si="9"/>
        <v>22758.892283519715</v>
      </c>
      <c r="BI26">
        <v>62</v>
      </c>
      <c r="BJ26" t="s">
        <v>52</v>
      </c>
      <c r="BK26" s="2">
        <v>46217.837268518517</v>
      </c>
      <c r="BL26">
        <v>264</v>
      </c>
      <c r="BM26" t="s">
        <v>13</v>
      </c>
      <c r="BN26">
        <v>0</v>
      </c>
      <c r="BO26">
        <v>2.8759999999999999</v>
      </c>
      <c r="BP26" s="3">
        <v>866285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46217.858506944445</v>
      </c>
      <c r="D27">
        <v>324</v>
      </c>
      <c r="E27" t="s">
        <v>13</v>
      </c>
      <c r="F27">
        <v>0</v>
      </c>
      <c r="G27">
        <v>6.0830000000000002</v>
      </c>
      <c r="H27" s="3">
        <v>1818</v>
      </c>
      <c r="I27">
        <v>4.0000000000000001E-3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46217.858506944445</v>
      </c>
      <c r="R27">
        <v>324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46217.858506944445</v>
      </c>
      <c r="AF27">
        <v>324</v>
      </c>
      <c r="AG27" t="s">
        <v>13</v>
      </c>
      <c r="AH27">
        <v>0</v>
      </c>
      <c r="AI27">
        <v>12.189</v>
      </c>
      <c r="AJ27" s="3">
        <v>120426</v>
      </c>
      <c r="AK27">
        <v>20.655000000000001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6.1126147694640007</v>
      </c>
      <c r="AU27" s="17">
        <f t="shared" si="1"/>
        <v>21330.715977987558</v>
      </c>
      <c r="AW27" s="9">
        <f t="shared" si="16"/>
        <v>5.8419969600000003</v>
      </c>
      <c r="AX27" s="10">
        <f t="shared" si="17"/>
        <v>27459.3711616316</v>
      </c>
      <c r="AZ27" s="11">
        <f t="shared" si="18"/>
        <v>0.83740878536000007</v>
      </c>
      <c r="BA27" s="12">
        <f t="shared" si="19"/>
        <v>23944.690611931717</v>
      </c>
      <c r="BC27" s="14">
        <f t="shared" si="20"/>
        <v>3.0893464181319992</v>
      </c>
      <c r="BD27" s="15">
        <f t="shared" si="21"/>
        <v>26292.046483924882</v>
      </c>
      <c r="BF27" s="16">
        <f t="shared" si="8"/>
        <v>6.1126147694640007</v>
      </c>
      <c r="BG27" s="17">
        <f t="shared" si="9"/>
        <v>21330.715977987558</v>
      </c>
      <c r="BI27">
        <v>63</v>
      </c>
      <c r="BJ27" t="s">
        <v>53</v>
      </c>
      <c r="BK27" s="2">
        <v>46217.858506944445</v>
      </c>
      <c r="BL27">
        <v>324</v>
      </c>
      <c r="BM27" t="s">
        <v>13</v>
      </c>
      <c r="BN27">
        <v>0</v>
      </c>
      <c r="BO27">
        <v>2.87</v>
      </c>
      <c r="BP27" s="3">
        <v>1122433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46217.879745370374</v>
      </c>
      <c r="D28">
        <v>37</v>
      </c>
      <c r="E28" t="s">
        <v>13</v>
      </c>
      <c r="F28">
        <v>0</v>
      </c>
      <c r="G28">
        <v>6.0570000000000004</v>
      </c>
      <c r="H28" s="3">
        <v>69131</v>
      </c>
      <c r="I28">
        <v>0.14000000000000001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46217.879745370374</v>
      </c>
      <c r="R28">
        <v>37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46217.879745370374</v>
      </c>
      <c r="AF28">
        <v>37</v>
      </c>
      <c r="AG28" t="s">
        <v>13</v>
      </c>
      <c r="AH28">
        <v>0</v>
      </c>
      <c r="AI28">
        <v>12.276</v>
      </c>
      <c r="AJ28" s="3">
        <v>43287</v>
      </c>
      <c r="AK28">
        <v>7.4870000000000001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152.06472858139958</v>
      </c>
      <c r="AU28" s="17">
        <f t="shared" si="1"/>
        <v>8150.2079267665104</v>
      </c>
      <c r="AW28" s="9">
        <f t="shared" si="16"/>
        <v>192.40899993110301</v>
      </c>
      <c r="AX28" s="10">
        <f t="shared" si="17"/>
        <v>9685.6840712991016</v>
      </c>
      <c r="AZ28" s="11">
        <f t="shared" si="18"/>
        <v>194.70956631750323</v>
      </c>
      <c r="BA28" s="12">
        <f t="shared" si="19"/>
        <v>8795.8838907337995</v>
      </c>
      <c r="BC28" s="14">
        <f t="shared" si="20"/>
        <v>187.33143997265699</v>
      </c>
      <c r="BD28" s="15">
        <f t="shared" si="21"/>
        <v>9630.5042824131706</v>
      </c>
      <c r="BF28" s="16">
        <f t="shared" si="8"/>
        <v>152.06472858139958</v>
      </c>
      <c r="BG28" s="17">
        <f t="shared" si="9"/>
        <v>8150.2079267665104</v>
      </c>
      <c r="BI28">
        <v>64</v>
      </c>
      <c r="BJ28" t="s">
        <v>54</v>
      </c>
      <c r="BK28" s="2">
        <v>46217.879745370374</v>
      </c>
      <c r="BL28">
        <v>37</v>
      </c>
      <c r="BM28" t="s">
        <v>13</v>
      </c>
      <c r="BN28">
        <v>0</v>
      </c>
      <c r="BO28">
        <v>2.8860000000000001</v>
      </c>
      <c r="BP28" s="3">
        <v>815353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46217.901030092595</v>
      </c>
      <c r="D29">
        <v>122</v>
      </c>
      <c r="E29" t="s">
        <v>13</v>
      </c>
      <c r="F29">
        <v>0</v>
      </c>
      <c r="G29">
        <v>5.98</v>
      </c>
      <c r="H29" s="3">
        <v>23118459</v>
      </c>
      <c r="I29">
        <v>49.837000000000003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46217.901030092595</v>
      </c>
      <c r="R29">
        <v>122</v>
      </c>
      <c r="S29" t="s">
        <v>13</v>
      </c>
      <c r="T29">
        <v>0</v>
      </c>
      <c r="U29">
        <v>5.9390000000000001</v>
      </c>
      <c r="V29" s="3">
        <v>197165</v>
      </c>
      <c r="W29">
        <v>44.853999999999999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46217.901030092595</v>
      </c>
      <c r="AF29">
        <v>122</v>
      </c>
      <c r="AG29" t="s">
        <v>13</v>
      </c>
      <c r="AH29">
        <v>0</v>
      </c>
      <c r="AI29">
        <v>12.238</v>
      </c>
      <c r="AJ29" s="3">
        <v>65891</v>
      </c>
      <c r="AK29" s="13">
        <v>11.347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45238.171767966051</v>
      </c>
      <c r="AU29" s="17">
        <f t="shared" si="1"/>
        <v>12396.500893157934</v>
      </c>
      <c r="AW29" s="9">
        <f t="shared" si="16"/>
        <v>48763.341755500005</v>
      </c>
      <c r="AX29" s="10">
        <f t="shared" si="17"/>
        <v>14366.628283267099</v>
      </c>
      <c r="AZ29" s="11">
        <f t="shared" si="18"/>
        <v>52719.826346025002</v>
      </c>
      <c r="BA29" s="12">
        <f t="shared" si="19"/>
        <v>12938.284078139572</v>
      </c>
      <c r="BC29" s="14">
        <f t="shared" si="20"/>
        <v>48344.164762538494</v>
      </c>
      <c r="BD29" s="15">
        <f t="shared" si="21"/>
        <v>14691.289654383781</v>
      </c>
      <c r="BF29" s="16">
        <f t="shared" si="8"/>
        <v>45238.171767966051</v>
      </c>
      <c r="BG29" s="17">
        <f t="shared" si="9"/>
        <v>12396.500893157934</v>
      </c>
      <c r="BI29">
        <v>65</v>
      </c>
      <c r="BJ29" t="s">
        <v>55</v>
      </c>
      <c r="BK29" s="2">
        <v>46217.901030092595</v>
      </c>
      <c r="BL29">
        <v>122</v>
      </c>
      <c r="BM29" t="s">
        <v>13</v>
      </c>
      <c r="BN29">
        <v>0</v>
      </c>
      <c r="BO29">
        <v>2.8929999999999998</v>
      </c>
      <c r="BP29" s="3">
        <v>633464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46217.922268518516</v>
      </c>
      <c r="D30">
        <v>227</v>
      </c>
      <c r="E30" t="s">
        <v>13</v>
      </c>
      <c r="F30">
        <v>0</v>
      </c>
      <c r="G30">
        <v>6.07</v>
      </c>
      <c r="H30" s="3">
        <v>2241</v>
      </c>
      <c r="I30">
        <v>5.0000000000000001E-3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46217.922268518516</v>
      </c>
      <c r="R30">
        <v>227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46217.922268518516</v>
      </c>
      <c r="AF30">
        <v>227</v>
      </c>
      <c r="AG30" t="s">
        <v>13</v>
      </c>
      <c r="AH30">
        <v>0</v>
      </c>
      <c r="AI30">
        <v>12.324999999999999</v>
      </c>
      <c r="AJ30" s="3">
        <v>3933</v>
      </c>
      <c r="AK30">
        <v>0.76400000000000001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si="0"/>
        <v>7.2081529911660009</v>
      </c>
      <c r="AU30" s="17">
        <f t="shared" si="1"/>
        <v>775.66171722131003</v>
      </c>
      <c r="AW30" s="9">
        <f t="shared" si="16"/>
        <v>4.7535587400000008</v>
      </c>
      <c r="AX30" s="10">
        <f t="shared" si="17"/>
        <v>930.87682216709993</v>
      </c>
      <c r="AZ30" s="11">
        <f t="shared" si="18"/>
        <v>1.9731347083399999</v>
      </c>
      <c r="BA30" s="12">
        <f t="shared" si="19"/>
        <v>839.43998435779997</v>
      </c>
      <c r="BC30" s="14">
        <f t="shared" si="20"/>
        <v>4.5768145339329998</v>
      </c>
      <c r="BD30" s="15">
        <f t="shared" si="21"/>
        <v>760.78506124477008</v>
      </c>
      <c r="BF30" s="16">
        <f t="shared" si="8"/>
        <v>7.2081529911660009</v>
      </c>
      <c r="BG30" s="17">
        <f t="shared" si="9"/>
        <v>775.66171722131003</v>
      </c>
      <c r="BI30">
        <v>66</v>
      </c>
      <c r="BJ30" t="s">
        <v>56</v>
      </c>
      <c r="BK30" s="2">
        <v>46217.922268518516</v>
      </c>
      <c r="BL30">
        <v>227</v>
      </c>
      <c r="BM30" t="s">
        <v>13</v>
      </c>
      <c r="BN30">
        <v>0</v>
      </c>
      <c r="BO30">
        <v>2.8380000000000001</v>
      </c>
      <c r="BP30" s="3">
        <v>1796873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46217.943530092591</v>
      </c>
      <c r="D31">
        <v>123</v>
      </c>
      <c r="E31" t="s">
        <v>13</v>
      </c>
      <c r="F31">
        <v>0</v>
      </c>
      <c r="G31">
        <v>6.0490000000000004</v>
      </c>
      <c r="H31" s="3">
        <v>49640</v>
      </c>
      <c r="I31">
        <v>0.10100000000000001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46217.943530092591</v>
      </c>
      <c r="R31">
        <v>123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46217.943530092591</v>
      </c>
      <c r="AF31">
        <v>123</v>
      </c>
      <c r="AG31" t="s">
        <v>13</v>
      </c>
      <c r="AH31">
        <v>0</v>
      </c>
      <c r="AI31">
        <v>12.307</v>
      </c>
      <c r="AJ31" s="3">
        <v>8330</v>
      </c>
      <c r="AK31">
        <v>1.516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0"/>
        <v>110.44570161856001</v>
      </c>
      <c r="AU31" s="17">
        <f t="shared" si="1"/>
        <v>1594.1144287310001</v>
      </c>
      <c r="AW31" s="9">
        <f t="shared" si="16"/>
        <v>136.74858762080001</v>
      </c>
      <c r="AX31" s="10">
        <f t="shared" si="17"/>
        <v>1979.1517227100001</v>
      </c>
      <c r="AZ31" s="11">
        <f t="shared" si="18"/>
        <v>138.87371937152</v>
      </c>
      <c r="BA31" s="12">
        <f t="shared" si="19"/>
        <v>1737.6005437799997</v>
      </c>
      <c r="BC31" s="14">
        <f t="shared" si="20"/>
        <v>135.66541391519999</v>
      </c>
      <c r="BD31" s="15">
        <f t="shared" si="21"/>
        <v>1759.3360866770001</v>
      </c>
      <c r="BF31" s="16">
        <f t="shared" si="8"/>
        <v>110.44570161856001</v>
      </c>
      <c r="BG31" s="17">
        <f t="shared" si="9"/>
        <v>1594.1144287310001</v>
      </c>
      <c r="BI31">
        <v>67</v>
      </c>
      <c r="BJ31" t="s">
        <v>57</v>
      </c>
      <c r="BK31" s="2">
        <v>46217.943530092591</v>
      </c>
      <c r="BL31">
        <v>123</v>
      </c>
      <c r="BM31" t="s">
        <v>13</v>
      </c>
      <c r="BN31">
        <v>0</v>
      </c>
      <c r="BO31">
        <v>2.8180000000000001</v>
      </c>
      <c r="BP31" s="3">
        <v>2095823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46217.964780092596</v>
      </c>
      <c r="D32">
        <v>231</v>
      </c>
      <c r="E32" t="s">
        <v>13</v>
      </c>
      <c r="F32">
        <v>0</v>
      </c>
      <c r="G32">
        <v>6.069</v>
      </c>
      <c r="H32" s="3">
        <v>1737</v>
      </c>
      <c r="I32">
        <v>4.0000000000000001E-3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46217.964780092596</v>
      </c>
      <c r="R32">
        <v>231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46217.964780092596</v>
      </c>
      <c r="AF32">
        <v>231</v>
      </c>
      <c r="AG32" t="s">
        <v>13</v>
      </c>
      <c r="AH32">
        <v>0</v>
      </c>
      <c r="AI32">
        <v>12.179</v>
      </c>
      <c r="AJ32" s="3">
        <v>119631</v>
      </c>
      <c r="AK32">
        <v>20.518999999999998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0"/>
        <v>5.9026792343340002</v>
      </c>
      <c r="AU32" s="17">
        <f t="shared" si="1"/>
        <v>21200.377297217947</v>
      </c>
      <c r="AW32" s="9">
        <f t="shared" si="16"/>
        <v>6.0724662600000014</v>
      </c>
      <c r="AX32" s="10">
        <f t="shared" si="17"/>
        <v>27270.255235015098</v>
      </c>
      <c r="AZ32" s="11">
        <f t="shared" si="18"/>
        <v>0.62226203666000046</v>
      </c>
      <c r="BA32" s="12">
        <f t="shared" si="19"/>
        <v>23785.268124851169</v>
      </c>
      <c r="BC32" s="14">
        <f t="shared" si="20"/>
        <v>2.8048588163170001</v>
      </c>
      <c r="BD32" s="15">
        <f t="shared" si="21"/>
        <v>26123.386761170179</v>
      </c>
      <c r="BF32" s="16">
        <f t="shared" si="8"/>
        <v>5.9026792343340002</v>
      </c>
      <c r="BG32" s="17">
        <f t="shared" si="9"/>
        <v>21200.377297217947</v>
      </c>
      <c r="BI32">
        <v>68</v>
      </c>
      <c r="BJ32" t="s">
        <v>58</v>
      </c>
      <c r="BK32" s="2">
        <v>46217.964780092596</v>
      </c>
      <c r="BL32">
        <v>231</v>
      </c>
      <c r="BM32" t="s">
        <v>13</v>
      </c>
      <c r="BN32">
        <v>0</v>
      </c>
      <c r="BO32">
        <v>2.8769999999999998</v>
      </c>
      <c r="BP32" s="3">
        <v>832707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46217.986018518517</v>
      </c>
      <c r="D33">
        <v>170</v>
      </c>
      <c r="E33" t="s">
        <v>13</v>
      </c>
      <c r="F33">
        <v>0</v>
      </c>
      <c r="G33">
        <v>6.0709999999999997</v>
      </c>
      <c r="H33" s="3">
        <v>1962</v>
      </c>
      <c r="I33">
        <v>4.0000000000000001E-3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46217.986018518517</v>
      </c>
      <c r="R33">
        <v>170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46217.986018518517</v>
      </c>
      <c r="AF33">
        <v>170</v>
      </c>
      <c r="AG33" t="s">
        <v>13</v>
      </c>
      <c r="AH33">
        <v>0</v>
      </c>
      <c r="AI33">
        <v>12.179</v>
      </c>
      <c r="AJ33" s="3">
        <v>115176</v>
      </c>
      <c r="AK33">
        <v>19.759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0"/>
        <v>6.4857131649840003</v>
      </c>
      <c r="AU33" s="17">
        <f t="shared" si="1"/>
        <v>20470.042235007109</v>
      </c>
      <c r="AW33" s="9">
        <f t="shared" si="16"/>
        <v>5.4497697599999997</v>
      </c>
      <c r="AX33" s="10">
        <f t="shared" si="17"/>
        <v>26209.535801081598</v>
      </c>
      <c r="AZ33" s="11">
        <f t="shared" si="18"/>
        <v>1.2217432301600004</v>
      </c>
      <c r="BA33" s="12">
        <f t="shared" si="19"/>
        <v>22891.338571246721</v>
      </c>
      <c r="BC33" s="14">
        <f t="shared" si="20"/>
        <v>3.5953773278919998</v>
      </c>
      <c r="BD33" s="15">
        <f t="shared" si="21"/>
        <v>25178.007473434878</v>
      </c>
      <c r="BF33" s="16">
        <f t="shared" si="8"/>
        <v>6.4857131649840003</v>
      </c>
      <c r="BG33" s="17">
        <f t="shared" si="9"/>
        <v>20470.042235007109</v>
      </c>
      <c r="BI33">
        <v>69</v>
      </c>
      <c r="BJ33" t="s">
        <v>59</v>
      </c>
      <c r="BK33" s="2">
        <v>46217.986018518517</v>
      </c>
      <c r="BL33">
        <v>170</v>
      </c>
      <c r="BM33" t="s">
        <v>13</v>
      </c>
      <c r="BN33">
        <v>0</v>
      </c>
      <c r="BO33">
        <v>2.8769999999999998</v>
      </c>
      <c r="BP33" s="3">
        <v>829694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46218.007256944446</v>
      </c>
      <c r="D34">
        <v>171</v>
      </c>
      <c r="E34" t="s">
        <v>13</v>
      </c>
      <c r="F34">
        <v>0</v>
      </c>
      <c r="G34">
        <v>6.0549999999999997</v>
      </c>
      <c r="H34" s="3">
        <v>52843</v>
      </c>
      <c r="I34">
        <v>0.107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46218.007256944446</v>
      </c>
      <c r="R34">
        <v>171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46218.007256944446</v>
      </c>
      <c r="AF34">
        <v>171</v>
      </c>
      <c r="AG34" t="s">
        <v>13</v>
      </c>
      <c r="AH34">
        <v>0</v>
      </c>
      <c r="AI34">
        <v>12.315</v>
      </c>
      <c r="AJ34" s="3">
        <v>7804</v>
      </c>
      <c r="AK34">
        <v>1.4259999999999999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0"/>
        <v>117.30468717091641</v>
      </c>
      <c r="AU34" s="17">
        <f t="shared" si="1"/>
        <v>1496.1324974686399</v>
      </c>
      <c r="AW34" s="9">
        <f t="shared" si="16"/>
        <v>145.97766156252703</v>
      </c>
      <c r="AX34" s="10">
        <f t="shared" si="17"/>
        <v>1854.6784080624</v>
      </c>
      <c r="AZ34" s="11">
        <f t="shared" si="18"/>
        <v>148.0644168909688</v>
      </c>
      <c r="BA34" s="12">
        <f t="shared" si="19"/>
        <v>1630.2780355231998</v>
      </c>
      <c r="BC34" s="14">
        <f t="shared" si="20"/>
        <v>144.16952936331299</v>
      </c>
      <c r="BD34" s="15">
        <f t="shared" si="21"/>
        <v>1639.9823184468801</v>
      </c>
      <c r="BF34" s="16">
        <f t="shared" si="8"/>
        <v>117.30468717091641</v>
      </c>
      <c r="BG34" s="17">
        <f t="shared" si="9"/>
        <v>1496.1324974686399</v>
      </c>
      <c r="BI34">
        <v>70</v>
      </c>
      <c r="BJ34" t="s">
        <v>60</v>
      </c>
      <c r="BK34" s="2">
        <v>46218.007256944446</v>
      </c>
      <c r="BL34">
        <v>171</v>
      </c>
      <c r="BM34" t="s">
        <v>13</v>
      </c>
      <c r="BN34">
        <v>0</v>
      </c>
      <c r="BO34">
        <v>2.8839999999999999</v>
      </c>
      <c r="BP34" s="3">
        <v>866219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46218.028483796297</v>
      </c>
      <c r="D35">
        <v>309</v>
      </c>
      <c r="E35" t="s">
        <v>13</v>
      </c>
      <c r="F35">
        <v>0</v>
      </c>
      <c r="G35">
        <v>5.89</v>
      </c>
      <c r="H35" s="3">
        <v>45548789</v>
      </c>
      <c r="I35">
        <v>105.58799999999999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46218.028483796297</v>
      </c>
      <c r="R35">
        <v>309</v>
      </c>
      <c r="S35" t="s">
        <v>13</v>
      </c>
      <c r="T35">
        <v>0</v>
      </c>
      <c r="U35">
        <v>5.8630000000000004</v>
      </c>
      <c r="V35" s="3">
        <v>465355</v>
      </c>
      <c r="W35">
        <v>105.41200000000001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46218.028483796297</v>
      </c>
      <c r="AF35">
        <v>309</v>
      </c>
      <c r="AG35" t="s">
        <v>13</v>
      </c>
      <c r="AH35">
        <v>0</v>
      </c>
      <c r="AI35">
        <v>12.19</v>
      </c>
      <c r="AJ35" s="3">
        <v>108402</v>
      </c>
      <c r="AK35">
        <v>18.603000000000002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0"/>
        <v>103973.92100159245</v>
      </c>
      <c r="AU35" s="17">
        <f t="shared" si="1"/>
        <v>19359.713143298573</v>
      </c>
      <c r="AW35" s="9">
        <f t="shared" si="16"/>
        <v>114000.45197950001</v>
      </c>
      <c r="AX35" s="10">
        <f t="shared" si="17"/>
        <v>24593.5597615964</v>
      </c>
      <c r="AZ35" s="11">
        <f t="shared" si="18"/>
        <v>121527.15694322501</v>
      </c>
      <c r="BA35" s="12">
        <f t="shared" si="19"/>
        <v>21530.25622369588</v>
      </c>
      <c r="BC35" s="14">
        <f t="shared" si="20"/>
        <v>111310.36200110649</v>
      </c>
      <c r="BD35" s="15">
        <f t="shared" si="21"/>
        <v>23739.713847925519</v>
      </c>
      <c r="BF35" s="16">
        <f t="shared" si="8"/>
        <v>103973.92100159245</v>
      </c>
      <c r="BG35" s="17">
        <f t="shared" si="9"/>
        <v>19359.713143298573</v>
      </c>
      <c r="BI35">
        <v>71</v>
      </c>
      <c r="BJ35" t="s">
        <v>61</v>
      </c>
      <c r="BK35" s="2">
        <v>46218.028483796297</v>
      </c>
      <c r="BL35">
        <v>309</v>
      </c>
      <c r="BM35" t="s">
        <v>13</v>
      </c>
      <c r="BN35">
        <v>0</v>
      </c>
      <c r="BO35">
        <v>2.863</v>
      </c>
      <c r="BP35" s="3">
        <v>1150530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1:73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1:73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1:73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1:73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1:73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2026-07-15T15:47:59Z</dcterms:modified>
</cp:coreProperties>
</file>