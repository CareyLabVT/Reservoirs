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13_ncr:1_{A193151B-DCA3-4B7D-8378-D72E556D55D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<sst xmlns="http://schemas.openxmlformats.org/spreadsheetml/2006/main" count="429" uniqueCount="48">
  <si>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</si>
  <si>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</si>
  <si>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</si>
  <si>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</si>
  <si>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</si>
  <si>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</si>
  <si>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</si>
  <si>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</si>
  <si>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</si>
  <si>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</si>
  <si>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</si>
  <si>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</si>
  <si>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</si>
  <si>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</si>
  <si>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</si>
  <si>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</si>
  <si>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</si>
  <si>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</si>
  <si>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</si>
  <si>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</si>
  <si>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</si>
  <si>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</si>
  <si>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</si>
  <si>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</si>
  <si>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</si>
  <si>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</si>
  <si>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</si>
  <si>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</si>
  <si>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</si>
  <si>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</si>
  <si>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</si>
  <si>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</si>
  <si>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</si>
  <si>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</si>
  <si>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</si>
  <si>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FMI20260716_001.gcd</t>
  </si>
  <si>
    <t>FMI20260716_002.gcd</t>
  </si>
  <si>
    <t>FMI20260716_003.gcd</t>
  </si>
  <si>
    <t>FMI20260716_004.gcd</t>
  </si>
  <si>
    <t>FMI20260716_005.gcd</t>
  </si>
  <si>
    <t>FMI20260716_006.gcd</t>
  </si>
  <si>
    <t>FMI20260716_007.gcd</t>
  </si>
  <si>
    <t>FMI20260716_008.gcd</t>
  </si>
  <si>
    <t>FMI20260716_009.gcd</t>
  </si>
  <si>
    <t>FMI20260716_010.gcd</t>
  </si>
  <si>
    <t>FMI20260716_011.gcd</t>
  </si>
  <si>
    <t>FMI20260716_012.gcd</t>
  </si>
  <si>
    <t>FMI20260716_013.gcd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</si>
</sst>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F6" workbookViewId="0">
      <selection activeCell="AM32" sqref="AM32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46219.707766203705</v>
      </c>
      <c r="D9" t="s">
        <v>31</v>
      </c>
      <c r="E9" t="s">
        <v>13</v>
      </c>
      <c r="F9">
        <v>0</v>
      </c>
      <c r="G9">
        <v>6.0970000000000004</v>
      </c>
      <c r="H9" s="3">
        <v>1521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46219.707766203705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46219.707766203705</v>
      </c>
      <c r="AF9" t="s">
        <v>31</v>
      </c>
      <c r="AG9" t="s">
        <v>13</v>
      </c>
      <c r="AH9">
        <v>0</v>
      </c>
      <c r="AI9">
        <v>12.351000000000001</v>
      </c>
      <c r="AJ9" s="3">
        <v>2607</v>
      </c>
      <c r="AK9">
        <v>0.53800000000000003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1" si="0">IF($H9&lt;10000,(($H9^2*-0.000000003714)+($H9*0.002605)+(1.389)),(IF($H9&lt;200000,(($H9^2*-0.0000000003764)+($H9*0.00218)+(3.158)),(IF($H9&lt;8000000,(($H9^2*-0.000000000004719)+($H9*0.001816)+(146.1)),(($V9^2*0.000000002578)+($V9*0.2173)+(2294)))))))</f>
        <v>5.3426128801259996</v>
      </c>
      <c r="AU9" s="17">
        <f t="shared" ref="AU9:AU21" si="1">IF($AJ9&lt;45000,((0.00000003579*$AJ9^2)+(0.1857*$AJ9)+(44.75)),((0.0000000022829*$AJ9^2)+(0.1634*$AJ9)+(1620)))</f>
        <v>529.11314490970994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6.7216931400000011</v>
      </c>
      <c r="AX9" s="10">
        <f t="shared" ref="AX9:AX14" si="3">IF(AJ9&lt;45000,((-0.0000004561*AJ9^2)+(0.244*AJ9)+(-21.72)),((-0.0000000409*AJ9^2)+(0.2477*AJ9)+(-1777)))</f>
        <v>611.28813961109995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5.2203018739999774E-2</v>
      </c>
      <c r="BA9" s="12">
        <f t="shared" ref="BA9:BA14" si="5">IF(AJ9&lt;45000,((-0.0000000598*AJ9^2)+(0.205*AJ9)+(34.1)),((-0.00000002403*AJ9^2)+(0.2063*AJ9)+(-550.7)))</f>
        <v>568.12857234979992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2.0467700544129999</v>
      </c>
      <c r="BD9" s="15">
        <f t="shared" ref="BD9:BD14" si="7">IF(AJ9&lt;45000,((-0.00000004907*AJ9^2)+(0.2277*AJ9)+(-134)),((-0.00000001062*AJ9^2)+(0.2147*AJ9)+(590.6)))</f>
        <v>459.28039824757002</v>
      </c>
      <c r="BF9" s="16">
        <f t="shared" ref="BF9:BF21" si="8">IF($H9&lt;10000,(($H9^2*-0.000000003714)+($H9*0.002605)+(1.389)),(IF($H9&lt;200000,(($H9^2*-0.0000000003764)+($H9*0.00218)+(3.158)),(IF($H9&lt;8000000,(($H9^2*-0.000000000004719)+($H9*0.001816)+(146.1)),(($V9^2*0.000000002578)+($V9*0.2173)+(2294)))))))</f>
        <v>5.3426128801259996</v>
      </c>
      <c r="BG9" s="17">
        <f t="shared" ref="BG9:BG21" si="9">IF($AJ9&lt;45000,((0.00000003579*$AJ9^2)+(0.1857*$AJ9)+(44.75)),((0.0000000022829*$AJ9^2)+(0.1634*$AJ9)+(1620)))</f>
        <v>529.11314490970994</v>
      </c>
      <c r="BI9">
        <v>45</v>
      </c>
      <c r="BJ9" t="s">
        <v>35</v>
      </c>
      <c r="BK9" s="2">
        <v>46219.707766203705</v>
      </c>
      <c r="BL9" t="s">
        <v>31</v>
      </c>
      <c r="BM9" t="s">
        <v>13</v>
      </c>
      <c r="BN9">
        <v>0</v>
      </c>
      <c r="BO9">
        <v>2.7240000000000002</v>
      </c>
      <c r="BP9" s="3">
        <v>5140715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46219.729016203702</v>
      </c>
      <c r="D10" t="s">
        <v>32</v>
      </c>
      <c r="E10" t="s">
        <v>13</v>
      </c>
      <c r="F10">
        <v>0</v>
      </c>
      <c r="G10">
        <v>6.0419999999999998</v>
      </c>
      <c r="H10" s="3">
        <v>905874</v>
      </c>
      <c r="I10">
        <v>1.8420000000000001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46219.729016203702</v>
      </c>
      <c r="R10" t="s">
        <v>32</v>
      </c>
      <c r="S10" t="s">
        <v>13</v>
      </c>
      <c r="T10">
        <v>0</v>
      </c>
      <c r="U10">
        <v>5.9930000000000003</v>
      </c>
      <c r="V10" s="3">
        <v>8623</v>
      </c>
      <c r="W10">
        <v>2.1139999999999999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46219.729016203702</v>
      </c>
      <c r="AF10" t="s">
        <v>32</v>
      </c>
      <c r="AG10" t="s">
        <v>13</v>
      </c>
      <c r="AH10">
        <v>0</v>
      </c>
      <c r="AI10">
        <v>12.313000000000001</v>
      </c>
      <c r="AJ10" s="3">
        <v>7980</v>
      </c>
      <c r="AK10">
        <v>1.456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1787.294736245409</v>
      </c>
      <c r="AU10" s="17">
        <f t="shared" si="1"/>
        <v>1528.915121516</v>
      </c>
      <c r="AW10" s="9">
        <f t="shared" si="2"/>
        <v>1896.2322567079066</v>
      </c>
      <c r="AX10" s="10">
        <f t="shared" si="3"/>
        <v>1896.3553695599999</v>
      </c>
      <c r="AZ10" s="11">
        <f t="shared" si="4"/>
        <v>2093.2002142359688</v>
      </c>
      <c r="BA10" s="12">
        <f t="shared" si="5"/>
        <v>1666.1919120799998</v>
      </c>
      <c r="BC10" s="14">
        <f t="shared" si="6"/>
        <v>2031.2809173179362</v>
      </c>
      <c r="BD10" s="15">
        <f t="shared" si="7"/>
        <v>1679.921202772</v>
      </c>
      <c r="BF10" s="16">
        <f t="shared" si="8"/>
        <v>1787.294736245409</v>
      </c>
      <c r="BG10" s="17">
        <f t="shared" si="9"/>
        <v>1528.915121516</v>
      </c>
      <c r="BI10">
        <v>46</v>
      </c>
      <c r="BJ10" t="s">
        <v>36</v>
      </c>
      <c r="BK10" s="2">
        <v>46219.729016203702</v>
      </c>
      <c r="BL10" t="s">
        <v>32</v>
      </c>
      <c r="BM10" t="s">
        <v>13</v>
      </c>
      <c r="BN10">
        <v>0</v>
      </c>
      <c r="BO10">
        <v>2.7210000000000001</v>
      </c>
      <c r="BP10" s="3">
        <v>5138417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46219.750254629631</v>
      </c>
      <c r="D11" t="s">
        <v>26</v>
      </c>
      <c r="E11" t="s">
        <v>13</v>
      </c>
      <c r="F11">
        <v>0</v>
      </c>
      <c r="G11">
        <v>6.0650000000000004</v>
      </c>
      <c r="H11" s="3">
        <v>2548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46219.750254629631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46219.750254629631</v>
      </c>
      <c r="AF11" t="s">
        <v>26</v>
      </c>
      <c r="AG11" t="s">
        <v>13</v>
      </c>
      <c r="AH11">
        <v>0</v>
      </c>
      <c r="AI11">
        <v>12.331</v>
      </c>
      <c r="AJ11" s="3">
        <v>1654</v>
      </c>
      <c r="AK11">
        <v>0.375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8.0024275829439997</v>
      </c>
      <c r="AU11" s="17">
        <f t="shared" si="1"/>
        <v>351.99571127564002</v>
      </c>
      <c r="AW11" s="9">
        <f t="shared" si="2"/>
        <v>4.0846241600000006</v>
      </c>
      <c r="AX11" s="10">
        <f t="shared" si="3"/>
        <v>380.60823993240001</v>
      </c>
      <c r="AZ11" s="11">
        <f t="shared" si="4"/>
        <v>2.8102142505599996</v>
      </c>
      <c r="BA11" s="12">
        <f t="shared" si="5"/>
        <v>373.0064041832</v>
      </c>
      <c r="BC11" s="14">
        <f t="shared" si="6"/>
        <v>5.6582751378719998</v>
      </c>
      <c r="BD11" s="15">
        <f t="shared" si="7"/>
        <v>242.48155841588004</v>
      </c>
      <c r="BF11" s="16">
        <f t="shared" si="8"/>
        <v>8.0024275829439997</v>
      </c>
      <c r="BG11" s="17">
        <f t="shared" si="9"/>
        <v>351.99571127564002</v>
      </c>
      <c r="BI11">
        <v>47</v>
      </c>
      <c r="BJ11" t="s">
        <v>37</v>
      </c>
      <c r="BK11" s="2">
        <v>46219.750254629631</v>
      </c>
      <c r="BL11" t="s">
        <v>26</v>
      </c>
      <c r="BM11" t="s">
        <v>13</v>
      </c>
      <c r="BN11">
        <v>0</v>
      </c>
      <c r="BO11">
        <v>2.7210000000000001</v>
      </c>
      <c r="BP11" s="3">
        <v>5134568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46219.771504629629</v>
      </c>
      <c r="D12">
        <v>328</v>
      </c>
      <c r="E12" t="s">
        <v>13</v>
      </c>
      <c r="F12">
        <v>0</v>
      </c>
      <c r="G12">
        <v>6.0549999999999997</v>
      </c>
      <c r="H12" s="3">
        <v>4875</v>
      </c>
      <c r="I12">
        <v>0.01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46219.771504629629</v>
      </c>
      <c r="R12">
        <v>328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46219.771504629629</v>
      </c>
      <c r="AF12">
        <v>328</v>
      </c>
      <c r="AG12" t="s">
        <v>13</v>
      </c>
      <c r="AH12">
        <v>0</v>
      </c>
      <c r="AI12">
        <v>12.242000000000001</v>
      </c>
      <c r="AJ12" s="3">
        <v>58295</v>
      </c>
      <c r="AK12">
        <v>10.050000000000001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14.000109468749999</v>
      </c>
      <c r="AU12" s="17">
        <f t="shared" si="1"/>
        <v>11153.160995107373</v>
      </c>
      <c r="AW12" s="9">
        <f t="shared" si="2"/>
        <v>2.3240625000000001</v>
      </c>
      <c r="AX12" s="10">
        <f t="shared" si="3"/>
        <v>12523.680742677501</v>
      </c>
      <c r="AZ12" s="11">
        <f t="shared" si="4"/>
        <v>9.5053428125000003</v>
      </c>
      <c r="BA12" s="12">
        <f t="shared" si="5"/>
        <v>11393.897182189248</v>
      </c>
      <c r="BC12" s="14">
        <f t="shared" si="6"/>
        <v>13.907591453124999</v>
      </c>
      <c r="BD12" s="15">
        <f t="shared" si="7"/>
        <v>13070.446479394501</v>
      </c>
      <c r="BF12" s="16">
        <f t="shared" si="8"/>
        <v>14.000109468749999</v>
      </c>
      <c r="BG12" s="17">
        <f t="shared" si="9"/>
        <v>11153.160995107373</v>
      </c>
      <c r="BI12">
        <v>48</v>
      </c>
      <c r="BJ12" t="s">
        <v>38</v>
      </c>
      <c r="BK12" s="2">
        <v>46219.771504629629</v>
      </c>
      <c r="BL12">
        <v>328</v>
      </c>
      <c r="BM12" t="s">
        <v>13</v>
      </c>
      <c r="BN12">
        <v>0</v>
      </c>
      <c r="BO12">
        <v>2.89</v>
      </c>
      <c r="BP12" s="3">
        <v>595571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46219.792754629627</v>
      </c>
      <c r="D13">
        <v>179</v>
      </c>
      <c r="E13" t="s">
        <v>13</v>
      </c>
      <c r="F13">
        <v>0</v>
      </c>
      <c r="G13">
        <v>6.0490000000000004</v>
      </c>
      <c r="H13" s="3">
        <v>13485</v>
      </c>
      <c r="I13">
        <v>2.7E-2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46219.792754629627</v>
      </c>
      <c r="R13">
        <v>179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46219.792754629627</v>
      </c>
      <c r="AF13">
        <v>179</v>
      </c>
      <c r="AG13" t="s">
        <v>13</v>
      </c>
      <c r="AH13">
        <v>0</v>
      </c>
      <c r="AI13">
        <v>12.297000000000001</v>
      </c>
      <c r="AJ13" s="3">
        <v>3151</v>
      </c>
      <c r="AK13">
        <v>0.63100000000000001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32.486853457309998</v>
      </c>
      <c r="AU13" s="17">
        <f t="shared" si="1"/>
        <v>630.24605178779007</v>
      </c>
      <c r="AW13" s="9">
        <f t="shared" si="2"/>
        <v>30.328085080175001</v>
      </c>
      <c r="AX13" s="10">
        <f t="shared" si="3"/>
        <v>742.59547386389988</v>
      </c>
      <c r="AZ13" s="11">
        <f t="shared" si="4"/>
        <v>34.719498099020001</v>
      </c>
      <c r="BA13" s="12">
        <f t="shared" si="5"/>
        <v>679.46125770019989</v>
      </c>
      <c r="BC13" s="14">
        <f t="shared" si="6"/>
        <v>39.297944705825003</v>
      </c>
      <c r="BD13" s="15">
        <f t="shared" si="7"/>
        <v>582.99549373493005</v>
      </c>
      <c r="BF13" s="16">
        <f t="shared" si="8"/>
        <v>32.486853457309998</v>
      </c>
      <c r="BG13" s="17">
        <f t="shared" si="9"/>
        <v>630.24605178779007</v>
      </c>
      <c r="BI13">
        <v>49</v>
      </c>
      <c r="BJ13" t="s">
        <v>39</v>
      </c>
      <c r="BK13" s="2">
        <v>46219.792754629627</v>
      </c>
      <c r="BL13">
        <v>179</v>
      </c>
      <c r="BM13" t="s">
        <v>13</v>
      </c>
      <c r="BN13">
        <v>0</v>
      </c>
      <c r="BO13">
        <v>2.8759999999999999</v>
      </c>
      <c r="BP13" s="3">
        <v>849436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46219.814004629632</v>
      </c>
      <c r="D14">
        <v>107</v>
      </c>
      <c r="E14" t="s">
        <v>13</v>
      </c>
      <c r="F14">
        <v>0</v>
      </c>
      <c r="G14">
        <v>6.0490000000000004</v>
      </c>
      <c r="H14" s="3">
        <v>13188</v>
      </c>
      <c r="I14">
        <v>2.7E-2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46219.814004629632</v>
      </c>
      <c r="R14">
        <v>107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46219.814004629632</v>
      </c>
      <c r="AF14">
        <v>107</v>
      </c>
      <c r="AG14" t="s">
        <v>13</v>
      </c>
      <c r="AH14">
        <v>0</v>
      </c>
      <c r="AI14">
        <v>12.311999999999999</v>
      </c>
      <c r="AJ14" s="3">
        <v>2681</v>
      </c>
      <c r="AK14">
        <v>0.55000000000000004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31.842375253318405</v>
      </c>
      <c r="AU14" s="17">
        <f t="shared" si="1"/>
        <v>542.86894996619003</v>
      </c>
      <c r="AW14" s="9">
        <f t="shared" si="2"/>
        <v>29.436806886512002</v>
      </c>
      <c r="AX14" s="10">
        <f t="shared" si="3"/>
        <v>629.16566220789991</v>
      </c>
      <c r="AZ14" s="11">
        <f t="shared" si="4"/>
        <v>33.860782938252804</v>
      </c>
      <c r="BA14" s="12">
        <f t="shared" si="5"/>
        <v>583.27517189220009</v>
      </c>
      <c r="BC14" s="14">
        <f t="shared" si="6"/>
        <v>38.503474160528</v>
      </c>
      <c r="BD14" s="15">
        <f t="shared" si="7"/>
        <v>476.11099656773001</v>
      </c>
      <c r="BF14" s="16">
        <f t="shared" si="8"/>
        <v>31.842375253318405</v>
      </c>
      <c r="BG14" s="17">
        <f t="shared" si="9"/>
        <v>542.86894996619003</v>
      </c>
      <c r="BI14">
        <v>50</v>
      </c>
      <c r="BJ14" t="s">
        <v>40</v>
      </c>
      <c r="BK14" s="2">
        <v>46219.814004629632</v>
      </c>
      <c r="BL14">
        <v>107</v>
      </c>
      <c r="BM14" t="s">
        <v>13</v>
      </c>
      <c r="BN14">
        <v>0</v>
      </c>
      <c r="BO14">
        <v>2.8820000000000001</v>
      </c>
      <c r="BP14" s="3">
        <v>748149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46219.83525462963</v>
      </c>
      <c r="D15">
        <v>280</v>
      </c>
      <c r="E15" t="s">
        <v>13</v>
      </c>
      <c r="F15">
        <v>0</v>
      </c>
      <c r="G15">
        <v>6.0540000000000003</v>
      </c>
      <c r="H15" s="3">
        <v>10411</v>
      </c>
      <c r="I15">
        <v>2.1000000000000001E-2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46219.83525462963</v>
      </c>
      <c r="R15">
        <v>280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46219.83525462963</v>
      </c>
      <c r="AF15">
        <v>280</v>
      </c>
      <c r="AG15" t="s">
        <v>13</v>
      </c>
      <c r="AH15">
        <v>0</v>
      </c>
      <c r="AI15">
        <v>12.304</v>
      </c>
      <c r="AJ15" s="3">
        <v>10027</v>
      </c>
      <c r="AK15">
        <v>1.8049999999999999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25.813182410135603</v>
      </c>
      <c r="AU15" s="17">
        <f t="shared" si="1"/>
        <v>1910.3622526909101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21.089743671583001</v>
      </c>
      <c r="AX15" s="10">
        <f t="shared" ref="AX15:AX16" si="11">IF(AJ15&lt;45000,((-0.0000004561*AJ15^2)+(0.244*AJ15)+(-21.72)),((-0.0000000409*AJ15^2)+(0.2477*AJ15)+(-1777)))</f>
        <v>2379.0113735031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25.8291862796152</v>
      </c>
      <c r="BA15" s="12">
        <f t="shared" ref="BA15:BA16" si="13">IF(AJ15&lt;45000,((-0.0000000598*AJ15^2)+(0.205*AJ15)+(34.1)),((-0.00000002403*AJ15^2)+(0.2063*AJ15)+(-550.7)))</f>
        <v>2083.6226644057997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31.072795713776998</v>
      </c>
      <c r="BD15" s="15">
        <f t="shared" ref="BD15:BD16" si="15">IF(AJ15&lt;45000,((-0.00000004907*AJ15^2)+(0.2277*AJ15)+(-134)),((-0.00000001062*AJ15^2)+(0.2147*AJ15)+(590.6)))</f>
        <v>2144.2143664279702</v>
      </c>
      <c r="BF15" s="16">
        <f t="shared" si="8"/>
        <v>25.813182410135603</v>
      </c>
      <c r="BG15" s="17">
        <f t="shared" si="9"/>
        <v>1910.3622526909101</v>
      </c>
      <c r="BI15">
        <v>51</v>
      </c>
      <c r="BJ15" t="s">
        <v>41</v>
      </c>
      <c r="BK15" s="2">
        <v>46219.83525462963</v>
      </c>
      <c r="BL15">
        <v>280</v>
      </c>
      <c r="BM15" t="s">
        <v>13</v>
      </c>
      <c r="BN15">
        <v>0</v>
      </c>
      <c r="BO15">
        <v>2.891</v>
      </c>
      <c r="BP15" s="3">
        <v>682194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46219.856527777774</v>
      </c>
      <c r="D16">
        <v>221</v>
      </c>
      <c r="E16" t="s">
        <v>13</v>
      </c>
      <c r="F16">
        <v>0</v>
      </c>
      <c r="G16">
        <v>6.05</v>
      </c>
      <c r="H16" s="3">
        <v>10264</v>
      </c>
      <c r="I16">
        <v>2.1000000000000001E-2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46219.856527777774</v>
      </c>
      <c r="R16">
        <v>221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46219.856527777774</v>
      </c>
      <c r="AF16">
        <v>221</v>
      </c>
      <c r="AG16" t="s">
        <v>13</v>
      </c>
      <c r="AH16">
        <v>0</v>
      </c>
      <c r="AI16">
        <v>12.222</v>
      </c>
      <c r="AJ16" s="3">
        <v>75279</v>
      </c>
      <c r="AK16">
        <v>12.95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25.493866374425604</v>
      </c>
      <c r="AU16" s="17">
        <f t="shared" si="1"/>
        <v>13933.525629568217</v>
      </c>
      <c r="AW16" s="9">
        <f t="shared" si="10"/>
        <v>20.647215529408001</v>
      </c>
      <c r="AX16" s="10">
        <f t="shared" si="11"/>
        <v>16637.830951303098</v>
      </c>
      <c r="AZ16" s="11">
        <f t="shared" si="12"/>
        <v>25.403911007795202</v>
      </c>
      <c r="BA16" s="12">
        <f t="shared" si="13"/>
        <v>14843.18142398077</v>
      </c>
      <c r="BC16" s="14">
        <f t="shared" si="14"/>
        <v>30.679341029951996</v>
      </c>
      <c r="BD16" s="15">
        <f t="shared" si="15"/>
        <v>16692.818526328578</v>
      </c>
      <c r="BF16" s="16">
        <f t="shared" si="8"/>
        <v>25.493866374425604</v>
      </c>
      <c r="BG16" s="17">
        <f t="shared" si="9"/>
        <v>13933.525629568217</v>
      </c>
      <c r="BI16">
        <v>52</v>
      </c>
      <c r="BJ16" t="s">
        <v>42</v>
      </c>
      <c r="BK16" s="2">
        <v>46219.856527777774</v>
      </c>
      <c r="BL16">
        <v>221</v>
      </c>
      <c r="BM16" t="s">
        <v>13</v>
      </c>
      <c r="BN16">
        <v>0</v>
      </c>
      <c r="BO16">
        <v>2.8820000000000001</v>
      </c>
      <c r="BP16" s="3">
        <v>742302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46219.877766203703</v>
      </c>
      <c r="D17">
        <v>34</v>
      </c>
      <c r="E17" t="s">
        <v>13</v>
      </c>
      <c r="F17">
        <v>0</v>
      </c>
      <c r="G17">
        <v>6.0549999999999997</v>
      </c>
      <c r="H17" s="3">
        <v>9842</v>
      </c>
      <c r="I17">
        <v>0.02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46219.877766203703</v>
      </c>
      <c r="R17">
        <v>34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46219.877766203703</v>
      </c>
      <c r="AF17">
        <v>34</v>
      </c>
      <c r="AG17" t="s">
        <v>13</v>
      </c>
      <c r="AH17">
        <v>0</v>
      </c>
      <c r="AI17">
        <v>12.234</v>
      </c>
      <c r="AJ17" s="3">
        <v>70748</v>
      </c>
      <c r="AK17">
        <v>12.176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26.667653523704001</v>
      </c>
      <c r="AU17" s="17">
        <f t="shared" si="1"/>
        <v>13191.64975257968</v>
      </c>
      <c r="AW17" s="9">
        <f t="shared" ref="AW17:AW21" si="16">IF(H17&lt;10000,((H17^2*0.00000054)+(H17*-0.004765)+(12.72)),(IF(H17&lt;200000,((H17^2*-0.000000001577)+(H17*0.003043)+(-10.42)),(IF(H17&lt;8000000,((H17^2*-0.0000000000186)+(H17*0.00194)+(154.1)),((V17^2*-0.00000002)+(V17*0.2565)+(-1032)))))))</f>
        <v>18.129950559999997</v>
      </c>
      <c r="AX17" s="10">
        <f t="shared" ref="AX17:AX21" si="17">IF(AJ17&lt;45000,((-0.0000004561*AJ17^2)+(0.244*AJ17)+(-21.72)),((-0.0000000409*AJ17^2)+(0.2477*AJ17)+(-1777)))</f>
        <v>15542.563668286402</v>
      </c>
      <c r="AZ17" s="11">
        <f t="shared" ref="AZ17:AZ21" si="18">IF(H17&lt;10000,((H17^2*0.00000005714)+(H17*0.002453)+(-3.811)),(IF(H17&lt;200000,((H17^2*-0.0000000002888)+(H17*0.002899)+(-4.321)),(IF(H17&lt;8000000,((H17^2*-0.0000000000062)+(H17*0.002143)+(157)),((V17^2*-0.000000031)+(V17*0.2771)+(-709.5)))))))</f>
        <v>25.866290042959999</v>
      </c>
      <c r="BA17" s="12">
        <f t="shared" ref="BA17:BA21" si="19">IF(AJ17&lt;45000,((-0.0000000598*AJ17^2)+(0.205*AJ17)+(34.1)),((-0.00000002403*AJ17^2)+(0.2063*AJ17)+(-550.7)))</f>
        <v>13924.335533518881</v>
      </c>
      <c r="BC17" s="14">
        <f t="shared" ref="BC17:BC21" si="20">IF(H17&lt;10000,((H17^2*0.000000008493)+(H17*0.003482)+(-3.269)),(IF(H17&lt;200000,((H17^2*-0.000000000263)+(H17*0.002682)+(3.179)),(IF(H17&lt;8000000,((H17^2*-0.000000000005099)+(H17*0.002054)+(174.8)),((V17^2*-0.00000001014)+(V17*0.2415)+(1123)))))))</f>
        <v>31.823518139252002</v>
      </c>
      <c r="BD17" s="15">
        <f t="shared" ref="BD17:BD21" si="21">IF(AJ17&lt;45000,((-0.00000004907*AJ17^2)+(0.2277*AJ17)+(-134)),((-0.00000001062*AJ17^2)+(0.2147*AJ17)+(590.6)))</f>
        <v>15727.03953166752</v>
      </c>
      <c r="BF17" s="16">
        <f t="shared" si="8"/>
        <v>26.667653523704001</v>
      </c>
      <c r="BG17" s="17">
        <f t="shared" si="9"/>
        <v>13191.64975257968</v>
      </c>
      <c r="BI17">
        <v>53</v>
      </c>
      <c r="BJ17" t="s">
        <v>43</v>
      </c>
      <c r="BK17" s="2">
        <v>46219.877766203703</v>
      </c>
      <c r="BL17">
        <v>34</v>
      </c>
      <c r="BM17" t="s">
        <v>13</v>
      </c>
      <c r="BN17">
        <v>0</v>
      </c>
      <c r="BO17">
        <v>2.8879999999999999</v>
      </c>
      <c r="BP17" s="3">
        <v>749748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46219.899016203701</v>
      </c>
      <c r="D18">
        <v>163</v>
      </c>
      <c r="E18" t="s">
        <v>13</v>
      </c>
      <c r="F18">
        <v>0</v>
      </c>
      <c r="G18">
        <v>6.0590000000000002</v>
      </c>
      <c r="H18" s="3">
        <v>5726</v>
      </c>
      <c r="I18">
        <v>1.2E-2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46219.899016203701</v>
      </c>
      <c r="R18">
        <v>163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46219.899016203701</v>
      </c>
      <c r="AF18">
        <v>163</v>
      </c>
      <c r="AG18" t="s">
        <v>13</v>
      </c>
      <c r="AH18">
        <v>0</v>
      </c>
      <c r="AI18">
        <v>12.244999999999999</v>
      </c>
      <c r="AJ18" s="3">
        <v>58023</v>
      </c>
      <c r="AK18">
        <v>10.003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16.183458799736002</v>
      </c>
      <c r="AU18" s="17">
        <f t="shared" si="1"/>
        <v>11108.643967584852</v>
      </c>
      <c r="AW18" s="9">
        <f t="shared" si="16"/>
        <v>3.1406310400000006</v>
      </c>
      <c r="AX18" s="10">
        <f t="shared" si="17"/>
        <v>12457.600357163899</v>
      </c>
      <c r="AZ18" s="11">
        <f t="shared" si="18"/>
        <v>12.10833152264</v>
      </c>
      <c r="BA18" s="12">
        <f t="shared" si="19"/>
        <v>11338.54385524813</v>
      </c>
      <c r="BC18" s="14">
        <f t="shared" si="20"/>
        <v>16.947392636468003</v>
      </c>
      <c r="BD18" s="15">
        <f t="shared" si="21"/>
        <v>13012.38408022202</v>
      </c>
      <c r="BF18" s="16">
        <f t="shared" si="8"/>
        <v>16.183458799736002</v>
      </c>
      <c r="BG18" s="17">
        <f t="shared" si="9"/>
        <v>11108.643967584852</v>
      </c>
      <c r="BI18">
        <v>54</v>
      </c>
      <c r="BJ18" t="s">
        <v>44</v>
      </c>
      <c r="BK18" s="2">
        <v>46219.899016203701</v>
      </c>
      <c r="BL18">
        <v>163</v>
      </c>
      <c r="BM18" t="s">
        <v>13</v>
      </c>
      <c r="BN18">
        <v>0</v>
      </c>
      <c r="BO18">
        <v>2.879</v>
      </c>
      <c r="BP18" s="3">
        <v>889829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46219.920266203706</v>
      </c>
      <c r="D19">
        <v>256</v>
      </c>
      <c r="E19" t="s">
        <v>13</v>
      </c>
      <c r="F19">
        <v>0</v>
      </c>
      <c r="G19">
        <v>6.0519999999999996</v>
      </c>
      <c r="H19" s="3">
        <v>12215</v>
      </c>
      <c r="I19">
        <v>2.5000000000000001E-2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46219.920266203706</v>
      </c>
      <c r="R19">
        <v>256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46219.920266203706</v>
      </c>
      <c r="AF19">
        <v>256</v>
      </c>
      <c r="AG19" t="s">
        <v>13</v>
      </c>
      <c r="AH19">
        <v>0</v>
      </c>
      <c r="AI19">
        <v>12.303000000000001</v>
      </c>
      <c r="AJ19" s="3">
        <v>10677</v>
      </c>
      <c r="AK19">
        <v>1.917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29.730538776910002</v>
      </c>
      <c r="AU19" s="17">
        <f t="shared" si="1"/>
        <v>2031.5489001949102</v>
      </c>
      <c r="AW19" s="9">
        <f t="shared" si="16"/>
        <v>26.514946783174999</v>
      </c>
      <c r="AX19" s="10">
        <f t="shared" si="17"/>
        <v>2531.4733621431001</v>
      </c>
      <c r="AZ19" s="11">
        <f t="shared" si="18"/>
        <v>31.047194242220002</v>
      </c>
      <c r="BA19" s="12">
        <f t="shared" si="19"/>
        <v>2216.0678999257998</v>
      </c>
      <c r="BC19" s="14">
        <f t="shared" si="20"/>
        <v>35.900388762825003</v>
      </c>
      <c r="BD19" s="15">
        <f t="shared" si="21"/>
        <v>2291.55900199597</v>
      </c>
      <c r="BF19" s="16">
        <f t="shared" si="8"/>
        <v>29.730538776910002</v>
      </c>
      <c r="BG19" s="17">
        <f t="shared" si="9"/>
        <v>2031.5489001949102</v>
      </c>
      <c r="BI19">
        <v>55</v>
      </c>
      <c r="BJ19" t="s">
        <v>45</v>
      </c>
      <c r="BK19" s="2">
        <v>46219.920266203706</v>
      </c>
      <c r="BL19">
        <v>256</v>
      </c>
      <c r="BM19" t="s">
        <v>13</v>
      </c>
      <c r="BN19">
        <v>0</v>
      </c>
      <c r="BO19">
        <v>2.8780000000000001</v>
      </c>
      <c r="BP19" s="3">
        <v>834623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46219.941527777781</v>
      </c>
      <c r="D20">
        <v>15</v>
      </c>
      <c r="E20" t="s">
        <v>13</v>
      </c>
      <c r="F20">
        <v>0</v>
      </c>
      <c r="G20">
        <v>6.0540000000000003</v>
      </c>
      <c r="H20" s="3">
        <v>14603</v>
      </c>
      <c r="I20">
        <v>0.03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46219.941527777781</v>
      </c>
      <c r="R20">
        <v>15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46219.941527777781</v>
      </c>
      <c r="AF20">
        <v>15</v>
      </c>
      <c r="AG20" t="s">
        <v>13</v>
      </c>
      <c r="AH20">
        <v>0</v>
      </c>
      <c r="AI20">
        <v>12.321999999999999</v>
      </c>
      <c r="AJ20" s="3">
        <v>2684</v>
      </c>
      <c r="AK20">
        <v>0.55100000000000005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34.912273599972401</v>
      </c>
      <c r="AU20" s="17">
        <f t="shared" si="1"/>
        <v>543.42662600623999</v>
      </c>
      <c r="AW20" s="9">
        <f t="shared" si="16"/>
        <v>33.680637520607</v>
      </c>
      <c r="AX20" s="10">
        <f t="shared" si="17"/>
        <v>629.89032127839994</v>
      </c>
      <c r="AZ20" s="11">
        <f t="shared" si="18"/>
        <v>37.951511090520803</v>
      </c>
      <c r="BA20" s="12">
        <f t="shared" si="19"/>
        <v>583.88920941119989</v>
      </c>
      <c r="BC20" s="14">
        <f t="shared" si="20"/>
        <v>42.288161878833002</v>
      </c>
      <c r="BD20" s="15">
        <f t="shared" si="21"/>
        <v>476.79330678607994</v>
      </c>
      <c r="BF20" s="16">
        <f t="shared" si="8"/>
        <v>34.912273599972401</v>
      </c>
      <c r="BG20" s="17">
        <f t="shared" si="9"/>
        <v>543.42662600623999</v>
      </c>
      <c r="BI20">
        <v>56</v>
      </c>
      <c r="BJ20" t="s">
        <v>46</v>
      </c>
      <c r="BK20" s="2">
        <v>46219.941527777781</v>
      </c>
      <c r="BL20">
        <v>15</v>
      </c>
      <c r="BM20" t="s">
        <v>13</v>
      </c>
      <c r="BN20">
        <v>0</v>
      </c>
      <c r="BO20">
        <v>2.8690000000000002</v>
      </c>
      <c r="BP20" s="3">
        <v>1082521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46219.962766203702</v>
      </c>
      <c r="D21">
        <v>310</v>
      </c>
      <c r="E21" t="s">
        <v>13</v>
      </c>
      <c r="F21">
        <v>0</v>
      </c>
      <c r="G21">
        <v>6.0540000000000003</v>
      </c>
      <c r="H21" s="3">
        <v>14752</v>
      </c>
      <c r="I21">
        <v>0.03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46219.962766203702</v>
      </c>
      <c r="R21">
        <v>310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46219.962766203702</v>
      </c>
      <c r="AF21">
        <v>310</v>
      </c>
      <c r="AG21" t="s">
        <v>13</v>
      </c>
      <c r="AH21">
        <v>0</v>
      </c>
      <c r="AI21">
        <v>12.31</v>
      </c>
      <c r="AJ21" s="3">
        <v>2724</v>
      </c>
      <c r="AK21">
        <v>0.55800000000000005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35.2354472658944</v>
      </c>
      <c r="AU21" s="17">
        <f t="shared" si="1"/>
        <v>550.86236809904005</v>
      </c>
      <c r="AW21" s="9">
        <f t="shared" si="16"/>
        <v>34.127146888192001</v>
      </c>
      <c r="AX21" s="10">
        <f t="shared" si="17"/>
        <v>639.55165772639987</v>
      </c>
      <c r="AZ21" s="11">
        <f t="shared" si="18"/>
        <v>38.382198909644806</v>
      </c>
      <c r="BA21" s="12">
        <f t="shared" si="19"/>
        <v>592.07627347519997</v>
      </c>
      <c r="BC21" s="14">
        <f t="shared" si="20"/>
        <v>42.686629544448003</v>
      </c>
      <c r="BD21" s="15">
        <f t="shared" si="21"/>
        <v>485.89069196368007</v>
      </c>
      <c r="BF21" s="16">
        <f t="shared" si="8"/>
        <v>35.2354472658944</v>
      </c>
      <c r="BG21" s="17">
        <f t="shared" si="9"/>
        <v>550.86236809904005</v>
      </c>
      <c r="BI21">
        <v>57</v>
      </c>
      <c r="BJ21" t="s">
        <v>47</v>
      </c>
      <c r="BK21" s="2">
        <v>46219.962766203702</v>
      </c>
      <c r="BL21">
        <v>310</v>
      </c>
      <c r="BM21" t="s">
        <v>13</v>
      </c>
      <c r="BN21">
        <v>0</v>
      </c>
      <c r="BO21">
        <v>2.8839999999999999</v>
      </c>
      <c r="BP21" s="3">
        <v>823282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C22" s="2"/>
      <c r="H22" s="3"/>
      <c r="Q22" s="2"/>
      <c r="V22" s="3"/>
      <c r="AE22" s="2"/>
      <c r="AS22" s="8"/>
      <c r="AT22" s="14"/>
      <c r="AU22" s="15"/>
      <c r="AW22" s="9"/>
      <c r="AX22" s="10"/>
      <c r="AZ22" s="11"/>
      <c r="BA22" s="12"/>
      <c r="BC22" s="14"/>
      <c r="BD22" s="15"/>
      <c r="BF22" s="14"/>
      <c r="BG22" s="15"/>
      <c r="BK22" s="2"/>
      <c r="BP22" s="3"/>
    </row>
    <row r="23" spans="1:73" x14ac:dyDescent="0.3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3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2026-07-24T18:36:12Z</dcterms:modified>
</cp:coreProperties>
</file>