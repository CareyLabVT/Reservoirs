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CAB26DE4-B68D-41B3-ABEF-A3262A828DB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<sst xmlns="http://schemas.openxmlformats.org/spreadsheetml/2006/main" count="783" uniqueCount="62">
  <si>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</si>
  <si>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</si>
  <si>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</si>
  <si>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</si>
  <si>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</si>
  <si>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</si>
  <si>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</si>
  <si>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</si>
  <si>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</si>
  <si>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</si>
  <si>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</si>
  <si>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</si>
  <si>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</si>
  <si>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</si>
  <si>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</si>
  <si>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</si>
  <si>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</si>
  <si>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</si>
  <si>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</si>
  <si>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</si>
  <si>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</si>
  <si>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</si>
  <si>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</si>
  <si>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</si>
  <si>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</si>
  <si>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</si>
  <si>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</si>
  <si>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</si>
  <si>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</si>
  <si>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</si>
  <si>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</si>
  <si>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</si>
  <si>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</si>
  <si>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</si>
  <si>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</si>
  <si>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MP20260720_001.gcd</t>
  </si>
  <si>
    <t>MP20260720_002.gcd</t>
  </si>
  <si>
    <t>MP20260720_003.gcd</t>
  </si>
  <si>
    <t>MP20260720_004.gcd</t>
  </si>
  <si>
    <t>MP20260720_005.gcd</t>
  </si>
  <si>
    <t>MP20260720_006.gcd</t>
  </si>
  <si>
    <t>MP20260720_007.gcd</t>
  </si>
  <si>
    <t>MP20260720_008.gcd</t>
  </si>
  <si>
    <t>MP20260720_009.gcd</t>
  </si>
  <si>
    <t>MP20260720_010.gcd</t>
  </si>
  <si>
    <t>MP20260720_011.gcd</t>
  </si>
  <si>
    <t>MP20260720_012.gcd</t>
  </si>
  <si>
    <t>MP20260720_013.gcd</t>
  </si>
  <si>
    <t>MP20260720_014.gcd</t>
  </si>
  <si>
    <t>MP20260720_015.gcd</t>
  </si>
  <si>
    <t>MP20260720_016.gcd</t>
  </si>
  <si>
    <t>MP20260720_017.gcd</t>
  </si>
  <si>
    <t>MP20260720_018.gcd</t>
  </si>
  <si>
    <t>MP20260720_019.gcd</t>
  </si>
  <si>
    <t>MP20260720_020.gcd</t>
  </si>
  <si>
    <t>MP20260720_021.gcd</t>
  </si>
  <si>
    <t>MP20260720_022.gcd</t>
  </si>
  <si>
    <t>MP20260720_023.gcd</t>
  </si>
  <si>
    <t>MP20260720_024.gcd</t>
  </si>
  <si>
    <t>MP20260720_025.gcd</t>
  </si>
  <si>
    <t>MP20260720_026.gcd</t>
  </si>
  <si>
    <t>MP20260720_027.gcd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</si>
</sst>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A1" workbookViewId="0">
      <selection activeCell="AA10" sqref="A10:XFD10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46223.709675925929</v>
      </c>
      <c r="D9" t="s">
        <v>31</v>
      </c>
      <c r="E9" t="s">
        <v>13</v>
      </c>
      <c r="F9">
        <v>0</v>
      </c>
      <c r="G9">
        <v>6.0880000000000001</v>
      </c>
      <c r="H9" s="3">
        <v>1364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46223.709675925929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46223.709675925929</v>
      </c>
      <c r="AF9" t="s">
        <v>31</v>
      </c>
      <c r="AG9" t="s">
        <v>13</v>
      </c>
      <c r="AH9">
        <v>0</v>
      </c>
      <c r="AI9">
        <v>12.34</v>
      </c>
      <c r="AJ9" s="3">
        <v>2125</v>
      </c>
      <c r="AK9">
        <v>0.45500000000000002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9" si="0">IF($H9&lt;10000,(($H9^2*-0.000000003714)+($H9*0.002605)+(1.389)),(IF($H9&lt;200000,(($H9^2*-0.0000000003764)+($H9*0.00218)+(3.158)),(IF($H9&lt;8000000,(($H9^2*-0.000000000004719)+($H9*0.001816)+(146.1)),(($V9^2*0.000000002578)+($V9*0.2173)+(2294)))))))</f>
        <v>4.9353101178559999</v>
      </c>
      <c r="AU9" s="17">
        <f t="shared" ref="AU9:AU29" si="1">IF($AJ9&lt;45000,((0.00000003579*$AJ9^2)+(0.1857*$AJ9)+(44.75)),((0.0000000022829*$AJ9^2)+(0.1634*$AJ9)+(1620)))</f>
        <v>439.52411421875001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7.2252078400000004</v>
      </c>
      <c r="AX9" s="10">
        <f t="shared" ref="AX9:AX14" si="3">IF(AJ9&lt;45000,((-0.0000004561*AJ9^2)+(0.244*AJ9)+(-21.72)),((-0.0000000409*AJ9^2)+(0.2477*AJ9)+(-1777)))</f>
        <v>494.72042343750002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-0.35879925856000039</v>
      </c>
      <c r="BA9" s="12">
        <f t="shared" ref="BA9:BA14" si="5">IF(AJ9&lt;45000,((-0.0000000598*AJ9^2)+(0.205*AJ9)+(34.1)),((-0.00000002403*AJ9^2)+(0.2063*AJ9)+(-550.7)))</f>
        <v>469.454965625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1.4962491925280004</v>
      </c>
      <c r="BD9" s="15">
        <f t="shared" ref="BD9:BD14" si="7">IF(AJ9&lt;45000,((-0.00000004907*AJ9^2)+(0.2277*AJ9)+(-134)),((-0.00000001062*AJ9^2)+(0.2147*AJ9)+(590.6)))</f>
        <v>349.64091828125004</v>
      </c>
      <c r="BF9" s="16">
        <f t="shared" ref="BF9:BF29" si="8">IF($H9&lt;10000,(($H9^2*-0.000000003714)+($H9*0.002605)+(1.389)),(IF($H9&lt;200000,(($H9^2*-0.0000000003764)+($H9*0.00218)+(3.158)),(IF($H9&lt;8000000,(($H9^2*-0.000000000004719)+($H9*0.001816)+(146.1)),(($V9^2*0.000000002578)+($V9*0.2173)+(2294)))))))</f>
        <v>4.9353101178559999</v>
      </c>
      <c r="BG9" s="17">
        <f t="shared" ref="BG9:BG29" si="9">IF($AJ9&lt;45000,((0.00000003579*$AJ9^2)+(0.1857*$AJ9)+(44.75)),((0.0000000022829*$AJ9^2)+(0.1634*$AJ9)+(1620)))</f>
        <v>439.52411421875001</v>
      </c>
      <c r="BI9">
        <v>45</v>
      </c>
      <c r="BJ9" t="s">
        <v>35</v>
      </c>
      <c r="BK9" s="2">
        <v>46223.709675925929</v>
      </c>
      <c r="BL9" t="s">
        <v>31</v>
      </c>
      <c r="BM9" t="s">
        <v>13</v>
      </c>
      <c r="BN9">
        <v>0</v>
      </c>
      <c r="BO9">
        <v>2.7250000000000001</v>
      </c>
      <c r="BP9" s="3">
        <v>5036979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46223.730891203704</v>
      </c>
      <c r="D10" t="s">
        <v>32</v>
      </c>
      <c r="E10" t="s">
        <v>13</v>
      </c>
      <c r="F10">
        <v>0</v>
      </c>
      <c r="G10">
        <v>6.0419999999999998</v>
      </c>
      <c r="H10" s="3">
        <v>954769</v>
      </c>
      <c r="I10">
        <v>1.9410000000000001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46223.730891203704</v>
      </c>
      <c r="R10" t="s">
        <v>32</v>
      </c>
      <c r="S10" t="s">
        <v>13</v>
      </c>
      <c r="T10">
        <v>0</v>
      </c>
      <c r="U10">
        <v>5.9960000000000004</v>
      </c>
      <c r="V10" s="3">
        <v>9641</v>
      </c>
      <c r="W10">
        <v>2.3460000000000001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46223.730891203704</v>
      </c>
      <c r="AF10" t="s">
        <v>32</v>
      </c>
      <c r="AG10" t="s">
        <v>13</v>
      </c>
      <c r="AH10">
        <v>0</v>
      </c>
      <c r="AI10">
        <v>12.31</v>
      </c>
      <c r="AJ10" s="3">
        <v>7679</v>
      </c>
      <c r="AK10">
        <v>1.4039999999999999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1875.6587398431793</v>
      </c>
      <c r="AU10" s="17">
        <f t="shared" si="1"/>
        <v>1472.85073039739</v>
      </c>
      <c r="AW10" s="9">
        <f t="shared" si="2"/>
        <v>1989.3964005134853</v>
      </c>
      <c r="AX10" s="10">
        <f t="shared" si="3"/>
        <v>1825.0611325998998</v>
      </c>
      <c r="AZ10" s="11">
        <f t="shared" si="4"/>
        <v>2197.4181471711618</v>
      </c>
      <c r="BA10" s="12">
        <f t="shared" si="5"/>
        <v>1604.7687709481997</v>
      </c>
      <c r="BC10" s="14">
        <f t="shared" si="6"/>
        <v>2131.2473599827022</v>
      </c>
      <c r="BD10" s="15">
        <f t="shared" si="7"/>
        <v>1611.6147872981303</v>
      </c>
      <c r="BF10" s="16">
        <f t="shared" si="8"/>
        <v>1875.6587398431793</v>
      </c>
      <c r="BG10" s="17">
        <f t="shared" si="9"/>
        <v>1472.85073039739</v>
      </c>
      <c r="BI10">
        <v>46</v>
      </c>
      <c r="BJ10" t="s">
        <v>36</v>
      </c>
      <c r="BK10" s="2">
        <v>46223.730891203704</v>
      </c>
      <c r="BL10" t="s">
        <v>32</v>
      </c>
      <c r="BM10" t="s">
        <v>13</v>
      </c>
      <c r="BN10">
        <v>0</v>
      </c>
      <c r="BO10">
        <v>2.72</v>
      </c>
      <c r="BP10" s="3">
        <v>5128619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46223.752164351848</v>
      </c>
      <c r="D11" t="s">
        <v>26</v>
      </c>
      <c r="E11" t="s">
        <v>13</v>
      </c>
      <c r="F11">
        <v>0</v>
      </c>
      <c r="G11">
        <v>6.0620000000000003</v>
      </c>
      <c r="H11" s="3">
        <v>2298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46223.752164351848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46223.752164351848</v>
      </c>
      <c r="AF11" t="s">
        <v>26</v>
      </c>
      <c r="AG11" t="s">
        <v>13</v>
      </c>
      <c r="AH11">
        <v>0</v>
      </c>
      <c r="AI11">
        <v>12.318</v>
      </c>
      <c r="AJ11" s="3">
        <v>1440</v>
      </c>
      <c r="AK11">
        <v>0.33800000000000002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7.3556770939440002</v>
      </c>
      <c r="AU11" s="17">
        <f t="shared" si="1"/>
        <v>312.23221414400001</v>
      </c>
      <c r="AW11" s="9">
        <f t="shared" si="2"/>
        <v>4.6216641599999999</v>
      </c>
      <c r="AX11" s="10">
        <f t="shared" si="3"/>
        <v>328.69423103999998</v>
      </c>
      <c r="AZ11" s="11">
        <f t="shared" si="4"/>
        <v>2.1277391405599992</v>
      </c>
      <c r="BA11" s="12">
        <f t="shared" si="5"/>
        <v>329.17599872</v>
      </c>
      <c r="BC11" s="14">
        <f t="shared" si="6"/>
        <v>4.7774858683719987</v>
      </c>
      <c r="BD11" s="15">
        <f t="shared" si="7"/>
        <v>193.78624844800004</v>
      </c>
      <c r="BF11" s="16">
        <f t="shared" si="8"/>
        <v>7.3556770939440002</v>
      </c>
      <c r="BG11" s="17">
        <f t="shared" si="9"/>
        <v>312.23221414400001</v>
      </c>
      <c r="BI11">
        <v>47</v>
      </c>
      <c r="BJ11" t="s">
        <v>37</v>
      </c>
      <c r="BK11" s="2">
        <v>46223.752164351848</v>
      </c>
      <c r="BL11" t="s">
        <v>26</v>
      </c>
      <c r="BM11" t="s">
        <v>13</v>
      </c>
      <c r="BN11">
        <v>0</v>
      </c>
      <c r="BO11">
        <v>2.7189999999999999</v>
      </c>
      <c r="BP11" s="3">
        <v>5221883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46223.7734375</v>
      </c>
      <c r="D12">
        <v>332</v>
      </c>
      <c r="E12" t="s">
        <v>13</v>
      </c>
      <c r="F12">
        <v>0</v>
      </c>
      <c r="G12">
        <v>6.0469999999999997</v>
      </c>
      <c r="H12" s="3">
        <v>22280</v>
      </c>
      <c r="I12">
        <v>4.4999999999999998E-2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46223.7734375</v>
      </c>
      <c r="R12">
        <v>332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46223.7734375</v>
      </c>
      <c r="AF12">
        <v>332</v>
      </c>
      <c r="AG12" t="s">
        <v>13</v>
      </c>
      <c r="AH12">
        <v>0</v>
      </c>
      <c r="AI12">
        <v>12.180999999999999</v>
      </c>
      <c r="AJ12" s="3">
        <v>116984</v>
      </c>
      <c r="AK12">
        <v>20.068000000000001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51.541555642239999</v>
      </c>
      <c r="AU12" s="17">
        <f t="shared" si="1"/>
        <v>20766.427671506819</v>
      </c>
      <c r="AW12" s="9">
        <f t="shared" si="2"/>
        <v>56.595219723200003</v>
      </c>
      <c r="AX12" s="10">
        <f t="shared" si="3"/>
        <v>26640.209819129599</v>
      </c>
      <c r="AZ12" s="11">
        <f t="shared" si="4"/>
        <v>60.125360142079998</v>
      </c>
      <c r="BA12" s="12">
        <f t="shared" si="5"/>
        <v>23254.24249216832</v>
      </c>
      <c r="BC12" s="14">
        <f t="shared" si="6"/>
        <v>62.803407220799997</v>
      </c>
      <c r="BD12" s="15">
        <f t="shared" si="7"/>
        <v>25561.727378561282</v>
      </c>
      <c r="BF12" s="16">
        <f t="shared" si="8"/>
        <v>51.541555642239999</v>
      </c>
      <c r="BG12" s="17">
        <f t="shared" si="9"/>
        <v>20766.427671506819</v>
      </c>
      <c r="BI12">
        <v>48</v>
      </c>
      <c r="BJ12" t="s">
        <v>38</v>
      </c>
      <c r="BK12" s="2">
        <v>46223.7734375</v>
      </c>
      <c r="BL12">
        <v>332</v>
      </c>
      <c r="BM12" t="s">
        <v>13</v>
      </c>
      <c r="BN12">
        <v>0</v>
      </c>
      <c r="BO12">
        <v>2.8879999999999999</v>
      </c>
      <c r="BP12" s="3">
        <v>631774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46223.794664351852</v>
      </c>
      <c r="D13">
        <v>235</v>
      </c>
      <c r="E13" t="s">
        <v>13</v>
      </c>
      <c r="F13">
        <v>0</v>
      </c>
      <c r="G13">
        <v>6.05</v>
      </c>
      <c r="H13" s="3">
        <v>11050</v>
      </c>
      <c r="I13">
        <v>2.3E-2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46223.794664351852</v>
      </c>
      <c r="R13">
        <v>235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46223.794664351852</v>
      </c>
      <c r="AF13">
        <v>235</v>
      </c>
      <c r="AG13" t="s">
        <v>13</v>
      </c>
      <c r="AH13">
        <v>0</v>
      </c>
      <c r="AI13">
        <v>12.16</v>
      </c>
      <c r="AJ13" s="3">
        <v>130559</v>
      </c>
      <c r="AK13">
        <v>22.384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27.201040619000004</v>
      </c>
      <c r="AU13" s="17">
        <f t="shared" si="1"/>
        <v>22992.254120048874</v>
      </c>
      <c r="AW13" s="9">
        <f t="shared" si="2"/>
        <v>23.012594357500006</v>
      </c>
      <c r="AX13" s="10">
        <f t="shared" si="3"/>
        <v>29865.2971135271</v>
      </c>
      <c r="AZ13" s="11">
        <f t="shared" si="4"/>
        <v>27.677686798000003</v>
      </c>
      <c r="BA13" s="12">
        <f t="shared" si="5"/>
        <v>25974.01467088157</v>
      </c>
      <c r="BC13" s="14">
        <f t="shared" si="6"/>
        <v>32.782987042499997</v>
      </c>
      <c r="BD13" s="15">
        <f t="shared" si="7"/>
        <v>28440.592470651776</v>
      </c>
      <c r="BF13" s="16">
        <f t="shared" si="8"/>
        <v>27.201040619000004</v>
      </c>
      <c r="BG13" s="17">
        <f t="shared" si="9"/>
        <v>22992.254120048874</v>
      </c>
      <c r="BI13">
        <v>49</v>
      </c>
      <c r="BJ13" t="s">
        <v>39</v>
      </c>
      <c r="BK13" s="2">
        <v>46223.794664351852</v>
      </c>
      <c r="BL13">
        <v>235</v>
      </c>
      <c r="BM13" t="s">
        <v>13</v>
      </c>
      <c r="BN13">
        <v>0</v>
      </c>
      <c r="BO13">
        <v>2.8769999999999998</v>
      </c>
      <c r="BP13" s="3">
        <v>824559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46223.815937500003</v>
      </c>
      <c r="D14">
        <v>380</v>
      </c>
      <c r="E14" t="s">
        <v>13</v>
      </c>
      <c r="F14">
        <v>0</v>
      </c>
      <c r="G14">
        <v>6.0510000000000002</v>
      </c>
      <c r="H14" s="3">
        <v>3617</v>
      </c>
      <c r="I14">
        <v>7.0000000000000001E-3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46223.815937500003</v>
      </c>
      <c r="R14">
        <v>380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46223.815937500003</v>
      </c>
      <c r="AF14">
        <v>380</v>
      </c>
      <c r="AG14" t="s">
        <v>13</v>
      </c>
      <c r="AH14">
        <v>0</v>
      </c>
      <c r="AI14">
        <v>12.153</v>
      </c>
      <c r="AJ14" s="3">
        <v>139848</v>
      </c>
      <c r="AK14">
        <v>23.969000000000001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10.762695893054</v>
      </c>
      <c r="AU14" s="17">
        <f t="shared" si="1"/>
        <v>24515.810932520122</v>
      </c>
      <c r="AW14" s="9">
        <f t="shared" si="2"/>
        <v>2.5496470599999999</v>
      </c>
      <c r="AX14" s="10">
        <f t="shared" si="3"/>
        <v>32063.449359046404</v>
      </c>
      <c r="AZ14" s="11">
        <f t="shared" si="4"/>
        <v>5.8090458494600004</v>
      </c>
      <c r="BA14" s="12">
        <f t="shared" si="5"/>
        <v>27829.976561610882</v>
      </c>
      <c r="BC14" s="14">
        <f t="shared" si="6"/>
        <v>9.436505277677</v>
      </c>
      <c r="BD14" s="15">
        <f t="shared" si="7"/>
        <v>30408.265341835518</v>
      </c>
      <c r="BF14" s="16">
        <f t="shared" si="8"/>
        <v>10.762695893054</v>
      </c>
      <c r="BG14" s="17">
        <f t="shared" si="9"/>
        <v>24515.810932520122</v>
      </c>
      <c r="BI14">
        <v>50</v>
      </c>
      <c r="BJ14" t="s">
        <v>40</v>
      </c>
      <c r="BK14" s="2">
        <v>46223.815937500003</v>
      </c>
      <c r="BL14">
        <v>380</v>
      </c>
      <c r="BM14" t="s">
        <v>13</v>
      </c>
      <c r="BN14">
        <v>0</v>
      </c>
      <c r="BO14">
        <v>2.8809999999999998</v>
      </c>
      <c r="BP14" s="3">
        <v>741981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46223.837152777778</v>
      </c>
      <c r="D15">
        <v>290</v>
      </c>
      <c r="E15" t="s">
        <v>13</v>
      </c>
      <c r="F15">
        <v>0</v>
      </c>
      <c r="G15">
        <v>6.0519999999999996</v>
      </c>
      <c r="H15" s="3">
        <v>49249</v>
      </c>
      <c r="I15">
        <v>0.1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46223.837152777778</v>
      </c>
      <c r="R15">
        <v>290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46223.837152777778</v>
      </c>
      <c r="AF15">
        <v>290</v>
      </c>
      <c r="AG15" t="s">
        <v>13</v>
      </c>
      <c r="AH15">
        <v>0</v>
      </c>
      <c r="AI15">
        <v>12.321999999999999</v>
      </c>
      <c r="AJ15" s="3">
        <v>2346</v>
      </c>
      <c r="AK15">
        <v>0.49299999999999999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109.6078753500236</v>
      </c>
      <c r="AU15" s="17">
        <f t="shared" si="1"/>
        <v>480.59917799563999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135.61975027042303</v>
      </c>
      <c r="AX15" s="10">
        <f t="shared" ref="AX15:AX16" si="11">IF(AJ15&lt;45000,((-0.0000004561*AJ15^2)+(0.244*AJ15)+(-21.72)),((-0.0000000409*AJ15^2)+(0.2477*AJ15)+(-1777)))</f>
        <v>548.19375513239993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137.7513769965112</v>
      </c>
      <c r="BA15" s="12">
        <f t="shared" ref="BA15:BA16" si="13">IF(AJ15&lt;45000,((-0.0000000598*AJ15^2)+(0.205*AJ15)+(34.1)),((-0.00000002403*AJ15^2)+(0.2063*AJ15)+(-550.7)))</f>
        <v>514.70087778319999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134.62692096773699</v>
      </c>
      <c r="BD15" s="15">
        <f t="shared" ref="BD15:BD16" si="15">IF(AJ15&lt;45000,((-0.00000004907*AJ15^2)+(0.2277*AJ15)+(-134)),((-0.00000001062*AJ15^2)+(0.2147*AJ15)+(590.6)))</f>
        <v>399.91413265588005</v>
      </c>
      <c r="BF15" s="16">
        <f t="shared" si="8"/>
        <v>109.6078753500236</v>
      </c>
      <c r="BG15" s="17">
        <f t="shared" si="9"/>
        <v>480.59917799563999</v>
      </c>
      <c r="BI15">
        <v>51</v>
      </c>
      <c r="BJ15" t="s">
        <v>41</v>
      </c>
      <c r="BK15" s="2">
        <v>46223.837152777778</v>
      </c>
      <c r="BL15">
        <v>290</v>
      </c>
      <c r="BM15" t="s">
        <v>13</v>
      </c>
      <c r="BN15">
        <v>0</v>
      </c>
      <c r="BO15">
        <v>2.8839999999999999</v>
      </c>
      <c r="BP15" s="3">
        <v>823763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46223.858402777776</v>
      </c>
      <c r="D16">
        <v>377</v>
      </c>
      <c r="E16" t="s">
        <v>13</v>
      </c>
      <c r="F16">
        <v>0</v>
      </c>
      <c r="G16">
        <v>6.0510000000000002</v>
      </c>
      <c r="H16" s="3">
        <v>53032</v>
      </c>
      <c r="I16">
        <v>0.108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46223.858402777776</v>
      </c>
      <c r="R16">
        <v>377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46223.858402777776</v>
      </c>
      <c r="AF16">
        <v>377</v>
      </c>
      <c r="AG16" t="s">
        <v>13</v>
      </c>
      <c r="AH16">
        <v>0</v>
      </c>
      <c r="AI16">
        <v>12.307</v>
      </c>
      <c r="AJ16" s="3">
        <v>3709</v>
      </c>
      <c r="AK16">
        <v>0.72599999999999998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117.7091752657664</v>
      </c>
      <c r="AU16" s="17">
        <f t="shared" si="1"/>
        <v>734.00365161298998</v>
      </c>
      <c r="AW16" s="9">
        <f t="shared" si="10"/>
        <v>146.521232201152</v>
      </c>
      <c r="AX16" s="10">
        <f t="shared" si="11"/>
        <v>877.00157779589995</v>
      </c>
      <c r="AZ16" s="11">
        <f t="shared" si="12"/>
        <v>148.6065488946688</v>
      </c>
      <c r="BA16" s="12">
        <f t="shared" si="13"/>
        <v>793.62235047619993</v>
      </c>
      <c r="BC16" s="14">
        <f t="shared" si="14"/>
        <v>144.67116463468798</v>
      </c>
      <c r="BD16" s="15">
        <f t="shared" si="15"/>
        <v>709.86425966333002</v>
      </c>
      <c r="BF16" s="16">
        <f t="shared" si="8"/>
        <v>117.7091752657664</v>
      </c>
      <c r="BG16" s="17">
        <f t="shared" si="9"/>
        <v>734.00365161298998</v>
      </c>
      <c r="BI16">
        <v>52</v>
      </c>
      <c r="BJ16" t="s">
        <v>42</v>
      </c>
      <c r="BK16" s="2">
        <v>46223.858402777776</v>
      </c>
      <c r="BL16">
        <v>377</v>
      </c>
      <c r="BM16" t="s">
        <v>13</v>
      </c>
      <c r="BN16">
        <v>0</v>
      </c>
      <c r="BO16">
        <v>2.88</v>
      </c>
      <c r="BP16" s="3">
        <v>871660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46223.879641203705</v>
      </c>
      <c r="D17">
        <v>331</v>
      </c>
      <c r="E17" t="s">
        <v>13</v>
      </c>
      <c r="F17">
        <v>0</v>
      </c>
      <c r="G17">
        <v>5.968</v>
      </c>
      <c r="H17" s="3">
        <v>25617931</v>
      </c>
      <c r="I17">
        <v>55.63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46223.879641203705</v>
      </c>
      <c r="R17">
        <v>331</v>
      </c>
      <c r="S17" t="s">
        <v>13</v>
      </c>
      <c r="T17">
        <v>0</v>
      </c>
      <c r="U17">
        <v>5.9279999999999999</v>
      </c>
      <c r="V17" s="3">
        <v>223531</v>
      </c>
      <c r="W17">
        <v>50.82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46223.879641203705</v>
      </c>
      <c r="AF17">
        <v>331</v>
      </c>
      <c r="AG17" t="s">
        <v>13</v>
      </c>
      <c r="AH17">
        <v>0</v>
      </c>
      <c r="AI17">
        <v>12.252000000000001</v>
      </c>
      <c r="AJ17" s="3">
        <v>51707</v>
      </c>
      <c r="AK17">
        <v>8.9250000000000007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50996.098926323459</v>
      </c>
      <c r="AU17" s="17">
        <f t="shared" si="1"/>
        <v>10075.027393055881</v>
      </c>
      <c r="AW17" s="9">
        <f t="shared" ref="AW17:AW35" si="16">IF(H17&lt;10000,((H17^2*0.00000054)+(H17*-0.004765)+(12.72)),(IF(H17&lt;200000,((H17^2*-0.000000001577)+(H17*0.003043)+(-10.42)),(IF(H17&lt;8000000,((H17^2*-0.0000000000186)+(H17*0.00194)+(154.1)),((V17^2*-0.00000002)+(V17*0.2565)+(-1032)))))))</f>
        <v>55304.379340780004</v>
      </c>
      <c r="AX17" s="10">
        <f t="shared" ref="AX17:AX35" si="17">IF(AJ17&lt;45000,((-0.0000004561*AJ17^2)+(0.244*AJ17)+(-21.72)),((-0.0000000409*AJ17^2)+(0.2477*AJ17)+(-1777)))</f>
        <v>10921.4730935759</v>
      </c>
      <c r="AZ17" s="11">
        <f t="shared" ref="AZ17:AZ35" si="18">IF(H17&lt;10000,((H17^2*0.00000005714)+(H17*0.002453)+(-3.811)),(IF(H17&lt;200000,((H17^2*-0.0000000002888)+(H17*0.002899)+(-4.321)),(IF(H17&lt;8000000,((H17^2*-0.0000000000062)+(H17*0.002143)+(157)),((V17^2*-0.000000031)+(V17*0.2771)+(-709.5)))))))</f>
        <v>59681.990753209</v>
      </c>
      <c r="BA17" s="12">
        <f t="shared" ref="BA17:BA35" si="19">IF(AJ17&lt;45000,((-0.0000000598*AJ17^2)+(0.205*AJ17)+(34.1)),((-0.00000002403*AJ17^2)+(0.2063*AJ17)+(-550.7)))</f>
        <v>10052.207159208529</v>
      </c>
      <c r="BC17" s="14">
        <f t="shared" ref="BC17:BC35" si="20">IF(H17&lt;10000,((H17^2*0.000000008493)+(H17*0.003482)+(-3.269)),(IF(H17&lt;200000,((H17^2*-0.000000000263)+(H17*0.002682)+(3.179)),(IF(H17&lt;8000000,((H17^2*-0.000000000005099)+(H17*0.002054)+(174.8)),((V17^2*-0.00000001014)+(V17*0.2415)+(1123)))))))</f>
        <v>54599.08016527546</v>
      </c>
      <c r="BD17" s="15">
        <f t="shared" ref="BD17:BD35" si="21">IF(AJ17&lt;45000,((-0.00000004907*AJ17^2)+(0.2277*AJ17)+(-134)),((-0.00000001062*AJ17^2)+(0.2147*AJ17)+(590.6)))</f>
        <v>11663.69912092362</v>
      </c>
      <c r="BF17" s="16">
        <f t="shared" si="8"/>
        <v>50996.098926323459</v>
      </c>
      <c r="BG17" s="17">
        <f t="shared" si="9"/>
        <v>10075.027393055881</v>
      </c>
      <c r="BI17">
        <v>53</v>
      </c>
      <c r="BJ17" t="s">
        <v>43</v>
      </c>
      <c r="BK17" s="2">
        <v>46223.879641203705</v>
      </c>
      <c r="BL17">
        <v>331</v>
      </c>
      <c r="BM17" t="s">
        <v>13</v>
      </c>
      <c r="BN17">
        <v>0</v>
      </c>
      <c r="BO17">
        <v>2.9020000000000001</v>
      </c>
      <c r="BP17" s="3">
        <v>466594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46223.900868055556</v>
      </c>
      <c r="D18">
        <v>244</v>
      </c>
      <c r="E18" t="s">
        <v>13</v>
      </c>
      <c r="F18">
        <v>0</v>
      </c>
      <c r="G18">
        <v>6.0369999999999999</v>
      </c>
      <c r="H18" s="3">
        <v>2375074</v>
      </c>
      <c r="I18">
        <v>4.8460000000000001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46223.900868055556</v>
      </c>
      <c r="R18">
        <v>244</v>
      </c>
      <c r="S18" t="s">
        <v>13</v>
      </c>
      <c r="T18">
        <v>0</v>
      </c>
      <c r="U18">
        <v>5.9889999999999999</v>
      </c>
      <c r="V18" s="3">
        <v>21174</v>
      </c>
      <c r="W18">
        <v>4.9640000000000004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46223.900868055556</v>
      </c>
      <c r="AF18">
        <v>244</v>
      </c>
      <c r="AG18" t="s">
        <v>13</v>
      </c>
      <c r="AH18">
        <v>0</v>
      </c>
      <c r="AI18">
        <v>12.249000000000001</v>
      </c>
      <c r="AJ18" s="3">
        <v>48264</v>
      </c>
      <c r="AK18">
        <v>8.3369999999999997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4432.6146158706588</v>
      </c>
      <c r="AU18" s="17">
        <f t="shared" si="1"/>
        <v>9511.6554185265995</v>
      </c>
      <c r="AW18" s="9">
        <f t="shared" si="16"/>
        <v>4656.8213969981471</v>
      </c>
      <c r="AX18" s="10">
        <f t="shared" si="17"/>
        <v>10082.7197798336</v>
      </c>
      <c r="AZ18" s="11">
        <f t="shared" si="18"/>
        <v>5211.8095276660488</v>
      </c>
      <c r="BA18" s="12">
        <f t="shared" si="19"/>
        <v>9350.1873888851187</v>
      </c>
      <c r="BC18" s="14">
        <f t="shared" si="20"/>
        <v>5024.4386567985775</v>
      </c>
      <c r="BD18" s="15">
        <f t="shared" si="21"/>
        <v>10928.14242654848</v>
      </c>
      <c r="BF18" s="16">
        <f t="shared" si="8"/>
        <v>4432.6146158706588</v>
      </c>
      <c r="BG18" s="17">
        <f t="shared" si="9"/>
        <v>9511.6554185265995</v>
      </c>
      <c r="BI18">
        <v>54</v>
      </c>
      <c r="BJ18" t="s">
        <v>44</v>
      </c>
      <c r="BK18" s="2">
        <v>46223.900868055556</v>
      </c>
      <c r="BL18">
        <v>244</v>
      </c>
      <c r="BM18" t="s">
        <v>13</v>
      </c>
      <c r="BN18">
        <v>0</v>
      </c>
      <c r="BO18">
        <v>2.8849999999999998</v>
      </c>
      <c r="BP18" s="3">
        <v>655170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46223.9221412037</v>
      </c>
      <c r="D19">
        <v>132</v>
      </c>
      <c r="E19" t="s">
        <v>13</v>
      </c>
      <c r="F19">
        <v>0</v>
      </c>
      <c r="G19">
        <v>6.056</v>
      </c>
      <c r="H19" s="3">
        <v>10568</v>
      </c>
      <c r="I19">
        <v>2.1999999999999999E-2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46223.9221412037</v>
      </c>
      <c r="R19">
        <v>132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46223.9221412037</v>
      </c>
      <c r="AF19">
        <v>132</v>
      </c>
      <c r="AG19" t="s">
        <v>13</v>
      </c>
      <c r="AH19">
        <v>0</v>
      </c>
      <c r="AI19">
        <v>12.311999999999999</v>
      </c>
      <c r="AJ19" s="3">
        <v>195</v>
      </c>
      <c r="AK19">
        <v>0.126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26.154202660326405</v>
      </c>
      <c r="AU19" s="17">
        <f t="shared" si="1"/>
        <v>80.962860914749996</v>
      </c>
      <c r="AW19" s="9">
        <f t="shared" si="16"/>
        <v>21.562300501952002</v>
      </c>
      <c r="AX19" s="10">
        <f t="shared" si="17"/>
        <v>25.842656797499998</v>
      </c>
      <c r="AZ19" s="11">
        <f t="shared" si="18"/>
        <v>26.283378058188802</v>
      </c>
      <c r="BA19" s="12">
        <f t="shared" si="19"/>
        <v>74.072726104999987</v>
      </c>
      <c r="BC19" s="14">
        <f t="shared" si="20"/>
        <v>31.493003469887999</v>
      </c>
      <c r="BD19" s="15">
        <f t="shared" si="21"/>
        <v>-89.600365886749984</v>
      </c>
      <c r="BF19" s="16">
        <f t="shared" si="8"/>
        <v>26.154202660326405</v>
      </c>
      <c r="BG19" s="17">
        <f t="shared" si="9"/>
        <v>80.962860914749996</v>
      </c>
      <c r="BI19">
        <v>55</v>
      </c>
      <c r="BJ19" t="s">
        <v>45</v>
      </c>
      <c r="BK19" s="2">
        <v>46223.9221412037</v>
      </c>
      <c r="BL19">
        <v>132</v>
      </c>
      <c r="BM19" t="s">
        <v>13</v>
      </c>
      <c r="BN19">
        <v>0</v>
      </c>
      <c r="BO19">
        <v>2.8849999999999998</v>
      </c>
      <c r="BP19" s="3">
        <v>815388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46223.943402777775</v>
      </c>
      <c r="D20">
        <v>168</v>
      </c>
      <c r="E20" t="s">
        <v>13</v>
      </c>
      <c r="F20">
        <v>0</v>
      </c>
      <c r="G20">
        <v>6.0430000000000001</v>
      </c>
      <c r="H20" s="3">
        <v>808374</v>
      </c>
      <c r="I20">
        <v>1.643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46223.943402777775</v>
      </c>
      <c r="R20">
        <v>168</v>
      </c>
      <c r="S20" t="s">
        <v>13</v>
      </c>
      <c r="T20">
        <v>0</v>
      </c>
      <c r="U20">
        <v>5.9939999999999998</v>
      </c>
      <c r="V20" s="3">
        <v>7566</v>
      </c>
      <c r="W20">
        <v>1.875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46223.943402777775</v>
      </c>
      <c r="AF20">
        <v>168</v>
      </c>
      <c r="AG20" t="s">
        <v>13</v>
      </c>
      <c r="AH20">
        <v>0</v>
      </c>
      <c r="AI20">
        <v>12.256</v>
      </c>
      <c r="AJ20" s="3">
        <v>38633</v>
      </c>
      <c r="AK20">
        <v>6.6920000000000002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1611.023466035829</v>
      </c>
      <c r="AU20" s="17">
        <f t="shared" si="1"/>
        <v>7272.3149859793102</v>
      </c>
      <c r="AW20" s="9">
        <f t="shared" si="16"/>
        <v>1710.1910454559063</v>
      </c>
      <c r="AX20" s="10">
        <f t="shared" si="17"/>
        <v>8723.9987869471006</v>
      </c>
      <c r="AZ20" s="11">
        <f t="shared" si="18"/>
        <v>1885.2939771519686</v>
      </c>
      <c r="BA20" s="12">
        <f t="shared" si="19"/>
        <v>7864.6129803978001</v>
      </c>
      <c r="BC20" s="14">
        <f t="shared" si="20"/>
        <v>1831.868159996756</v>
      </c>
      <c r="BD20" s="15">
        <f t="shared" si="21"/>
        <v>8589.49669863077</v>
      </c>
      <c r="BF20" s="16">
        <f t="shared" si="8"/>
        <v>1611.023466035829</v>
      </c>
      <c r="BG20" s="17">
        <f t="shared" si="9"/>
        <v>7272.3149859793102</v>
      </c>
      <c r="BI20">
        <v>56</v>
      </c>
      <c r="BJ20" t="s">
        <v>46</v>
      </c>
      <c r="BK20" s="2">
        <v>46223.943402777775</v>
      </c>
      <c r="BL20">
        <v>168</v>
      </c>
      <c r="BM20" t="s">
        <v>13</v>
      </c>
      <c r="BN20">
        <v>0</v>
      </c>
      <c r="BO20">
        <v>2.879</v>
      </c>
      <c r="BP20" s="3">
        <v>769859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46223.96466435185</v>
      </c>
      <c r="D21">
        <v>242</v>
      </c>
      <c r="E21" t="s">
        <v>13</v>
      </c>
      <c r="F21">
        <v>0</v>
      </c>
      <c r="G21">
        <v>6.05</v>
      </c>
      <c r="H21" s="3">
        <v>20254</v>
      </c>
      <c r="I21">
        <v>4.1000000000000002E-2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46223.96466435185</v>
      </c>
      <c r="R21">
        <v>242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46223.96466435185</v>
      </c>
      <c r="AF21">
        <v>242</v>
      </c>
      <c r="AG21" t="s">
        <v>13</v>
      </c>
      <c r="AH21">
        <v>0</v>
      </c>
      <c r="AI21">
        <v>12.308999999999999</v>
      </c>
      <c r="AJ21" s="3">
        <v>5931</v>
      </c>
      <c r="AK21">
        <v>1.1060000000000001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47.157311492177598</v>
      </c>
      <c r="AU21" s="17">
        <f t="shared" si="1"/>
        <v>1147.39567627619</v>
      </c>
      <c r="AW21" s="9">
        <f t="shared" si="16"/>
        <v>50.565997938267998</v>
      </c>
      <c r="AX21" s="10">
        <f t="shared" si="17"/>
        <v>1409.3998793078999</v>
      </c>
      <c r="AZ21" s="11">
        <f t="shared" si="18"/>
        <v>54.276873159779207</v>
      </c>
      <c r="BA21" s="12">
        <f t="shared" si="19"/>
        <v>1247.8514296921999</v>
      </c>
      <c r="BC21" s="14">
        <f t="shared" si="20"/>
        <v>57.392338952292</v>
      </c>
      <c r="BD21" s="15">
        <f t="shared" si="21"/>
        <v>1214.76257633773</v>
      </c>
      <c r="BF21" s="16">
        <f t="shared" si="8"/>
        <v>47.157311492177598</v>
      </c>
      <c r="BG21" s="17">
        <f t="shared" si="9"/>
        <v>1147.39567627619</v>
      </c>
      <c r="BI21">
        <v>57</v>
      </c>
      <c r="BJ21" t="s">
        <v>47</v>
      </c>
      <c r="BK21" s="2">
        <v>46223.96466435185</v>
      </c>
      <c r="BL21">
        <v>242</v>
      </c>
      <c r="BM21" t="s">
        <v>13</v>
      </c>
      <c r="BN21">
        <v>0</v>
      </c>
      <c r="BO21">
        <v>2.8809999999999998</v>
      </c>
      <c r="BP21" s="3">
        <v>779737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46223.985902777778</v>
      </c>
      <c r="D22">
        <v>318</v>
      </c>
      <c r="E22" t="s">
        <v>13</v>
      </c>
      <c r="F22">
        <v>0</v>
      </c>
      <c r="G22">
        <v>6.0529999999999999</v>
      </c>
      <c r="H22" s="3">
        <v>91065</v>
      </c>
      <c r="I22">
        <v>0.185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46223.985902777778</v>
      </c>
      <c r="R22">
        <v>318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46223.985902777778</v>
      </c>
      <c r="AF22">
        <v>318</v>
      </c>
      <c r="AG22" t="s">
        <v>13</v>
      </c>
      <c r="AH22">
        <v>0</v>
      </c>
      <c r="AI22">
        <v>12.201000000000001</v>
      </c>
      <c r="AJ22" s="3">
        <v>107919</v>
      </c>
      <c r="AK22">
        <v>18.521000000000001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198.55827719771</v>
      </c>
      <c r="AU22" s="17">
        <f t="shared" si="1"/>
        <v>19280.552418959705</v>
      </c>
      <c r="AW22" s="9">
        <f t="shared" si="16"/>
        <v>253.61299542717504</v>
      </c>
      <c r="AX22" s="10">
        <f t="shared" si="17"/>
        <v>24478.194018055099</v>
      </c>
      <c r="AZ22" s="11">
        <f t="shared" si="18"/>
        <v>257.28146447581997</v>
      </c>
      <c r="BA22" s="12">
        <f t="shared" si="19"/>
        <v>21433.124051219173</v>
      </c>
      <c r="BC22" s="14">
        <f t="shared" si="20"/>
        <v>245.23431459882499</v>
      </c>
      <c r="BD22" s="15">
        <f t="shared" si="21"/>
        <v>23637.123357842178</v>
      </c>
      <c r="BF22" s="16">
        <f t="shared" si="8"/>
        <v>198.55827719771</v>
      </c>
      <c r="BG22" s="17">
        <f t="shared" si="9"/>
        <v>19280.552418959705</v>
      </c>
      <c r="BI22">
        <v>58</v>
      </c>
      <c r="BJ22" t="s">
        <v>48</v>
      </c>
      <c r="BK22" s="2">
        <v>46223.985902777778</v>
      </c>
      <c r="BL22">
        <v>318</v>
      </c>
      <c r="BM22" t="s">
        <v>13</v>
      </c>
      <c r="BN22">
        <v>0</v>
      </c>
      <c r="BO22">
        <v>2.89</v>
      </c>
      <c r="BP22" s="3">
        <v>717999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46224.007152777776</v>
      </c>
      <c r="D23">
        <v>366</v>
      </c>
      <c r="E23" t="s">
        <v>13</v>
      </c>
      <c r="F23">
        <v>0</v>
      </c>
      <c r="G23">
        <v>5.9489999999999998</v>
      </c>
      <c r="H23" s="3">
        <v>28476772</v>
      </c>
      <c r="I23">
        <v>62.37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46224.007152777776</v>
      </c>
      <c r="R23">
        <v>366</v>
      </c>
      <c r="S23" t="s">
        <v>13</v>
      </c>
      <c r="T23">
        <v>0</v>
      </c>
      <c r="U23">
        <v>5.9130000000000003</v>
      </c>
      <c r="V23" s="3">
        <v>258300</v>
      </c>
      <c r="W23">
        <v>58.683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46224.007152777776</v>
      </c>
      <c r="AF23">
        <v>366</v>
      </c>
      <c r="AG23" t="s">
        <v>13</v>
      </c>
      <c r="AH23">
        <v>0</v>
      </c>
      <c r="AI23">
        <v>12.249000000000001</v>
      </c>
      <c r="AJ23" s="3">
        <v>47606</v>
      </c>
      <c r="AK23">
        <v>8.2240000000000002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58594.591298419997</v>
      </c>
      <c r="AU23" s="17">
        <f t="shared" si="1"/>
        <v>9403.9942075786639</v>
      </c>
      <c r="AW23" s="9">
        <f t="shared" si="16"/>
        <v>63887.572199999995</v>
      </c>
      <c r="AX23" s="10">
        <f t="shared" si="17"/>
        <v>9922.3132524476005</v>
      </c>
      <c r="AZ23" s="11">
        <f t="shared" si="18"/>
        <v>68797.144410000008</v>
      </c>
      <c r="BA23" s="12">
        <f t="shared" si="19"/>
        <v>9215.9578603989194</v>
      </c>
      <c r="BC23" s="14">
        <f t="shared" si="20"/>
        <v>62825.920455399995</v>
      </c>
      <c r="BD23" s="15">
        <f t="shared" si="21"/>
        <v>10787.53976227368</v>
      </c>
      <c r="BF23" s="16">
        <f t="shared" si="8"/>
        <v>58594.591298419997</v>
      </c>
      <c r="BG23" s="17">
        <f t="shared" si="9"/>
        <v>9403.9942075786639</v>
      </c>
      <c r="BI23">
        <v>59</v>
      </c>
      <c r="BJ23" t="s">
        <v>49</v>
      </c>
      <c r="BK23" s="2">
        <v>46224.007152777776</v>
      </c>
      <c r="BL23">
        <v>366</v>
      </c>
      <c r="BM23" t="s">
        <v>13</v>
      </c>
      <c r="BN23">
        <v>0</v>
      </c>
      <c r="BO23">
        <v>2.8929999999999998</v>
      </c>
      <c r="BP23" s="3">
        <v>499081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46224.028425925928</v>
      </c>
      <c r="D24">
        <v>191</v>
      </c>
      <c r="E24" t="s">
        <v>13</v>
      </c>
      <c r="F24">
        <v>0</v>
      </c>
      <c r="G24">
        <v>6.0449999999999999</v>
      </c>
      <c r="H24" s="3">
        <v>143171</v>
      </c>
      <c r="I24">
        <v>0.29099999999999998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46224.028425925928</v>
      </c>
      <c r="R24">
        <v>191</v>
      </c>
      <c r="S24" t="s">
        <v>13</v>
      </c>
      <c r="T24">
        <v>0</v>
      </c>
      <c r="U24">
        <v>5.9909999999999997</v>
      </c>
      <c r="V24" s="3">
        <v>1547</v>
      </c>
      <c r="W24">
        <v>0.50800000000000001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46224.028425925928</v>
      </c>
      <c r="AF24">
        <v>191</v>
      </c>
      <c r="AG24" t="s">
        <v>13</v>
      </c>
      <c r="AH24">
        <v>0</v>
      </c>
      <c r="AI24">
        <v>12.244</v>
      </c>
      <c r="AJ24" s="3">
        <v>54613</v>
      </c>
      <c r="AK24">
        <v>9.4209999999999994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307.55535717528761</v>
      </c>
      <c r="AU24" s="17">
        <f t="shared" si="1"/>
        <v>10550.573131354649</v>
      </c>
      <c r="AW24" s="9">
        <f t="shared" si="16"/>
        <v>392.92410912494296</v>
      </c>
      <c r="AX24" s="10">
        <f t="shared" si="17"/>
        <v>11628.652587447901</v>
      </c>
      <c r="AZ24" s="11">
        <f t="shared" si="18"/>
        <v>404.81192530239917</v>
      </c>
      <c r="BA24" s="12">
        <f t="shared" si="19"/>
        <v>10644.290508150931</v>
      </c>
      <c r="BC24" s="14">
        <f t="shared" si="20"/>
        <v>381.77266503161695</v>
      </c>
      <c r="BD24" s="15">
        <f t="shared" si="21"/>
        <v>12284.33610285322</v>
      </c>
      <c r="BF24" s="16">
        <f t="shared" si="8"/>
        <v>307.55535717528761</v>
      </c>
      <c r="BG24" s="17">
        <f t="shared" si="9"/>
        <v>10550.573131354649</v>
      </c>
      <c r="BI24">
        <v>60</v>
      </c>
      <c r="BJ24" t="s">
        <v>50</v>
      </c>
      <c r="BK24" s="2">
        <v>46224.028425925928</v>
      </c>
      <c r="BL24">
        <v>191</v>
      </c>
      <c r="BM24" t="s">
        <v>13</v>
      </c>
      <c r="BN24">
        <v>0</v>
      </c>
      <c r="BO24">
        <v>2.879</v>
      </c>
      <c r="BP24" s="3">
        <v>773347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46224.049629629626</v>
      </c>
      <c r="D25">
        <v>8</v>
      </c>
      <c r="E25" t="s">
        <v>13</v>
      </c>
      <c r="F25">
        <v>0</v>
      </c>
      <c r="G25">
        <v>6.0510000000000002</v>
      </c>
      <c r="H25" s="3">
        <v>115160</v>
      </c>
      <c r="I25">
        <v>0.23400000000000001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46224.049629629626</v>
      </c>
      <c r="R25">
        <v>8</v>
      </c>
      <c r="S25" t="s">
        <v>13</v>
      </c>
      <c r="T25">
        <v>0</v>
      </c>
      <c r="U25">
        <v>6.0010000000000003</v>
      </c>
      <c r="V25" s="3">
        <v>1203</v>
      </c>
      <c r="W25">
        <v>0.42899999999999999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46224.049629629626</v>
      </c>
      <c r="AF25">
        <v>8</v>
      </c>
      <c r="AG25" t="s">
        <v>13</v>
      </c>
      <c r="AH25">
        <v>0</v>
      </c>
      <c r="AI25">
        <v>12.255000000000001</v>
      </c>
      <c r="AJ25" s="3">
        <v>54454</v>
      </c>
      <c r="AK25">
        <v>9.3940000000000001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249.21504884415998</v>
      </c>
      <c r="AU25" s="17">
        <f t="shared" si="1"/>
        <v>10524.552942095015</v>
      </c>
      <c r="AW25" s="9">
        <f t="shared" si="16"/>
        <v>319.09798102880001</v>
      </c>
      <c r="AX25" s="10">
        <f t="shared" si="17"/>
        <v>11589.977561055601</v>
      </c>
      <c r="AZ25" s="11">
        <f t="shared" si="18"/>
        <v>325.69782476671998</v>
      </c>
      <c r="BA25" s="12">
        <f t="shared" si="19"/>
        <v>10611.905528072521</v>
      </c>
      <c r="BC25" s="14">
        <f t="shared" si="20"/>
        <v>308.5502598672</v>
      </c>
      <c r="BD25" s="15">
        <f t="shared" si="21"/>
        <v>12250.382971208081</v>
      </c>
      <c r="BF25" s="16">
        <f t="shared" si="8"/>
        <v>249.21504884415998</v>
      </c>
      <c r="BG25" s="17">
        <f t="shared" si="9"/>
        <v>10524.552942095015</v>
      </c>
      <c r="BI25">
        <v>61</v>
      </c>
      <c r="BJ25" t="s">
        <v>51</v>
      </c>
      <c r="BK25" s="2">
        <v>46224.049629629626</v>
      </c>
      <c r="BL25">
        <v>8</v>
      </c>
      <c r="BM25" t="s">
        <v>13</v>
      </c>
      <c r="BN25">
        <v>0</v>
      </c>
      <c r="BO25">
        <v>2.8839999999999999</v>
      </c>
      <c r="BP25" s="3">
        <v>791418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46224.070891203701</v>
      </c>
      <c r="D26">
        <v>247</v>
      </c>
      <c r="E26" t="s">
        <v>13</v>
      </c>
      <c r="F26">
        <v>0</v>
      </c>
      <c r="G26">
        <v>5.9459999999999997</v>
      </c>
      <c r="H26" s="3">
        <v>28746447</v>
      </c>
      <c r="I26">
        <v>63.012999999999998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46224.070891203701</v>
      </c>
      <c r="R26">
        <v>247</v>
      </c>
      <c r="S26" t="s">
        <v>13</v>
      </c>
      <c r="T26">
        <v>0</v>
      </c>
      <c r="U26">
        <v>5.9109999999999996</v>
      </c>
      <c r="V26" s="3">
        <v>263748</v>
      </c>
      <c r="W26">
        <v>59.914000000000001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46224.070891203701</v>
      </c>
      <c r="AF26">
        <v>247</v>
      </c>
      <c r="AG26" t="s">
        <v>13</v>
      </c>
      <c r="AH26">
        <v>0</v>
      </c>
      <c r="AI26">
        <v>12.24</v>
      </c>
      <c r="AJ26" s="3">
        <v>56962</v>
      </c>
      <c r="AK26">
        <v>9.8219999999999992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59785.773833345309</v>
      </c>
      <c r="AU26" s="17">
        <f t="shared" si="1"/>
        <v>10934.998055873708</v>
      </c>
      <c r="AW26" s="9">
        <f t="shared" si="16"/>
        <v>65228.101849920015</v>
      </c>
      <c r="AX26" s="10">
        <f t="shared" si="17"/>
        <v>12199.7804197404</v>
      </c>
      <c r="AZ26" s="11">
        <f t="shared" si="18"/>
        <v>70218.617567376001</v>
      </c>
      <c r="BA26" s="12">
        <f t="shared" si="19"/>
        <v>11122.591193260681</v>
      </c>
      <c r="BC26" s="14">
        <f t="shared" si="20"/>
        <v>64112.773103909443</v>
      </c>
      <c r="BD26" s="15">
        <f t="shared" si="21"/>
        <v>12785.883010504722</v>
      </c>
      <c r="BF26" s="16">
        <f t="shared" si="8"/>
        <v>59785.773833345309</v>
      </c>
      <c r="BG26" s="17">
        <f t="shared" si="9"/>
        <v>10934.998055873708</v>
      </c>
      <c r="BI26">
        <v>62</v>
      </c>
      <c r="BJ26" t="s">
        <v>52</v>
      </c>
      <c r="BK26" s="2">
        <v>46224.070891203701</v>
      </c>
      <c r="BL26">
        <v>247</v>
      </c>
      <c r="BM26" t="s">
        <v>13</v>
      </c>
      <c r="BN26">
        <v>0</v>
      </c>
      <c r="BO26">
        <v>2.8919999999999999</v>
      </c>
      <c r="BP26" s="3">
        <v>523117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46224.092141203706</v>
      </c>
      <c r="D27">
        <v>194</v>
      </c>
      <c r="E27" t="s">
        <v>13</v>
      </c>
      <c r="F27">
        <v>0</v>
      </c>
      <c r="G27">
        <v>6.048</v>
      </c>
      <c r="H27" s="3">
        <v>56723</v>
      </c>
      <c r="I27">
        <v>0.115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46224.092141203706</v>
      </c>
      <c r="R27">
        <v>194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46224.092141203706</v>
      </c>
      <c r="AF27">
        <v>194</v>
      </c>
      <c r="AG27" t="s">
        <v>13</v>
      </c>
      <c r="AH27">
        <v>0</v>
      </c>
      <c r="AI27">
        <v>12.31</v>
      </c>
      <c r="AJ27" s="3">
        <v>2457</v>
      </c>
      <c r="AK27">
        <v>0.51200000000000001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125.60307347840441</v>
      </c>
      <c r="AU27" s="17">
        <f t="shared" si="1"/>
        <v>501.23095882570999</v>
      </c>
      <c r="AW27" s="9">
        <f t="shared" si="16"/>
        <v>157.11409350436702</v>
      </c>
      <c r="AX27" s="10">
        <f t="shared" si="17"/>
        <v>575.03459317110003</v>
      </c>
      <c r="AZ27" s="11">
        <f t="shared" si="18"/>
        <v>159.18976336706481</v>
      </c>
      <c r="BA27" s="12">
        <f t="shared" si="19"/>
        <v>537.4239964297999</v>
      </c>
      <c r="BC27" s="14">
        <f t="shared" si="20"/>
        <v>154.46388383427299</v>
      </c>
      <c r="BD27" s="15">
        <f t="shared" si="21"/>
        <v>425.16267181957005</v>
      </c>
      <c r="BF27" s="16">
        <f t="shared" si="8"/>
        <v>125.60307347840441</v>
      </c>
      <c r="BG27" s="17">
        <f t="shared" si="9"/>
        <v>501.23095882570999</v>
      </c>
      <c r="BI27">
        <v>63</v>
      </c>
      <c r="BJ27" t="s">
        <v>53</v>
      </c>
      <c r="BK27" s="2">
        <v>46224.092141203706</v>
      </c>
      <c r="BL27">
        <v>194</v>
      </c>
      <c r="BM27" t="s">
        <v>13</v>
      </c>
      <c r="BN27">
        <v>0</v>
      </c>
      <c r="BO27">
        <v>2.8540000000000001</v>
      </c>
      <c r="BP27" s="3">
        <v>1302127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46224.113391203704</v>
      </c>
      <c r="D28">
        <v>30</v>
      </c>
      <c r="E28" t="s">
        <v>13</v>
      </c>
      <c r="F28">
        <v>0</v>
      </c>
      <c r="G28">
        <v>6.0529999999999999</v>
      </c>
      <c r="H28" s="3">
        <v>11379</v>
      </c>
      <c r="I28">
        <v>2.3E-2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46224.113391203704</v>
      </c>
      <c r="R28">
        <v>30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46224.113391203704</v>
      </c>
      <c r="AF28">
        <v>30</v>
      </c>
      <c r="AG28" t="s">
        <v>13</v>
      </c>
      <c r="AH28">
        <v>0</v>
      </c>
      <c r="AI28">
        <v>12.573</v>
      </c>
      <c r="AJ28" s="3">
        <v>26</v>
      </c>
      <c r="AK28">
        <v>9.7000000000000003E-2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27.9154831103276</v>
      </c>
      <c r="AU28" s="17">
        <f t="shared" si="1"/>
        <v>49.578224194039997</v>
      </c>
      <c r="AW28" s="9">
        <f t="shared" si="16"/>
        <v>24.002104452143001</v>
      </c>
      <c r="AX28" s="10">
        <f t="shared" si="17"/>
        <v>-15.3763083236</v>
      </c>
      <c r="AZ28" s="11">
        <f t="shared" si="18"/>
        <v>28.629326702079204</v>
      </c>
      <c r="BA28" s="12">
        <f t="shared" si="19"/>
        <v>39.429959575200002</v>
      </c>
      <c r="BC28" s="14">
        <f t="shared" si="20"/>
        <v>33.663424328417001</v>
      </c>
      <c r="BD28" s="15">
        <f t="shared" si="21"/>
        <v>-128.07983317131999</v>
      </c>
      <c r="BF28" s="16">
        <f t="shared" si="8"/>
        <v>27.9154831103276</v>
      </c>
      <c r="BG28" s="17">
        <f t="shared" si="9"/>
        <v>49.578224194039997</v>
      </c>
      <c r="BI28">
        <v>64</v>
      </c>
      <c r="BJ28" t="s">
        <v>54</v>
      </c>
      <c r="BK28" s="2">
        <v>46224.113391203704</v>
      </c>
      <c r="BL28">
        <v>30</v>
      </c>
      <c r="BM28" t="s">
        <v>13</v>
      </c>
      <c r="BN28">
        <v>0</v>
      </c>
      <c r="BO28">
        <v>2.8860000000000001</v>
      </c>
      <c r="BP28" s="3">
        <v>701056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46224.134606481479</v>
      </c>
      <c r="D29">
        <v>234</v>
      </c>
      <c r="E29" t="s">
        <v>13</v>
      </c>
      <c r="F29">
        <v>0</v>
      </c>
      <c r="G29">
        <v>5.95</v>
      </c>
      <c r="H29" s="3">
        <v>29518406</v>
      </c>
      <c r="I29">
        <v>64.858000000000004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46224.134606481479</v>
      </c>
      <c r="R29">
        <v>234</v>
      </c>
      <c r="S29" t="s">
        <v>13</v>
      </c>
      <c r="T29">
        <v>0</v>
      </c>
      <c r="U29">
        <v>5.915</v>
      </c>
      <c r="V29" s="3">
        <v>274949</v>
      </c>
      <c r="W29">
        <v>62.445999999999998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46224.134606481479</v>
      </c>
      <c r="AF29">
        <v>234</v>
      </c>
      <c r="AG29" t="s">
        <v>13</v>
      </c>
      <c r="AH29">
        <v>0</v>
      </c>
      <c r="AI29">
        <v>12.247999999999999</v>
      </c>
      <c r="AJ29" s="3">
        <v>54119</v>
      </c>
      <c r="AK29" s="13">
        <v>9.3369999999999997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62235.306643805379</v>
      </c>
      <c r="AU29" s="17">
        <f t="shared" si="1"/>
        <v>10469.730908558946</v>
      </c>
      <c r="AW29" s="9">
        <f t="shared" si="16"/>
        <v>67980.479447980004</v>
      </c>
      <c r="AX29" s="10">
        <f t="shared" si="17"/>
        <v>11508.485674015099</v>
      </c>
      <c r="AZ29" s="11">
        <f t="shared" si="18"/>
        <v>73135.362369369002</v>
      </c>
      <c r="BA29" s="12">
        <f t="shared" si="19"/>
        <v>10543.66904615117</v>
      </c>
      <c r="BC29" s="14">
        <f t="shared" si="20"/>
        <v>66756.630400625858</v>
      </c>
      <c r="BD29" s="15">
        <f t="shared" si="21"/>
        <v>12178.84474137018</v>
      </c>
      <c r="BF29" s="16">
        <f t="shared" si="8"/>
        <v>62235.306643805379</v>
      </c>
      <c r="BG29" s="17">
        <f t="shared" si="9"/>
        <v>10469.730908558946</v>
      </c>
      <c r="BI29">
        <v>65</v>
      </c>
      <c r="BJ29" t="s">
        <v>55</v>
      </c>
      <c r="BK29" s="2">
        <v>46224.134606481479</v>
      </c>
      <c r="BL29">
        <v>234</v>
      </c>
      <c r="BM29" t="s">
        <v>13</v>
      </c>
      <c r="BN29">
        <v>0</v>
      </c>
      <c r="BO29">
        <v>2.8969999999999998</v>
      </c>
      <c r="BP29" s="3">
        <v>566848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46224.155856481484</v>
      </c>
      <c r="D30">
        <v>134</v>
      </c>
      <c r="E30" t="s">
        <v>13</v>
      </c>
      <c r="F30">
        <v>0</v>
      </c>
      <c r="G30">
        <v>6.0590000000000002</v>
      </c>
      <c r="H30" s="3">
        <v>23598</v>
      </c>
      <c r="I30">
        <v>4.8000000000000001E-2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46224.155856481484</v>
      </c>
      <c r="R30">
        <v>134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46224.155856481484</v>
      </c>
      <c r="AF30">
        <v>134</v>
      </c>
      <c r="AG30" t="s">
        <v>13</v>
      </c>
      <c r="AH30">
        <v>0</v>
      </c>
      <c r="AI30">
        <v>12.321999999999999</v>
      </c>
      <c r="AJ30" s="3">
        <v>6018</v>
      </c>
      <c r="AK30">
        <v>1.1200000000000001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ref="AT30:AT35" si="22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54.392035786654404</v>
      </c>
      <c r="AU30" s="17">
        <f t="shared" ref="AU30:AU35" si="23">IF($AJ30&lt;45000,((0.00000003579*$AJ30^2)+(0.1857*$AJ30)+(44.75)),((0.0000000022829*$AJ30^2)+(0.1634*$AJ30)+(1620)))</f>
        <v>1163.58878223596</v>
      </c>
      <c r="AW30" s="9">
        <f t="shared" si="16"/>
        <v>60.51053694249201</v>
      </c>
      <c r="AX30" s="10">
        <f t="shared" si="17"/>
        <v>1430.1537346236</v>
      </c>
      <c r="AZ30" s="11">
        <f t="shared" si="18"/>
        <v>63.928779213564795</v>
      </c>
      <c r="BA30" s="12">
        <f t="shared" si="19"/>
        <v>1265.6242638247998</v>
      </c>
      <c r="BC30" s="14">
        <f t="shared" si="20"/>
        <v>66.322380346147995</v>
      </c>
      <c r="BD30" s="15">
        <f t="shared" si="21"/>
        <v>1234.5214649813202</v>
      </c>
      <c r="BF30" s="16">
        <f t="shared" ref="BF30:BF35" si="24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54.392035786654404</v>
      </c>
      <c r="BG30" s="17">
        <f t="shared" ref="BG30:BG35" si="25">IF($AJ30&lt;45000,((0.00000003579*$AJ30^2)+(0.1857*$AJ30)+(44.75)),((0.0000000022829*$AJ30^2)+(0.1634*$AJ30)+(1620)))</f>
        <v>1163.58878223596</v>
      </c>
      <c r="BI30">
        <v>66</v>
      </c>
      <c r="BJ30" t="s">
        <v>56</v>
      </c>
      <c r="BK30" s="2">
        <v>46224.155856481484</v>
      </c>
      <c r="BL30">
        <v>134</v>
      </c>
      <c r="BM30" t="s">
        <v>13</v>
      </c>
      <c r="BN30">
        <v>0</v>
      </c>
      <c r="BO30">
        <v>2.8889999999999998</v>
      </c>
      <c r="BP30" s="3">
        <v>793526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46224.177141203705</v>
      </c>
      <c r="D31">
        <v>169</v>
      </c>
      <c r="E31" t="s">
        <v>13</v>
      </c>
      <c r="F31">
        <v>0</v>
      </c>
      <c r="G31">
        <v>6.0540000000000003</v>
      </c>
      <c r="H31" s="3">
        <v>5712</v>
      </c>
      <c r="I31">
        <v>1.2E-2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46224.177141203705</v>
      </c>
      <c r="R31">
        <v>169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46224.177141203705</v>
      </c>
      <c r="AF31">
        <v>169</v>
      </c>
      <c r="AG31" t="s">
        <v>13</v>
      </c>
      <c r="AH31">
        <v>0</v>
      </c>
      <c r="AI31">
        <v>12.159000000000001</v>
      </c>
      <c r="AJ31" s="3">
        <v>138286</v>
      </c>
      <c r="AK31">
        <v>23.702000000000002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22"/>
        <v>16.147583529984001</v>
      </c>
      <c r="AU31" s="17">
        <f t="shared" si="23"/>
        <v>24259.588337326488</v>
      </c>
      <c r="AW31" s="9">
        <f t="shared" si="16"/>
        <v>3.1208697599999997</v>
      </c>
      <c r="AX31" s="10">
        <f t="shared" si="17"/>
        <v>31694.310772143595</v>
      </c>
      <c r="AZ31" s="11">
        <f t="shared" si="18"/>
        <v>12.064839580159999</v>
      </c>
      <c r="BA31" s="12">
        <f t="shared" si="19"/>
        <v>27518.175682362122</v>
      </c>
      <c r="BC31" s="14">
        <f t="shared" si="20"/>
        <v>16.897284635391998</v>
      </c>
      <c r="BD31" s="15">
        <f t="shared" si="21"/>
        <v>30077.517751006479</v>
      </c>
      <c r="BF31" s="16">
        <f t="shared" si="24"/>
        <v>16.147583529984001</v>
      </c>
      <c r="BG31" s="17">
        <f t="shared" si="25"/>
        <v>24259.588337326488</v>
      </c>
      <c r="BI31">
        <v>67</v>
      </c>
      <c r="BJ31" t="s">
        <v>57</v>
      </c>
      <c r="BK31" s="2">
        <v>46224.177141203705</v>
      </c>
      <c r="BL31">
        <v>169</v>
      </c>
      <c r="BM31" t="s">
        <v>13</v>
      </c>
      <c r="BN31">
        <v>0</v>
      </c>
      <c r="BO31">
        <v>2.8570000000000002</v>
      </c>
      <c r="BP31" s="3">
        <v>1181290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46224.198437500003</v>
      </c>
      <c r="D32">
        <v>142</v>
      </c>
      <c r="E32" t="s">
        <v>13</v>
      </c>
      <c r="F32">
        <v>0</v>
      </c>
      <c r="G32">
        <v>6.0490000000000004</v>
      </c>
      <c r="H32" s="3">
        <v>33653</v>
      </c>
      <c r="I32">
        <v>6.8000000000000005E-2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46224.198437500003</v>
      </c>
      <c r="R32">
        <v>142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46224.198437500003</v>
      </c>
      <c r="AF32">
        <v>142</v>
      </c>
      <c r="AG32" t="s">
        <v>13</v>
      </c>
      <c r="AH32">
        <v>0</v>
      </c>
      <c r="AI32">
        <v>12.188000000000001</v>
      </c>
      <c r="AJ32" s="3">
        <v>112928</v>
      </c>
      <c r="AK32">
        <v>19.376000000000001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22"/>
        <v>76.095257812452402</v>
      </c>
      <c r="AU32" s="17">
        <f t="shared" si="23"/>
        <v>20101.548414585752</v>
      </c>
      <c r="AW32" s="9">
        <f t="shared" si="16"/>
        <v>90.200088007006997</v>
      </c>
      <c r="AX32" s="10">
        <f t="shared" si="17"/>
        <v>25673.6788127744</v>
      </c>
      <c r="AZ32" s="11">
        <f t="shared" si="18"/>
        <v>92.911973950680803</v>
      </c>
      <c r="BA32" s="12">
        <f t="shared" si="19"/>
        <v>22439.898221588483</v>
      </c>
      <c r="BC32" s="14">
        <f t="shared" si="20"/>
        <v>93.138492080432997</v>
      </c>
      <c r="BD32" s="15">
        <f t="shared" si="21"/>
        <v>24700.807573585917</v>
      </c>
      <c r="BF32" s="16">
        <f t="shared" si="24"/>
        <v>76.095257812452402</v>
      </c>
      <c r="BG32" s="17">
        <f t="shared" si="25"/>
        <v>20101.548414585752</v>
      </c>
      <c r="BI32">
        <v>68</v>
      </c>
      <c r="BJ32" t="s">
        <v>58</v>
      </c>
      <c r="BK32" s="2">
        <v>46224.198437500003</v>
      </c>
      <c r="BL32">
        <v>142</v>
      </c>
      <c r="BM32" t="s">
        <v>13</v>
      </c>
      <c r="BN32">
        <v>0</v>
      </c>
      <c r="BO32">
        <v>2.8460000000000001</v>
      </c>
      <c r="BP32" s="3">
        <v>1442932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46224.21974537037</v>
      </c>
      <c r="D33">
        <v>62</v>
      </c>
      <c r="E33" t="s">
        <v>13</v>
      </c>
      <c r="F33">
        <v>0</v>
      </c>
      <c r="G33">
        <v>6.0490000000000004</v>
      </c>
      <c r="H33" s="3">
        <v>66841</v>
      </c>
      <c r="I33">
        <v>0.13600000000000001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46224.21974537037</v>
      </c>
      <c r="R33">
        <v>62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46224.21974537037</v>
      </c>
      <c r="AF33">
        <v>62</v>
      </c>
      <c r="AG33" t="s">
        <v>13</v>
      </c>
      <c r="AH33">
        <v>0</v>
      </c>
      <c r="AI33">
        <v>12.305999999999999</v>
      </c>
      <c r="AJ33" s="3">
        <v>4115</v>
      </c>
      <c r="AK33">
        <v>0.79500000000000004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22"/>
        <v>147.18973046263159</v>
      </c>
      <c r="AU33" s="17">
        <f t="shared" si="23"/>
        <v>809.51154012274992</v>
      </c>
      <c r="AW33" s="9">
        <f t="shared" si="16"/>
        <v>185.93156969386303</v>
      </c>
      <c r="AX33" s="10">
        <f t="shared" si="17"/>
        <v>974.61675607749987</v>
      </c>
      <c r="AZ33" s="11">
        <f t="shared" si="18"/>
        <v>188.16078167164721</v>
      </c>
      <c r="BA33" s="12">
        <f t="shared" si="19"/>
        <v>876.66239314500001</v>
      </c>
      <c r="BC33" s="14">
        <f t="shared" si="20"/>
        <v>181.27155182909701</v>
      </c>
      <c r="BD33" s="15">
        <f t="shared" si="21"/>
        <v>802.15458664924995</v>
      </c>
      <c r="BF33" s="16">
        <f t="shared" si="24"/>
        <v>147.18973046263159</v>
      </c>
      <c r="BG33" s="17">
        <f t="shared" si="25"/>
        <v>809.51154012274992</v>
      </c>
      <c r="BI33">
        <v>69</v>
      </c>
      <c r="BJ33" t="s">
        <v>59</v>
      </c>
      <c r="BK33" s="2">
        <v>46224.21974537037</v>
      </c>
      <c r="BL33">
        <v>62</v>
      </c>
      <c r="BM33" t="s">
        <v>13</v>
      </c>
      <c r="BN33">
        <v>0</v>
      </c>
      <c r="BO33">
        <v>2.8769999999999998</v>
      </c>
      <c r="BP33" s="3">
        <v>855754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46224.241006944445</v>
      </c>
      <c r="D34">
        <v>304</v>
      </c>
      <c r="E34" t="s">
        <v>13</v>
      </c>
      <c r="F34">
        <v>0</v>
      </c>
      <c r="G34">
        <v>6.0629999999999997</v>
      </c>
      <c r="H34" s="3">
        <v>4929</v>
      </c>
      <c r="I34">
        <v>0.01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46224.241006944445</v>
      </c>
      <c r="R34">
        <v>304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46224.241006944445</v>
      </c>
      <c r="AF34">
        <v>304</v>
      </c>
      <c r="AG34" t="s">
        <v>13</v>
      </c>
      <c r="AH34">
        <v>0</v>
      </c>
      <c r="AI34">
        <v>12.193</v>
      </c>
      <c r="AJ34" s="3">
        <v>121239</v>
      </c>
      <c r="AK34">
        <v>20.794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22"/>
        <v>14.138813217726</v>
      </c>
      <c r="AU34" s="17">
        <f t="shared" si="23"/>
        <v>21464.008707671732</v>
      </c>
      <c r="AW34" s="9">
        <f t="shared" si="16"/>
        <v>2.3526371400000006</v>
      </c>
      <c r="AX34" s="10">
        <f t="shared" si="17"/>
        <v>27652.715489551101</v>
      </c>
      <c r="AZ34" s="11">
        <f t="shared" si="18"/>
        <v>9.6680556427399988</v>
      </c>
      <c r="BA34" s="12">
        <f t="shared" si="19"/>
        <v>24107.691250242369</v>
      </c>
      <c r="BC34" s="14">
        <f t="shared" si="20"/>
        <v>14.100115783213001</v>
      </c>
      <c r="BD34" s="15">
        <f t="shared" si="21"/>
        <v>26464.511033814979</v>
      </c>
      <c r="BF34" s="16">
        <f t="shared" si="24"/>
        <v>14.138813217726</v>
      </c>
      <c r="BG34" s="17">
        <f t="shared" si="25"/>
        <v>21464.008707671732</v>
      </c>
      <c r="BI34">
        <v>70</v>
      </c>
      <c r="BJ34" t="s">
        <v>60</v>
      </c>
      <c r="BK34" s="2">
        <v>46224.241006944445</v>
      </c>
      <c r="BL34">
        <v>304</v>
      </c>
      <c r="BM34" t="s">
        <v>13</v>
      </c>
      <c r="BN34">
        <v>0</v>
      </c>
      <c r="BO34">
        <v>2.8839999999999999</v>
      </c>
      <c r="BP34" s="3">
        <v>839890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46224.262233796297</v>
      </c>
      <c r="D35">
        <v>159</v>
      </c>
      <c r="E35" t="s">
        <v>13</v>
      </c>
      <c r="F35">
        <v>0</v>
      </c>
      <c r="G35">
        <v>6.0549999999999997</v>
      </c>
      <c r="H35" s="3">
        <v>71120</v>
      </c>
      <c r="I35">
        <v>0.14399999999999999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46224.262233796297</v>
      </c>
      <c r="R35">
        <v>159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46224.262233796297</v>
      </c>
      <c r="AF35">
        <v>159</v>
      </c>
      <c r="AG35" t="s">
        <v>13</v>
      </c>
      <c r="AH35">
        <v>0</v>
      </c>
      <c r="AI35">
        <v>12.196</v>
      </c>
      <c r="AJ35" s="3">
        <v>112031</v>
      </c>
      <c r="AK35">
        <v>19.222999999999999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22"/>
        <v>156.29574832384</v>
      </c>
      <c r="AU35" s="17">
        <f t="shared" si="23"/>
        <v>19954.517952251466</v>
      </c>
      <c r="AW35" s="9">
        <f t="shared" si="16"/>
        <v>198.0216082112</v>
      </c>
      <c r="AX35" s="10">
        <f t="shared" si="17"/>
        <v>25459.745051095102</v>
      </c>
      <c r="AZ35" s="11">
        <f t="shared" si="18"/>
        <v>200.39511388928003</v>
      </c>
      <c r="BA35" s="12">
        <f t="shared" si="19"/>
        <v>22259.696092587172</v>
      </c>
      <c r="BC35" s="14">
        <f t="shared" si="20"/>
        <v>192.59257169280002</v>
      </c>
      <c r="BD35" s="15">
        <f t="shared" si="21"/>
        <v>24510.364664514178</v>
      </c>
      <c r="BF35" s="16">
        <f t="shared" si="24"/>
        <v>156.29574832384</v>
      </c>
      <c r="BG35" s="17">
        <f t="shared" si="25"/>
        <v>19954.517952251466</v>
      </c>
      <c r="BI35">
        <v>71</v>
      </c>
      <c r="BJ35" t="s">
        <v>61</v>
      </c>
      <c r="BK35" s="2">
        <v>46224.262233796297</v>
      </c>
      <c r="BL35">
        <v>159</v>
      </c>
      <c r="BM35" t="s">
        <v>13</v>
      </c>
      <c r="BN35">
        <v>0</v>
      </c>
      <c r="BO35">
        <v>2.8820000000000001</v>
      </c>
      <c r="BP35" s="3">
        <v>866819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1:73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1:73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1:73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2026-07-24T18:36:59Z</dcterms:modified>
</cp:coreProperties>
</file>