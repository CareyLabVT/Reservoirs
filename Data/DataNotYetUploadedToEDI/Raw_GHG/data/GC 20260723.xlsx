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9F1329C4-A9D4-4F15-A127-D7436FCE099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BG16" i="1" l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<sst xmlns="http://schemas.openxmlformats.org/spreadsheetml/2006/main" count="514" uniqueCount="55">
  <si>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</si>
  <si>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</si>
  <si>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</si>
  <si>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</si>
  <si>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</si>
  <si>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</si>
  <si>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</si>
  <si>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</si>
  <si>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</si>
  <si>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</si>
  <si>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</si>
  <si>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</si>
  <si>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</si>
  <si>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</si>
  <si>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</si>
  <si>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</si>
  <si>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</si>
  <si>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</si>
  <si>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</si>
  <si>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</si>
  <si>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</si>
  <si>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</si>
  <si>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</si>
  <si>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</si>
  <si>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</si>
  <si>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</si>
  <si>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</si>
  <si>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</si>
  <si>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</si>
  <si>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</si>
  <si>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</si>
  <si>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spiked air</t>
  </si>
  <si>
    <t>2026 ranged CAL Measured headspace CH4  in ppm from GC in ppm</t>
  </si>
  <si>
    <t>2026 CAL Measured headspace CO2 in ppm from GC in ppm</t>
  </si>
  <si>
    <t>MP20260720_002.gcd</t>
  </si>
  <si>
    <t>MP20260720_003.gcd</t>
  </si>
  <si>
    <t>MP20260720_004.gcd</t>
  </si>
  <si>
    <t>thin septum 1</t>
  </si>
  <si>
    <t>MP20260720_005.gcd</t>
  </si>
  <si>
    <t>thin septum 2</t>
  </si>
  <si>
    <t>MP20260720_006.gcd</t>
  </si>
  <si>
    <t>thick septum 1</t>
  </si>
  <si>
    <t>MP20260720_007.gcd</t>
  </si>
  <si>
    <t>thick septum 2</t>
  </si>
  <si>
    <t>MP20260720_008.gcd</t>
  </si>
  <si>
    <t>MP20260720_009.gcd</t>
  </si>
  <si>
    <t>MP20260720_010.gcd</t>
  </si>
  <si>
    <t>MP20260720_011.gcd</t>
  </si>
  <si>
    <t>MP20260720_012.gcd</t>
  </si>
  <si>
    <t>MP20260720_013.gcd</t>
  </si>
  <si>
    <t>MP20260720_014.gcd</t>
  </si>
  <si>
    <t>MP20260720_015.gcd</t>
  </si>
  <si>
    <t>MP20260720_016.gcd</t>
  </si>
  <si>
    <t>MP20260720_017.gcd</t>
  </si>
  <si>
    <t>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</si>
</sst>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I7" workbookViewId="0">
      <selection activeCell="AQ18" sqref="AQ18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32</v>
      </c>
      <c r="BG8" s="5" t="s">
        <v>33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46226.678124999999</v>
      </c>
      <c r="D9" t="s">
        <v>31</v>
      </c>
      <c r="E9" t="s">
        <v>13</v>
      </c>
      <c r="F9">
        <v>0</v>
      </c>
      <c r="G9">
        <v>6.0529999999999999</v>
      </c>
      <c r="H9" s="3">
        <v>957646</v>
      </c>
      <c r="I9">
        <v>1.9470000000000001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46226.678124999999</v>
      </c>
      <c r="R9" t="s">
        <v>31</v>
      </c>
      <c r="S9" t="s">
        <v>13</v>
      </c>
      <c r="T9">
        <v>0</v>
      </c>
      <c r="U9">
        <v>6.0039999999999996</v>
      </c>
      <c r="V9" s="3">
        <v>8815</v>
      </c>
      <c r="W9">
        <v>2.1579999999999999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46226.678124999999</v>
      </c>
      <c r="AF9" t="s">
        <v>31</v>
      </c>
      <c r="AG9" t="s">
        <v>13</v>
      </c>
      <c r="AH9">
        <v>0</v>
      </c>
      <c r="AI9">
        <v>12.335000000000001</v>
      </c>
      <c r="AJ9" s="3">
        <v>7551</v>
      </c>
      <c r="AK9">
        <v>1.3819999999999999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4" si="0">IF($H9&lt;10000,(($H9^2*-0.000000003714)+($H9*0.002605)+(1.389)),(IF($H9&lt;200000,(($H9^2*-0.0000000003764)+($H9*0.00218)+(3.158)),(IF($H9&lt;8000000,(($H9^2*-0.000000000004719)+($H9*0.001816)+(146.1)),(($V9^2*0.000000002578)+($V9*0.2173)+(2294)))))))</f>
        <v>1880.8574078204497</v>
      </c>
      <c r="AU9" s="17">
        <f t="shared" ref="AU9:AU24" si="1">IF($AJ9&lt;45000,((0.00000003579*$AJ9^2)+(0.1857*$AJ9)+(44.75)),((0.0000000022829*$AJ9^2)+(0.1634*$AJ9)+(1620)))</f>
        <v>1449.0113599397901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1994.8754429795224</v>
      </c>
      <c r="AX9" s="10">
        <f t="shared" ref="AX9:AX14" si="3">IF(AJ9&lt;45000,((-0.0000004561*AJ9^2)+(0.244*AJ9)+(-21.72)),((-0.0000000409*AJ9^2)+(0.2477*AJ9)+(-1777)))</f>
        <v>1794.7182721838999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2203.5494456598408</v>
      </c>
      <c r="BA9" s="12">
        <f t="shared" ref="BA9:BA14" si="5">IF(AJ9&lt;45000,((-0.0000000598*AJ9^2)+(0.205*AJ9)+(34.1)),((-0.00000002403*AJ9^2)+(0.2063*AJ9)+(-550.7)))</f>
        <v>1578.6453474601999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2137.1286631931498</v>
      </c>
      <c r="BD9" s="15">
        <f t="shared" ref="BD9:BD14" si="7">IF(AJ9&lt;45000,((-0.00000004907*AJ9^2)+(0.2277*AJ9)+(-134)),((-0.00000001062*AJ9^2)+(0.2147*AJ9)+(590.6)))</f>
        <v>1582.5648463189302</v>
      </c>
      <c r="BF9" s="16">
        <f t="shared" ref="BF9:BF24" si="8">IF($H9&lt;10000,(($H9^2*-0.000000003714)+($H9*0.002605)+(1.389)),(IF($H9&lt;200000,(($H9^2*-0.0000000003764)+($H9*0.00218)+(3.158)),(IF($H9&lt;8000000,(($H9^2*-0.000000000004719)+($H9*0.001816)+(146.1)),(($V9^2*0.000000002578)+($V9*0.2173)+(2294)))))))</f>
        <v>1880.8574078204497</v>
      </c>
      <c r="BG9" s="17">
        <f t="shared" ref="BG9:BG24" si="9">IF($AJ9&lt;45000,((0.00000003579*$AJ9^2)+(0.1857*$AJ9)+(44.75)),((0.0000000022829*$AJ9^2)+(0.1634*$AJ9)+(1620)))</f>
        <v>1449.0113599397901</v>
      </c>
      <c r="BI9">
        <v>45</v>
      </c>
      <c r="BJ9" t="s">
        <v>34</v>
      </c>
      <c r="BK9" s="2">
        <v>46226.678124999999</v>
      </c>
      <c r="BL9" t="s">
        <v>31</v>
      </c>
      <c r="BM9" t="s">
        <v>13</v>
      </c>
      <c r="BN9">
        <v>0</v>
      </c>
      <c r="BO9">
        <v>2.7250000000000001</v>
      </c>
      <c r="BP9" s="3">
        <v>4991923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35</v>
      </c>
      <c r="C10" s="2">
        <v>46226.699363425927</v>
      </c>
      <c r="D10" t="s">
        <v>26</v>
      </c>
      <c r="E10" t="s">
        <v>13</v>
      </c>
      <c r="F10">
        <v>0</v>
      </c>
      <c r="G10">
        <v>6.0670000000000002</v>
      </c>
      <c r="H10" s="3">
        <v>2405</v>
      </c>
      <c r="I10">
        <v>5.0000000000000001E-3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35</v>
      </c>
      <c r="Q10" s="2">
        <v>46226.699363425927</v>
      </c>
      <c r="R10" t="s">
        <v>26</v>
      </c>
      <c r="S10" t="s">
        <v>13</v>
      </c>
      <c r="T10">
        <v>0</v>
      </c>
      <c r="U10" t="s">
        <v>14</v>
      </c>
      <c r="V10" s="3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35</v>
      </c>
      <c r="AE10" s="2">
        <v>46226.699363425927</v>
      </c>
      <c r="AF10" t="s">
        <v>26</v>
      </c>
      <c r="AG10" t="s">
        <v>13</v>
      </c>
      <c r="AH10">
        <v>0</v>
      </c>
      <c r="AI10">
        <v>12.297000000000001</v>
      </c>
      <c r="AJ10" s="3">
        <v>1601</v>
      </c>
      <c r="AK10">
        <v>0.36599999999999999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7.6325431311500012</v>
      </c>
      <c r="AU10" s="17">
        <f t="shared" si="1"/>
        <v>342.14743696379003</v>
      </c>
      <c r="AW10" s="9">
        <f t="shared" si="2"/>
        <v>4.3835484999999998</v>
      </c>
      <c r="AX10" s="10">
        <f t="shared" si="3"/>
        <v>367.7549240239</v>
      </c>
      <c r="AZ10" s="11">
        <f t="shared" si="4"/>
        <v>2.4189641884999995</v>
      </c>
      <c r="BA10" s="12">
        <f t="shared" si="5"/>
        <v>362.15172058019999</v>
      </c>
      <c r="BC10" s="14">
        <f t="shared" si="6"/>
        <v>5.1543337243249994</v>
      </c>
      <c r="BD10" s="15">
        <f t="shared" si="7"/>
        <v>230.42192372693</v>
      </c>
      <c r="BF10" s="16">
        <f t="shared" si="8"/>
        <v>7.6325431311500012</v>
      </c>
      <c r="BG10" s="17">
        <f t="shared" si="9"/>
        <v>342.14743696379003</v>
      </c>
      <c r="BI10">
        <v>46</v>
      </c>
      <c r="BJ10" t="s">
        <v>35</v>
      </c>
      <c r="BK10" s="2">
        <v>46226.699363425927</v>
      </c>
      <c r="BL10" t="s">
        <v>26</v>
      </c>
      <c r="BM10" t="s">
        <v>13</v>
      </c>
      <c r="BN10">
        <v>0</v>
      </c>
      <c r="BO10">
        <v>2.72</v>
      </c>
      <c r="BP10" s="3">
        <v>5062447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36</v>
      </c>
      <c r="C11" s="2">
        <v>46226.720578703702</v>
      </c>
      <c r="D11" t="s">
        <v>37</v>
      </c>
      <c r="E11" t="s">
        <v>13</v>
      </c>
      <c r="F11">
        <v>0</v>
      </c>
      <c r="G11">
        <v>6.0389999999999997</v>
      </c>
      <c r="H11" s="3">
        <v>617408</v>
      </c>
      <c r="I11">
        <v>1.254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36</v>
      </c>
      <c r="Q11" s="2">
        <v>46226.720578703702</v>
      </c>
      <c r="R11" t="s">
        <v>37</v>
      </c>
      <c r="S11" t="s">
        <v>13</v>
      </c>
      <c r="T11">
        <v>0</v>
      </c>
      <c r="U11">
        <v>5.9870000000000001</v>
      </c>
      <c r="V11" s="3">
        <v>5999</v>
      </c>
      <c r="W11">
        <v>1.5189999999999999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36</v>
      </c>
      <c r="AE11" s="2">
        <v>46226.720578703702</v>
      </c>
      <c r="AF11" t="s">
        <v>37</v>
      </c>
      <c r="AG11" t="s">
        <v>13</v>
      </c>
      <c r="AH11">
        <v>0</v>
      </c>
      <c r="AI11">
        <v>12.198</v>
      </c>
      <c r="AJ11" s="3">
        <v>103816</v>
      </c>
      <c r="AK11">
        <v>17.821000000000002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1265.5140799390881</v>
      </c>
      <c r="AU11" s="17">
        <f t="shared" si="1"/>
        <v>18608.138952541063</v>
      </c>
      <c r="AW11" s="9">
        <f t="shared" si="2"/>
        <v>1344.7813369245696</v>
      </c>
      <c r="AX11" s="10">
        <f t="shared" si="3"/>
        <v>23497.4127400896</v>
      </c>
      <c r="AZ11" s="11">
        <f t="shared" si="4"/>
        <v>1477.7419496415232</v>
      </c>
      <c r="BA11" s="12">
        <f t="shared" si="5"/>
        <v>20607.55118260032</v>
      </c>
      <c r="BC11" s="14">
        <f t="shared" si="6"/>
        <v>1441.012330736472</v>
      </c>
      <c r="BD11" s="15">
        <f t="shared" si="7"/>
        <v>22765.435369089279</v>
      </c>
      <c r="BF11" s="16">
        <f t="shared" si="8"/>
        <v>1265.5140799390881</v>
      </c>
      <c r="BG11" s="17">
        <f t="shared" si="9"/>
        <v>18608.138952541063</v>
      </c>
      <c r="BI11">
        <v>47</v>
      </c>
      <c r="BJ11" t="s">
        <v>36</v>
      </c>
      <c r="BK11" s="2">
        <v>46226.720578703702</v>
      </c>
      <c r="BL11" t="s">
        <v>37</v>
      </c>
      <c r="BM11" t="s">
        <v>13</v>
      </c>
      <c r="BN11">
        <v>0</v>
      </c>
      <c r="BO11">
        <v>2.7189999999999999</v>
      </c>
      <c r="BP11" s="3">
        <v>5027106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46226.741805555554</v>
      </c>
      <c r="D12" t="s">
        <v>39</v>
      </c>
      <c r="E12" t="s">
        <v>13</v>
      </c>
      <c r="F12">
        <v>0</v>
      </c>
      <c r="G12">
        <v>6.0380000000000003</v>
      </c>
      <c r="H12" s="3">
        <v>311019</v>
      </c>
      <c r="I12">
        <v>0.63200000000000001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46226.741805555554</v>
      </c>
      <c r="R12" t="s">
        <v>39</v>
      </c>
      <c r="S12" t="s">
        <v>13</v>
      </c>
      <c r="T12">
        <v>0</v>
      </c>
      <c r="U12">
        <v>5.9870000000000001</v>
      </c>
      <c r="V12" s="3">
        <v>3122</v>
      </c>
      <c r="W12">
        <v>0.86499999999999999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46226.741805555554</v>
      </c>
      <c r="AF12" t="s">
        <v>39</v>
      </c>
      <c r="AG12" t="s">
        <v>13</v>
      </c>
      <c r="AH12">
        <v>0</v>
      </c>
      <c r="AI12">
        <v>12.07</v>
      </c>
      <c r="AJ12" s="3">
        <v>255082</v>
      </c>
      <c r="AK12">
        <v>43.613999999999997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710.45402183015437</v>
      </c>
      <c r="AU12" s="17">
        <f t="shared" si="1"/>
        <v>43448.939858728212</v>
      </c>
      <c r="AW12" s="9">
        <f t="shared" si="2"/>
        <v>755.67762957848549</v>
      </c>
      <c r="AX12" s="10">
        <f t="shared" si="3"/>
        <v>58745.578186988401</v>
      </c>
      <c r="AZ12" s="11">
        <f t="shared" si="4"/>
        <v>822.91397352616173</v>
      </c>
      <c r="BA12" s="12">
        <f t="shared" si="5"/>
        <v>50509.160753822289</v>
      </c>
      <c r="BC12" s="14">
        <f t="shared" si="6"/>
        <v>813.13978535917727</v>
      </c>
      <c r="BD12" s="15">
        <f t="shared" si="7"/>
        <v>54665.695700191121</v>
      </c>
      <c r="BF12" s="16">
        <f t="shared" si="8"/>
        <v>710.45402183015437</v>
      </c>
      <c r="BG12" s="17">
        <f t="shared" si="9"/>
        <v>43448.939858728212</v>
      </c>
      <c r="BI12">
        <v>48</v>
      </c>
      <c r="BJ12" t="s">
        <v>38</v>
      </c>
      <c r="BK12" s="2">
        <v>46226.741805555554</v>
      </c>
      <c r="BL12" t="s">
        <v>39</v>
      </c>
      <c r="BM12" t="s">
        <v>13</v>
      </c>
      <c r="BN12">
        <v>0</v>
      </c>
      <c r="BO12">
        <v>2.7149999999999999</v>
      </c>
      <c r="BP12" s="3">
        <v>5035676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40</v>
      </c>
      <c r="C13" s="2">
        <v>46226.763032407405</v>
      </c>
      <c r="D13" t="s">
        <v>41</v>
      </c>
      <c r="E13" t="s">
        <v>13</v>
      </c>
      <c r="F13">
        <v>0</v>
      </c>
      <c r="G13">
        <v>6.0380000000000003</v>
      </c>
      <c r="H13" s="3">
        <v>983106</v>
      </c>
      <c r="I13">
        <v>1.9990000000000001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40</v>
      </c>
      <c r="Q13" s="2">
        <v>46226.763032407405</v>
      </c>
      <c r="R13" t="s">
        <v>41</v>
      </c>
      <c r="S13" t="s">
        <v>13</v>
      </c>
      <c r="T13">
        <v>0</v>
      </c>
      <c r="U13">
        <v>5.992</v>
      </c>
      <c r="V13" s="3">
        <v>9338</v>
      </c>
      <c r="W13">
        <v>2.2770000000000001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40</v>
      </c>
      <c r="AE13" s="2">
        <v>46226.763032407405</v>
      </c>
      <c r="AF13" t="s">
        <v>41</v>
      </c>
      <c r="AG13" t="s">
        <v>13</v>
      </c>
      <c r="AH13">
        <v>0</v>
      </c>
      <c r="AI13">
        <v>12.089</v>
      </c>
      <c r="AJ13" s="3">
        <v>224375</v>
      </c>
      <c r="AK13">
        <v>38.381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1926.859594735253</v>
      </c>
      <c r="AU13" s="17">
        <f t="shared" si="1"/>
        <v>38397.80563863281</v>
      </c>
      <c r="AW13" s="9">
        <f t="shared" si="2"/>
        <v>2043.3487882254103</v>
      </c>
      <c r="AX13" s="10">
        <f t="shared" si="3"/>
        <v>51741.612148437503</v>
      </c>
      <c r="AZ13" s="11">
        <f t="shared" si="4"/>
        <v>2257.8038740751367</v>
      </c>
      <c r="BA13" s="12">
        <f t="shared" si="5"/>
        <v>44528.092800781254</v>
      </c>
      <c r="BC13" s="14">
        <f t="shared" si="6"/>
        <v>2189.1715537205037</v>
      </c>
      <c r="BD13" s="15">
        <f t="shared" si="7"/>
        <v>48229.2577265625</v>
      </c>
      <c r="BF13" s="16">
        <f t="shared" si="8"/>
        <v>1926.859594735253</v>
      </c>
      <c r="BG13" s="17">
        <f t="shared" si="9"/>
        <v>38397.80563863281</v>
      </c>
      <c r="BI13">
        <v>49</v>
      </c>
      <c r="BJ13" t="s">
        <v>40</v>
      </c>
      <c r="BK13" s="2">
        <v>46226.763032407405</v>
      </c>
      <c r="BL13" t="s">
        <v>41</v>
      </c>
      <c r="BM13" t="s">
        <v>13</v>
      </c>
      <c r="BN13">
        <v>0</v>
      </c>
      <c r="BO13">
        <v>2.7189999999999999</v>
      </c>
      <c r="BP13" s="3">
        <v>4952998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42</v>
      </c>
      <c r="C14" s="2">
        <v>46226.784270833334</v>
      </c>
      <c r="D14" t="s">
        <v>43</v>
      </c>
      <c r="E14" t="s">
        <v>13</v>
      </c>
      <c r="F14">
        <v>0</v>
      </c>
      <c r="G14">
        <v>6.0380000000000003</v>
      </c>
      <c r="H14" s="3">
        <v>936376</v>
      </c>
      <c r="I14">
        <v>1.9039999999999999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42</v>
      </c>
      <c r="Q14" s="2">
        <v>46226.784270833334</v>
      </c>
      <c r="R14" t="s">
        <v>43</v>
      </c>
      <c r="S14" t="s">
        <v>13</v>
      </c>
      <c r="T14">
        <v>0</v>
      </c>
      <c r="U14">
        <v>5.99</v>
      </c>
      <c r="V14" s="3">
        <v>8920</v>
      </c>
      <c r="W14">
        <v>2.1819999999999999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42</v>
      </c>
      <c r="AE14" s="2">
        <v>46226.784270833334</v>
      </c>
      <c r="AF14" t="s">
        <v>43</v>
      </c>
      <c r="AG14" t="s">
        <v>13</v>
      </c>
      <c r="AH14">
        <v>0</v>
      </c>
      <c r="AI14">
        <v>12.023999999999999</v>
      </c>
      <c r="AJ14" s="3">
        <v>323331</v>
      </c>
      <c r="AK14">
        <v>55.235999999999997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1842.4211967368783</v>
      </c>
      <c r="AU14" s="17">
        <f t="shared" si="1"/>
        <v>54690.946467592199</v>
      </c>
      <c r="AW14" s="9">
        <f t="shared" si="2"/>
        <v>1954.3609597512063</v>
      </c>
      <c r="AX14" s="10">
        <f t="shared" si="3"/>
        <v>74036.282635555108</v>
      </c>
      <c r="AZ14" s="11">
        <f t="shared" si="4"/>
        <v>2158.2176079170686</v>
      </c>
      <c r="BA14" s="12">
        <f t="shared" si="5"/>
        <v>63640.318558469167</v>
      </c>
      <c r="BC14" s="14">
        <f t="shared" si="6"/>
        <v>2093.6455007317959</v>
      </c>
      <c r="BD14" s="15">
        <f t="shared" si="7"/>
        <v>68899.519724342186</v>
      </c>
      <c r="BF14" s="16">
        <f t="shared" si="8"/>
        <v>1842.4211967368783</v>
      </c>
      <c r="BG14" s="17">
        <f t="shared" si="9"/>
        <v>54690.946467592199</v>
      </c>
      <c r="BI14">
        <v>50</v>
      </c>
      <c r="BJ14" t="s">
        <v>42</v>
      </c>
      <c r="BK14" s="2">
        <v>46226.784270833334</v>
      </c>
      <c r="BL14" t="s">
        <v>43</v>
      </c>
      <c r="BM14" t="s">
        <v>13</v>
      </c>
      <c r="BN14">
        <v>0</v>
      </c>
      <c r="BO14">
        <v>2.72</v>
      </c>
      <c r="BP14" s="3">
        <v>4931381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44</v>
      </c>
      <c r="C15" s="2">
        <v>46226.805509259262</v>
      </c>
      <c r="D15">
        <v>396</v>
      </c>
      <c r="E15" t="s">
        <v>13</v>
      </c>
      <c r="F15">
        <v>0</v>
      </c>
      <c r="G15">
        <v>6.0679999999999996</v>
      </c>
      <c r="H15" s="3">
        <v>4966</v>
      </c>
      <c r="I15">
        <v>0.01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44</v>
      </c>
      <c r="Q15" s="2">
        <v>46226.805509259262</v>
      </c>
      <c r="R15">
        <v>396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44</v>
      </c>
      <c r="AE15" s="2">
        <v>46226.805509259262</v>
      </c>
      <c r="AF15">
        <v>396</v>
      </c>
      <c r="AG15" t="s">
        <v>13</v>
      </c>
      <c r="AH15">
        <v>0</v>
      </c>
      <c r="AI15">
        <v>12.221</v>
      </c>
      <c r="AJ15" s="3">
        <v>67315</v>
      </c>
      <c r="AK15">
        <v>11.59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14.233838466616001</v>
      </c>
      <c r="AU15" s="17">
        <f t="shared" si="1"/>
        <v>12629.615525829751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2.3740342400000003</v>
      </c>
      <c r="AX15" s="10">
        <f t="shared" ref="AX15:AX16" si="11">IF(AJ15&lt;45000,((-0.0000004561*AJ15^2)+(0.244*AJ15)+(-21.72)),((-0.0000000409*AJ15^2)+(0.2477*AJ15)+(-1777)))</f>
        <v>14711.594952697502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9.77973645384</v>
      </c>
      <c r="BA15" s="12">
        <f t="shared" ref="BA15:BA16" si="13">IF(AJ15&lt;45000,((-0.0000000598*AJ15^2)+(0.205*AJ15)+(34.1)),((-0.00000002403*AJ15^2)+(0.2063*AJ15)+(-550.7)))</f>
        <v>13227.49713932325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14.232059197907999</v>
      </c>
      <c r="BD15" s="15">
        <f t="shared" ref="BD15:BD16" si="15">IF(AJ15&lt;45000,((-0.00000004907*AJ15^2)+(0.2277*AJ15)+(-134)),((-0.00000001062*AJ15^2)+(0.2147*AJ15)+(590.6)))</f>
        <v>14995.007996030501</v>
      </c>
      <c r="BF15" s="16">
        <f t="shared" si="8"/>
        <v>14.233838466616001</v>
      </c>
      <c r="BG15" s="17">
        <f t="shared" si="9"/>
        <v>12629.615525829751</v>
      </c>
      <c r="BI15">
        <v>51</v>
      </c>
      <c r="BJ15" t="s">
        <v>44</v>
      </c>
      <c r="BK15" s="2">
        <v>46226.805509259262</v>
      </c>
      <c r="BL15">
        <v>396</v>
      </c>
      <c r="BM15" t="s">
        <v>13</v>
      </c>
      <c r="BN15">
        <v>0</v>
      </c>
      <c r="BO15">
        <v>2.879</v>
      </c>
      <c r="BP15" s="3">
        <v>780617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45</v>
      </c>
      <c r="C16" s="2">
        <v>46226.826724537037</v>
      </c>
      <c r="D16">
        <v>173</v>
      </c>
      <c r="E16" t="s">
        <v>13</v>
      </c>
      <c r="F16">
        <v>0</v>
      </c>
      <c r="G16">
        <v>6.0460000000000003</v>
      </c>
      <c r="H16" s="3">
        <v>29659</v>
      </c>
      <c r="I16">
        <v>0.06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45</v>
      </c>
      <c r="Q16" s="2">
        <v>46226.826724537037</v>
      </c>
      <c r="R16">
        <v>173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45</v>
      </c>
      <c r="AE16" s="2">
        <v>46226.826724537037</v>
      </c>
      <c r="AF16">
        <v>173</v>
      </c>
      <c r="AG16" t="s">
        <v>13</v>
      </c>
      <c r="AH16">
        <v>0</v>
      </c>
      <c r="AI16">
        <v>12.211</v>
      </c>
      <c r="AJ16" s="3">
        <v>79705</v>
      </c>
      <c r="AK16">
        <v>13.705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67.48351737583161</v>
      </c>
      <c r="AU16" s="17">
        <f t="shared" si="1"/>
        <v>14658.300005789371</v>
      </c>
      <c r="AW16" s="9">
        <f t="shared" si="10"/>
        <v>78.445119044862992</v>
      </c>
      <c r="AX16" s="10">
        <f t="shared" si="11"/>
        <v>17706.095420677502</v>
      </c>
      <c r="AZ16" s="11">
        <f t="shared" si="12"/>
        <v>81.40639626604721</v>
      </c>
      <c r="BA16" s="12">
        <f t="shared" si="13"/>
        <v>15739.781624789252</v>
      </c>
      <c r="BC16" s="14">
        <f t="shared" si="14"/>
        <v>82.493088398097001</v>
      </c>
      <c r="BD16" s="15">
        <f t="shared" si="15"/>
        <v>17635.795839794497</v>
      </c>
      <c r="BF16" s="16">
        <f t="shared" si="8"/>
        <v>67.48351737583161</v>
      </c>
      <c r="BG16" s="17">
        <f t="shared" si="9"/>
        <v>14658.300005789371</v>
      </c>
      <c r="BI16">
        <v>52</v>
      </c>
      <c r="BJ16" t="s">
        <v>45</v>
      </c>
      <c r="BK16" s="2">
        <v>46226.826724537037</v>
      </c>
      <c r="BL16">
        <v>173</v>
      </c>
      <c r="BM16" t="s">
        <v>13</v>
      </c>
      <c r="BN16">
        <v>0</v>
      </c>
      <c r="BO16">
        <v>2.754</v>
      </c>
      <c r="BP16" s="3">
        <v>3862163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46</v>
      </c>
      <c r="C17" s="2">
        <v>46226.847951388889</v>
      </c>
      <c r="D17">
        <v>226</v>
      </c>
      <c r="E17" t="s">
        <v>13</v>
      </c>
      <c r="F17">
        <v>0</v>
      </c>
      <c r="G17">
        <v>6.05</v>
      </c>
      <c r="H17" s="3">
        <v>6680</v>
      </c>
      <c r="I17">
        <v>1.4E-2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46</v>
      </c>
      <c r="Q17" s="2">
        <v>46226.847951388889</v>
      </c>
      <c r="R17">
        <v>226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46</v>
      </c>
      <c r="AE17" s="2">
        <v>46226.847951388889</v>
      </c>
      <c r="AF17">
        <v>226</v>
      </c>
      <c r="AG17" t="s">
        <v>13</v>
      </c>
      <c r="AH17">
        <v>0</v>
      </c>
      <c r="AI17" t="s">
        <v>14</v>
      </c>
      <c r="AJ17" s="3" t="s">
        <v>14</v>
      </c>
      <c r="AK17" t="s">
        <v>14</v>
      </c>
      <c r="AL17" t="s">
        <v>14</v>
      </c>
      <c r="AM17" t="s">
        <v>14</v>
      </c>
      <c r="AN17" t="s">
        <v>14</v>
      </c>
      <c r="AO17" t="s">
        <v>14</v>
      </c>
      <c r="AQ17">
        <v>2</v>
      </c>
      <c r="AR17" t="s">
        <v>54</v>
      </c>
      <c r="AS17" s="8">
        <v>53</v>
      </c>
      <c r="AT17" s="16">
        <f t="shared" si="0"/>
        <v>18.624672406400002</v>
      </c>
      <c r="AU17" s="17" t="e">
        <f t="shared" si="1"/>
        <v>#VALUE!</v>
      </c>
      <c r="AW17" s="9">
        <f t="shared" ref="AW17:AW24" si="16">IF(H17&lt;10000,((H17^2*0.00000054)+(H17*-0.004765)+(12.72)),(IF(H17&lt;200000,((H17^2*-0.000000001577)+(H17*0.003043)+(-10.42)),(IF(H17&lt;8000000,((H17^2*-0.0000000000186)+(H17*0.00194)+(154.1)),((V17^2*-0.00000002)+(V17*0.2565)+(-1032)))))))</f>
        <v>4.9858959999999986</v>
      </c>
      <c r="AX17" s="10" t="e">
        <f t="shared" ref="AX17:AX24" si="17">IF(AJ17&lt;45000,((-0.0000004561*AJ17^2)+(0.244*AJ17)+(-21.72)),((-0.0000000409*AJ17^2)+(0.2477*AJ17)+(-1777)))</f>
        <v>#VALUE!</v>
      </c>
      <c r="AZ17" s="11">
        <f t="shared" ref="AZ17:AZ24" si="18">IF(H17&lt;10000,((H17^2*0.00000005714)+(H17*0.002453)+(-3.811)),(IF(H17&lt;200000,((H17^2*-0.0000000002888)+(H17*0.002899)+(-4.321)),(IF(H17&lt;8000000,((H17^2*-0.0000000000062)+(H17*0.002143)+(157)),((V17^2*-0.000000031)+(V17*0.2771)+(-709.5)))))))</f>
        <v>15.124763935999997</v>
      </c>
      <c r="BA17" s="12" t="e">
        <f t="shared" ref="BA17:BA24" si="19">IF(AJ17&lt;45000,((-0.0000000598*AJ17^2)+(0.205*AJ17)+(34.1)),((-0.00000002403*AJ17^2)+(0.2063*AJ17)+(-550.7)))</f>
        <v>#VALUE!</v>
      </c>
      <c r="BC17" s="14">
        <f t="shared" ref="BC17:BC24" si="20">IF(H17&lt;10000,((H17^2*0.000000008493)+(H17*0.003482)+(-3.269)),(IF(H17&lt;200000,((H17^2*-0.000000000263)+(H17*0.002682)+(3.179)),(IF(H17&lt;8000000,((H17^2*-0.000000000005099)+(H17*0.002054)+(174.8)),((V17^2*-0.00000001014)+(V17*0.2415)+(1123)))))))</f>
        <v>20.369738043200002</v>
      </c>
      <c r="BD17" s="15" t="e">
        <f t="shared" ref="BD17:BD24" si="21">IF(AJ17&lt;45000,((-0.00000004907*AJ17^2)+(0.2277*AJ17)+(-134)),((-0.00000001062*AJ17^2)+(0.2147*AJ17)+(590.6)))</f>
        <v>#VALUE!</v>
      </c>
      <c r="BF17" s="16">
        <f t="shared" si="8"/>
        <v>18.624672406400002</v>
      </c>
      <c r="BG17" s="17" t="e">
        <f t="shared" si="9"/>
        <v>#VALUE!</v>
      </c>
      <c r="BI17">
        <v>53</v>
      </c>
      <c r="BJ17" t="s">
        <v>46</v>
      </c>
      <c r="BK17" s="2">
        <v>46226.847951388889</v>
      </c>
      <c r="BL17">
        <v>226</v>
      </c>
      <c r="BM17" t="s">
        <v>13</v>
      </c>
      <c r="BN17">
        <v>0</v>
      </c>
      <c r="BO17">
        <v>2.871</v>
      </c>
      <c r="BP17" s="3">
        <v>912550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47</v>
      </c>
      <c r="C18" s="2">
        <v>46226.869155092594</v>
      </c>
      <c r="D18">
        <v>238</v>
      </c>
      <c r="E18" t="s">
        <v>13</v>
      </c>
      <c r="F18">
        <v>0</v>
      </c>
      <c r="G18">
        <v>6.0460000000000003</v>
      </c>
      <c r="H18" s="3">
        <v>20004</v>
      </c>
      <c r="I18">
        <v>4.1000000000000002E-2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47</v>
      </c>
      <c r="Q18" s="2">
        <v>46226.869155092594</v>
      </c>
      <c r="R18">
        <v>238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47</v>
      </c>
      <c r="AE18" s="2">
        <v>46226.869155092594</v>
      </c>
      <c r="AF18">
        <v>238</v>
      </c>
      <c r="AG18" t="s">
        <v>13</v>
      </c>
      <c r="AH18">
        <v>0</v>
      </c>
      <c r="AI18">
        <v>12.207000000000001</v>
      </c>
      <c r="AJ18" s="3">
        <v>76032</v>
      </c>
      <c r="AK18">
        <v>13.077999999999999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46.616099769977602</v>
      </c>
      <c r="AU18" s="17">
        <f t="shared" si="1"/>
        <v>14056.825936763289</v>
      </c>
      <c r="AW18" s="9">
        <f t="shared" si="16"/>
        <v>49.821119654768005</v>
      </c>
      <c r="AX18" s="10">
        <f t="shared" si="17"/>
        <v>16819.689020518403</v>
      </c>
      <c r="AZ18" s="11">
        <f t="shared" si="18"/>
        <v>53.555029787379205</v>
      </c>
      <c r="BA18" s="12">
        <f t="shared" si="19"/>
        <v>14995.787413473281</v>
      </c>
      <c r="BC18" s="14">
        <f t="shared" si="20"/>
        <v>56.724485915792002</v>
      </c>
      <c r="BD18" s="15">
        <f t="shared" si="21"/>
        <v>16853.27761344512</v>
      </c>
      <c r="BF18" s="16">
        <f t="shared" si="8"/>
        <v>46.616099769977602</v>
      </c>
      <c r="BG18" s="17">
        <f t="shared" si="9"/>
        <v>14056.825936763289</v>
      </c>
      <c r="BI18">
        <v>54</v>
      </c>
      <c r="BJ18" t="s">
        <v>47</v>
      </c>
      <c r="BK18" s="2">
        <v>46226.869155092594</v>
      </c>
      <c r="BL18">
        <v>238</v>
      </c>
      <c r="BM18" t="s">
        <v>13</v>
      </c>
      <c r="BN18">
        <v>0</v>
      </c>
      <c r="BO18">
        <v>2.8820000000000001</v>
      </c>
      <c r="BP18" s="3">
        <v>716958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48</v>
      </c>
      <c r="C19" s="2">
        <v>46226.890381944446</v>
      </c>
      <c r="D19">
        <v>255</v>
      </c>
      <c r="E19" t="s">
        <v>13</v>
      </c>
      <c r="F19">
        <v>0</v>
      </c>
      <c r="G19">
        <v>6.0549999999999997</v>
      </c>
      <c r="H19" s="3">
        <v>7594</v>
      </c>
      <c r="I19">
        <v>1.6E-2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48</v>
      </c>
      <c r="Q19" s="2">
        <v>46226.890381944446</v>
      </c>
      <c r="R19">
        <v>255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48</v>
      </c>
      <c r="AE19" s="2">
        <v>46226.890381944446</v>
      </c>
      <c r="AF19">
        <v>255</v>
      </c>
      <c r="AG19" t="s">
        <v>13</v>
      </c>
      <c r="AH19">
        <v>0</v>
      </c>
      <c r="AI19">
        <v>12.255000000000001</v>
      </c>
      <c r="AJ19" s="3">
        <v>39918</v>
      </c>
      <c r="AK19">
        <v>6.9109999999999996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20.957187943095999</v>
      </c>
      <c r="AU19" s="17">
        <f t="shared" si="1"/>
        <v>7514.5520582519603</v>
      </c>
      <c r="AW19" s="9">
        <f t="shared" si="16"/>
        <v>7.6757614399999969</v>
      </c>
      <c r="AX19" s="10">
        <f t="shared" si="17"/>
        <v>8991.5009491836008</v>
      </c>
      <c r="AZ19" s="11">
        <f t="shared" si="18"/>
        <v>18.11227928904</v>
      </c>
      <c r="BA19" s="12">
        <f t="shared" si="19"/>
        <v>8122.0018859047996</v>
      </c>
      <c r="BC19" s="14">
        <f t="shared" si="20"/>
        <v>23.663089424147998</v>
      </c>
      <c r="BD19" s="15">
        <f t="shared" si="21"/>
        <v>8877.1381692533214</v>
      </c>
      <c r="BF19" s="16">
        <f t="shared" si="8"/>
        <v>20.957187943095999</v>
      </c>
      <c r="BG19" s="17">
        <f t="shared" si="9"/>
        <v>7514.5520582519603</v>
      </c>
      <c r="BI19">
        <v>55</v>
      </c>
      <c r="BJ19" t="s">
        <v>48</v>
      </c>
      <c r="BK19" s="2">
        <v>46226.890381944446</v>
      </c>
      <c r="BL19">
        <v>255</v>
      </c>
      <c r="BM19" t="s">
        <v>13</v>
      </c>
      <c r="BN19">
        <v>0</v>
      </c>
      <c r="BO19">
        <v>2.7919999999999998</v>
      </c>
      <c r="BP19" s="3">
        <v>2723898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49</v>
      </c>
      <c r="C20" s="2">
        <v>46226.911631944444</v>
      </c>
      <c r="D20">
        <v>193</v>
      </c>
      <c r="E20" t="s">
        <v>13</v>
      </c>
      <c r="F20">
        <v>0</v>
      </c>
      <c r="G20">
        <v>6.0510000000000002</v>
      </c>
      <c r="H20" s="3">
        <v>5195</v>
      </c>
      <c r="I20">
        <v>1.0999999999999999E-2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49</v>
      </c>
      <c r="Q20" s="2">
        <v>46226.911631944444</v>
      </c>
      <c r="R20">
        <v>193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49</v>
      </c>
      <c r="AE20" s="2">
        <v>46226.911631944444</v>
      </c>
      <c r="AF20">
        <v>193</v>
      </c>
      <c r="AG20" t="s">
        <v>13</v>
      </c>
      <c r="AH20">
        <v>0</v>
      </c>
      <c r="AI20">
        <v>12.218</v>
      </c>
      <c r="AJ20" s="3">
        <v>68831</v>
      </c>
      <c r="AK20">
        <v>11.849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14.821741475150001</v>
      </c>
      <c r="AU20" s="17">
        <f t="shared" si="1"/>
        <v>12877.801110308106</v>
      </c>
      <c r="AW20" s="9">
        <f t="shared" si="16"/>
        <v>2.5393585000000005</v>
      </c>
      <c r="AX20" s="10">
        <f t="shared" si="17"/>
        <v>15078.666501655098</v>
      </c>
      <c r="AZ20" s="11">
        <f t="shared" si="18"/>
        <v>10.4744307485</v>
      </c>
      <c r="BA20" s="12">
        <f t="shared" si="19"/>
        <v>13535.28821133917</v>
      </c>
      <c r="BC20" s="14">
        <f t="shared" si="20"/>
        <v>15.049199296324998</v>
      </c>
      <c r="BD20" s="15">
        <f t="shared" si="21"/>
        <v>15318.30125632218</v>
      </c>
      <c r="BF20" s="16">
        <f t="shared" si="8"/>
        <v>14.821741475150001</v>
      </c>
      <c r="BG20" s="17">
        <f t="shared" si="9"/>
        <v>12877.801110308106</v>
      </c>
      <c r="BI20">
        <v>56</v>
      </c>
      <c r="BJ20" t="s">
        <v>49</v>
      </c>
      <c r="BK20" s="2">
        <v>46226.911631944444</v>
      </c>
      <c r="BL20">
        <v>193</v>
      </c>
      <c r="BM20" t="s">
        <v>13</v>
      </c>
      <c r="BN20">
        <v>0</v>
      </c>
      <c r="BO20">
        <v>2.7989999999999999</v>
      </c>
      <c r="BP20" s="3">
        <v>2541136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50</v>
      </c>
      <c r="C21" s="2">
        <v>46226.932847222219</v>
      </c>
      <c r="D21">
        <v>195</v>
      </c>
      <c r="E21" t="s">
        <v>13</v>
      </c>
      <c r="F21">
        <v>0</v>
      </c>
      <c r="G21">
        <v>6.0549999999999997</v>
      </c>
      <c r="H21" s="3">
        <v>12368</v>
      </c>
      <c r="I21">
        <v>2.5000000000000001E-2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50</v>
      </c>
      <c r="Q21" s="2">
        <v>46226.932847222219</v>
      </c>
      <c r="R21">
        <v>195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50</v>
      </c>
      <c r="AE21" s="2">
        <v>46226.932847222219</v>
      </c>
      <c r="AF21">
        <v>195</v>
      </c>
      <c r="AG21" t="s">
        <v>13</v>
      </c>
      <c r="AH21">
        <v>0</v>
      </c>
      <c r="AI21">
        <v>12.292999999999999</v>
      </c>
      <c r="AJ21" s="3">
        <v>3507</v>
      </c>
      <c r="AK21">
        <v>0.69199999999999995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30.062663061606404</v>
      </c>
      <c r="AU21" s="17">
        <f t="shared" si="1"/>
        <v>696.44008296370998</v>
      </c>
      <c r="AW21" s="9">
        <f t="shared" si="16"/>
        <v>26.974594372351994</v>
      </c>
      <c r="AX21" s="10">
        <f t="shared" si="17"/>
        <v>828.3784037511</v>
      </c>
      <c r="AZ21" s="11">
        <f t="shared" si="18"/>
        <v>31.489655007948805</v>
      </c>
      <c r="BA21" s="12">
        <f t="shared" si="19"/>
        <v>752.29951686979996</v>
      </c>
      <c r="BC21" s="14">
        <f t="shared" si="20"/>
        <v>36.309745567488001</v>
      </c>
      <c r="BD21" s="15">
        <f t="shared" si="21"/>
        <v>663.94038566557003</v>
      </c>
      <c r="BF21" s="16">
        <f t="shared" si="8"/>
        <v>30.062663061606404</v>
      </c>
      <c r="BG21" s="17">
        <f t="shared" si="9"/>
        <v>696.44008296370998</v>
      </c>
      <c r="BI21">
        <v>57</v>
      </c>
      <c r="BJ21" t="s">
        <v>50</v>
      </c>
      <c r="BK21" s="2">
        <v>46226.932847222219</v>
      </c>
      <c r="BL21">
        <v>195</v>
      </c>
      <c r="BM21" t="s">
        <v>13</v>
      </c>
      <c r="BN21">
        <v>0</v>
      </c>
      <c r="BO21">
        <v>2.798</v>
      </c>
      <c r="BP21" s="3">
        <v>2743008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51</v>
      </c>
      <c r="C22" s="2">
        <v>46226.954085648147</v>
      </c>
      <c r="D22">
        <v>218</v>
      </c>
      <c r="E22" t="s">
        <v>13</v>
      </c>
      <c r="F22">
        <v>0</v>
      </c>
      <c r="G22">
        <v>6.048</v>
      </c>
      <c r="H22" s="3">
        <v>14422</v>
      </c>
      <c r="I22">
        <v>2.9000000000000001E-2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51</v>
      </c>
      <c r="Q22" s="2">
        <v>46226.954085648147</v>
      </c>
      <c r="R22">
        <v>218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51</v>
      </c>
      <c r="AE22" s="2">
        <v>46226.954085648147</v>
      </c>
      <c r="AF22">
        <v>218</v>
      </c>
      <c r="AG22" t="s">
        <v>13</v>
      </c>
      <c r="AH22">
        <v>0</v>
      </c>
      <c r="AI22">
        <v>12.304</v>
      </c>
      <c r="AJ22" s="3">
        <v>3140</v>
      </c>
      <c r="AK22">
        <v>0.629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34.519671026782405</v>
      </c>
      <c r="AU22" s="17">
        <f t="shared" si="1"/>
        <v>628.2008750839999</v>
      </c>
      <c r="AW22" s="9">
        <f t="shared" si="16"/>
        <v>33.138139329532002</v>
      </c>
      <c r="AX22" s="10">
        <f t="shared" si="17"/>
        <v>739.9430364399999</v>
      </c>
      <c r="AZ22" s="11">
        <f t="shared" si="18"/>
        <v>37.428309308540804</v>
      </c>
      <c r="BA22" s="12">
        <f t="shared" si="19"/>
        <v>677.21039592</v>
      </c>
      <c r="BC22" s="14">
        <f t="shared" si="20"/>
        <v>41.804101555907998</v>
      </c>
      <c r="BD22" s="15">
        <f t="shared" si="21"/>
        <v>580.49418942800003</v>
      </c>
      <c r="BF22" s="16">
        <f t="shared" si="8"/>
        <v>34.519671026782405</v>
      </c>
      <c r="BG22" s="17">
        <f t="shared" si="9"/>
        <v>628.2008750839999</v>
      </c>
      <c r="BI22">
        <v>58</v>
      </c>
      <c r="BJ22" t="s">
        <v>51</v>
      </c>
      <c r="BK22" s="2">
        <v>46226.954085648147</v>
      </c>
      <c r="BL22">
        <v>218</v>
      </c>
      <c r="BM22" t="s">
        <v>13</v>
      </c>
      <c r="BN22">
        <v>0</v>
      </c>
      <c r="BO22">
        <v>2.7629999999999999</v>
      </c>
      <c r="BP22" s="3">
        <v>3613416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52</v>
      </c>
      <c r="C23" s="2">
        <v>46226.975324074076</v>
      </c>
      <c r="D23">
        <v>152</v>
      </c>
      <c r="E23" t="s">
        <v>13</v>
      </c>
      <c r="F23">
        <v>0</v>
      </c>
      <c r="G23">
        <v>6.0469999999999997</v>
      </c>
      <c r="H23" s="3">
        <v>14146</v>
      </c>
      <c r="I23">
        <v>2.9000000000000001E-2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52</v>
      </c>
      <c r="Q23" s="2">
        <v>46226.975324074076</v>
      </c>
      <c r="R23">
        <v>152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52</v>
      </c>
      <c r="AE23" s="2">
        <v>46226.975324074076</v>
      </c>
      <c r="AF23">
        <v>152</v>
      </c>
      <c r="AG23" t="s">
        <v>13</v>
      </c>
      <c r="AH23">
        <v>0</v>
      </c>
      <c r="AI23">
        <v>12.305999999999999</v>
      </c>
      <c r="AJ23" s="3">
        <v>3130</v>
      </c>
      <c r="AK23">
        <v>0.627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33.920958853457599</v>
      </c>
      <c r="AU23" s="17">
        <f t="shared" si="1"/>
        <v>626.34163105100004</v>
      </c>
      <c r="AW23" s="9">
        <f t="shared" si="16"/>
        <v>32.310705608668002</v>
      </c>
      <c r="AX23" s="10">
        <f t="shared" si="17"/>
        <v>737.53163390999998</v>
      </c>
      <c r="AZ23" s="11">
        <f t="shared" si="18"/>
        <v>36.6304624295392</v>
      </c>
      <c r="BA23" s="12">
        <f t="shared" si="19"/>
        <v>675.16414538000004</v>
      </c>
      <c r="BC23" s="14">
        <f t="shared" si="20"/>
        <v>41.065943249892001</v>
      </c>
      <c r="BD23" s="15">
        <f t="shared" si="21"/>
        <v>578.22026611700005</v>
      </c>
      <c r="BF23" s="16">
        <f t="shared" si="8"/>
        <v>33.920958853457599</v>
      </c>
      <c r="BG23" s="17">
        <f t="shared" si="9"/>
        <v>626.34163105100004</v>
      </c>
      <c r="BI23">
        <v>59</v>
      </c>
      <c r="BJ23" t="s">
        <v>52</v>
      </c>
      <c r="BK23" s="2">
        <v>46226.975324074076</v>
      </c>
      <c r="BL23">
        <v>152</v>
      </c>
      <c r="BM23" t="s">
        <v>13</v>
      </c>
      <c r="BN23">
        <v>0</v>
      </c>
      <c r="BO23">
        <v>2.7970000000000002</v>
      </c>
      <c r="BP23" s="3">
        <v>2621154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53</v>
      </c>
      <c r="C24" s="2">
        <v>46226.996527777781</v>
      </c>
      <c r="D24">
        <v>145</v>
      </c>
      <c r="E24" t="s">
        <v>13</v>
      </c>
      <c r="F24">
        <v>0</v>
      </c>
      <c r="G24">
        <v>6.0549999999999997</v>
      </c>
      <c r="H24" s="3">
        <v>12140</v>
      </c>
      <c r="I24">
        <v>2.5000000000000001E-2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53</v>
      </c>
      <c r="Q24" s="2">
        <v>46226.996527777781</v>
      </c>
      <c r="R24">
        <v>145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53</v>
      </c>
      <c r="AE24" s="2">
        <v>46226.996527777781</v>
      </c>
      <c r="AF24">
        <v>145</v>
      </c>
      <c r="AG24" t="s">
        <v>13</v>
      </c>
      <c r="AH24">
        <v>0</v>
      </c>
      <c r="AI24">
        <v>12.317</v>
      </c>
      <c r="AJ24" s="3">
        <v>2674</v>
      </c>
      <c r="AK24">
        <v>0.54900000000000004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29.567726318560002</v>
      </c>
      <c r="AU24" s="17">
        <f t="shared" si="1"/>
        <v>541.56770837803992</v>
      </c>
      <c r="AW24" s="9">
        <f t="shared" si="16"/>
        <v>26.289602370799997</v>
      </c>
      <c r="AX24" s="10">
        <f t="shared" si="17"/>
        <v>627.47475911640004</v>
      </c>
      <c r="AZ24" s="11">
        <f t="shared" si="18"/>
        <v>30.830296771520004</v>
      </c>
      <c r="BA24" s="12">
        <f t="shared" si="19"/>
        <v>581.84241349519993</v>
      </c>
      <c r="BC24" s="14">
        <f t="shared" si="20"/>
        <v>35.699719165200001</v>
      </c>
      <c r="BD24" s="15">
        <f t="shared" si="21"/>
        <v>474.51893595668002</v>
      </c>
      <c r="BF24" s="16">
        <f t="shared" si="8"/>
        <v>29.567726318560002</v>
      </c>
      <c r="BG24" s="17">
        <f t="shared" si="9"/>
        <v>541.56770837803992</v>
      </c>
      <c r="BI24">
        <v>60</v>
      </c>
      <c r="BJ24" t="s">
        <v>53</v>
      </c>
      <c r="BK24" s="2">
        <v>46226.996527777781</v>
      </c>
      <c r="BL24">
        <v>145</v>
      </c>
      <c r="BM24" t="s">
        <v>13</v>
      </c>
      <c r="BN24">
        <v>0</v>
      </c>
      <c r="BO24">
        <v>2.887</v>
      </c>
      <c r="BP24" s="3">
        <v>769095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2026-07-24T18:55:34Z</dcterms:modified>
</cp:coreProperties>
</file>