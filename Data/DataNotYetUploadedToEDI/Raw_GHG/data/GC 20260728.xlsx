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13_ncr:1_{8484D85F-D3D0-4987-AEAD-0DD4077D8B2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1" i="1" l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  <c r="AT15" i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BG10" i="1" l="1"/>
  <c r="BF10" i="1"/>
  <c r="BG9" i="1"/>
  <c r="BF9" i="1"/>
  <c r="AT9" i="1"/>
  <c r="AU9" i="1"/>
  <c r="AT10" i="1"/>
  <c r="AU10" i="1"/>
  <c r="AW9" i="1"/>
  <c r="AX9" i="1"/>
  <c r="AZ9" i="1"/>
  <c r="BA9" i="1"/>
  <c r="AW10" i="1"/>
  <c r="AX10" i="1"/>
  <c r="AZ10" i="1"/>
  <c r="BA10" i="1"/>
  <c r="BC9" i="1" l="1"/>
  <c r="BD9" i="1"/>
  <c r="BC10" i="1"/>
  <c r="BD10" i="1"/>
</calcChain>
</file>

<file path=xl/sharedStrings.xml><?xml version="1.0" encoding="utf-8"?>
<sst xmlns="http://schemas.openxmlformats.org/spreadsheetml/2006/main" count="759" uniqueCount="61">
  <si>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</si>
  <si>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</si>
  <si>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</si>
  <si>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</si>
  <si>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</si>
  <si>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</si>
  <si>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</si>
  <si>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</si>
  <si>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</si>
  <si>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</si>
  <si>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</si>
  <si>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</si>
  <si>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</si>
  <si>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</si>
  <si>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</si>
  <si>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</si>
  <si>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</si>
  <si>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</si>
  <si>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</si>
  <si>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</si>
  <si>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</si>
  <si>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</si>
  <si>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</si>
  <si>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</si>
  <si>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</si>
  <si>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</si>
  <si>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</si>
  <si>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</si>
  <si>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</si>
  <si>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</si>
  <si>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</si>
  <si>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spiked air</t>
  </si>
  <si>
    <t>2026 ranged CAL Measured headspace CH4  in ppm from GC in ppm</t>
  </si>
  <si>
    <t>2026 CAL Measured headspace CO2 in ppm from GC in ppm</t>
  </si>
  <si>
    <t>FMI20260728_001.gcd</t>
  </si>
  <si>
    <t>FMI20260728_002.gcd</t>
  </si>
  <si>
    <t>FMI20260728_023.gcd</t>
  </si>
  <si>
    <t>FMI20260728_024.gcd</t>
  </si>
  <si>
    <t>FMI20260728_025.gcd</t>
  </si>
  <si>
    <t>FMI20260728_026.gcd</t>
  </si>
  <si>
    <t>FMI20260728_027.gcd</t>
  </si>
  <si>
    <t>FMI20260728_028.gcd</t>
  </si>
  <si>
    <t>FMI20260728_029.gcd</t>
  </si>
  <si>
    <t>FMI20260728_030.gcd</t>
  </si>
  <si>
    <t>FMI20260728_031.gcd</t>
  </si>
  <si>
    <t>FMI20260728_032.gcd</t>
  </si>
  <si>
    <t>FMI20260728_033.gcd</t>
  </si>
  <si>
    <t>FMI20260728_034.gcd</t>
  </si>
  <si>
    <t>FMI20260728_035.gcd</t>
  </si>
  <si>
    <t>FMI20260728_036.gcd</t>
  </si>
  <si>
    <t>FMI20260728_037.gcd</t>
  </si>
  <si>
    <t>FMI20260728_038.gcd</t>
  </si>
  <si>
    <t>FMI20260728_039.gcd</t>
  </si>
  <si>
    <t>FMI20260728_040.gcd</t>
  </si>
  <si>
    <t>FMI20260728_041.gcd</t>
  </si>
  <si>
    <t>FMI20260728_042.gcd</t>
  </si>
  <si>
    <t>FMI20260728_043.gcd</t>
  </si>
  <si>
    <t>FMI20260728_044.gcd</t>
  </si>
  <si>
    <t>FMI20260728_045.gcd</t>
  </si>
  <si>
    <t>FMI20260728_046.gcd</t>
  </si>
  <si>
    <t>leaked when adding headspace. If dups don't match discard this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</si>
</sst>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34"/>
  <sheetViews>
    <sheetView tabSelected="1" topLeftCell="AA6" workbookViewId="0">
      <selection activeCell="AF37" sqref="AF37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32</v>
      </c>
      <c r="BG8" s="5" t="s">
        <v>33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34</v>
      </c>
      <c r="C9" s="2">
        <v>46231.629583333335</v>
      </c>
      <c r="D9" t="s">
        <v>31</v>
      </c>
      <c r="E9" t="s">
        <v>13</v>
      </c>
      <c r="F9">
        <v>0</v>
      </c>
      <c r="G9">
        <v>6.0620000000000003</v>
      </c>
      <c r="H9" s="3">
        <v>900482</v>
      </c>
      <c r="I9">
        <v>1.831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34</v>
      </c>
      <c r="Q9" s="2">
        <v>46231.629583333335</v>
      </c>
      <c r="R9" t="s">
        <v>31</v>
      </c>
      <c r="S9" t="s">
        <v>13</v>
      </c>
      <c r="T9">
        <v>0</v>
      </c>
      <c r="U9">
        <v>6.0119999999999996</v>
      </c>
      <c r="V9" s="3">
        <v>8264</v>
      </c>
      <c r="W9">
        <v>2.0329999999999999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34</v>
      </c>
      <c r="AE9" s="2">
        <v>46231.629583333335</v>
      </c>
      <c r="AF9" t="s">
        <v>31</v>
      </c>
      <c r="AG9" t="s">
        <v>13</v>
      </c>
      <c r="AH9">
        <v>0</v>
      </c>
      <c r="AI9">
        <v>12.36</v>
      </c>
      <c r="AJ9" s="3">
        <v>7834</v>
      </c>
      <c r="AK9">
        <v>1.431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5">
        <f t="shared" ref="AT9:AT10" si="0">IF($H9&lt;10000,(($H9^2*-0.000000003714)+($H9*0.002605)+(1.389)),(IF($H9&lt;200000,(($H9^2*-0.0000000003764)+($H9*0.00218)+(3.158)),(IF($H9&lt;8000000,(($H9^2*-0.000000000004719)+($H9*0.001816)+(146.1)),(($V9^2*0.000000002578)+($V9*0.2173)+(2294)))))))</f>
        <v>1777.5488266992629</v>
      </c>
      <c r="AU9" s="16">
        <f t="shared" ref="AU9:AU10" si="1">IF($AJ9&lt;45000,((0.00000003579*$AJ9^2)+(0.1857*$AJ9)+(44.75)),((0.0000000022829*$AJ9^2)+(0.1634*$AJ9)+(1620)))</f>
        <v>1501.72028798924</v>
      </c>
      <c r="AW9" s="9">
        <f t="shared" ref="AW9:AW10" si="2">IF(H9&lt;10000,((H9^2*0.00000054)+(H9*-0.004765)+(12.72)),(IF(H9&lt;200000,((H9^2*-0.000000001577)+(H9*0.003043)+(-10.42)),(IF(H9&lt;8000000,((H9^2*-0.0000000000186)+(H9*0.00194)+(154.1)),((V9^2*-0.00000002)+(V9*0.2565)+(-1032)))))))</f>
        <v>1885.9529383187737</v>
      </c>
      <c r="AX9" s="10">
        <f t="shared" ref="AX9:AX10" si="3">IF(AJ9&lt;45000,((-0.0000004561*AJ9^2)+(0.244*AJ9)+(-21.72)),((-0.0000000409*AJ9^2)+(0.2477*AJ9)+(-1777)))</f>
        <v>1861.7844333083999</v>
      </c>
      <c r="AZ9" s="11">
        <f t="shared" ref="AZ9:AZ10" si="4">IF(H9&lt;10000,((H9^2*0.00000005714)+(H9*0.002453)+(-3.811)),(IF(H9&lt;200000,((H9^2*-0.0000000002888)+(H9*0.002899)+(-4.321)),(IF(H9&lt;8000000,((H9^2*-0.0000000000062)+(H9*0.002143)+(157)),((V9^2*-0.000000031)+(V9*0.2771)+(-709.5)))))))</f>
        <v>2081.7055454395913</v>
      </c>
      <c r="BA9" s="12">
        <f t="shared" ref="BA9:BA10" si="5">IF(AJ9&lt;45000,((-0.0000000598*AJ9^2)+(0.205*AJ9)+(34.1)),((-0.00000002403*AJ9^2)+(0.2063*AJ9)+(-550.7)))</f>
        <v>1636.3999809511997</v>
      </c>
      <c r="BC9" s="13">
        <f t="shared" ref="BC9:BC10" si="6">IF(H9&lt;10000,((H9^2*0.000000008493)+(H9*0.003482)+(-3.269)),(IF(H9&lt;200000,((H9^2*-0.000000000263)+(H9*0.002682)+(3.179)),(IF(H9&lt;8000000,((H9^2*-0.000000000005099)+(H9*0.002054)+(174.8)),((V9^2*-0.00000001014)+(V9*0.2415)+(1123)))))))</f>
        <v>2020.2554129229798</v>
      </c>
      <c r="BD9" s="14">
        <f t="shared" ref="BD9:BD10" si="7">IF(AJ9&lt;45000,((-0.00000004907*AJ9^2)+(0.2277*AJ9)+(-134)),((-0.00000001062*AJ9^2)+(0.2147*AJ9)+(590.6)))</f>
        <v>1646.7902977470801</v>
      </c>
      <c r="BF9" s="15">
        <f t="shared" ref="BF9:BF10" si="8">IF($H9&lt;10000,(($H9^2*-0.000000003714)+($H9*0.002605)+(1.389)),(IF($H9&lt;200000,(($H9^2*-0.0000000003764)+($H9*0.00218)+(3.158)),(IF($H9&lt;8000000,(($H9^2*-0.000000000004719)+($H9*0.001816)+(146.1)),(($V9^2*0.000000002578)+($V9*0.2173)+(2294)))))))</f>
        <v>1777.5488266992629</v>
      </c>
      <c r="BG9" s="16">
        <f t="shared" ref="BG9:BG10" si="9">IF($AJ9&lt;45000,((0.00000003579*$AJ9^2)+(0.1857*$AJ9)+(44.75)),((0.0000000022829*$AJ9^2)+(0.1634*$AJ9)+(1620)))</f>
        <v>1501.72028798924</v>
      </c>
      <c r="BI9">
        <v>45</v>
      </c>
      <c r="BJ9" t="s">
        <v>34</v>
      </c>
      <c r="BK9" s="2">
        <v>46231.629583333335</v>
      </c>
      <c r="BL9" t="s">
        <v>31</v>
      </c>
      <c r="BM9" t="s">
        <v>13</v>
      </c>
      <c r="BN9">
        <v>0</v>
      </c>
      <c r="BO9">
        <v>2.7269999999999999</v>
      </c>
      <c r="BP9" s="3">
        <v>5150534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35</v>
      </c>
      <c r="C10" s="2">
        <v>46231.65079861111</v>
      </c>
      <c r="D10" t="s">
        <v>26</v>
      </c>
      <c r="E10" t="s">
        <v>13</v>
      </c>
      <c r="F10">
        <v>0</v>
      </c>
      <c r="G10">
        <v>6.09</v>
      </c>
      <c r="H10" s="3">
        <v>2485</v>
      </c>
      <c r="I10">
        <v>5.0000000000000001E-3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35</v>
      </c>
      <c r="Q10" s="2">
        <v>46231.65079861111</v>
      </c>
      <c r="R10" t="s">
        <v>26</v>
      </c>
      <c r="S10" t="s">
        <v>13</v>
      </c>
      <c r="T10">
        <v>0</v>
      </c>
      <c r="U10" t="s">
        <v>14</v>
      </c>
      <c r="V10" s="3" t="s">
        <v>14</v>
      </c>
      <c r="W10" t="s">
        <v>14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35</v>
      </c>
      <c r="AE10" s="2">
        <v>46231.65079861111</v>
      </c>
      <c r="AF10" t="s">
        <v>26</v>
      </c>
      <c r="AG10" t="s">
        <v>13</v>
      </c>
      <c r="AH10">
        <v>0</v>
      </c>
      <c r="AI10">
        <v>12.348000000000001</v>
      </c>
      <c r="AJ10" s="3">
        <v>1537</v>
      </c>
      <c r="AK10">
        <v>0.35499999999999998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5">
        <f t="shared" si="0"/>
        <v>7.8394902143500005</v>
      </c>
      <c r="AU10" s="16">
        <f t="shared" si="1"/>
        <v>330.25544918651002</v>
      </c>
      <c r="AW10" s="9">
        <f t="shared" si="2"/>
        <v>4.2135964999999995</v>
      </c>
      <c r="AX10" s="10">
        <f t="shared" si="3"/>
        <v>352.23052349910006</v>
      </c>
      <c r="AZ10" s="11">
        <f t="shared" si="4"/>
        <v>2.6375573564999995</v>
      </c>
      <c r="BA10" s="12">
        <f t="shared" si="5"/>
        <v>349.0437303338</v>
      </c>
      <c r="BC10" s="13">
        <f t="shared" si="6"/>
        <v>5.4362161859249998</v>
      </c>
      <c r="BD10" s="14">
        <f t="shared" si="7"/>
        <v>215.85897855317006</v>
      </c>
      <c r="BF10" s="15">
        <f t="shared" si="8"/>
        <v>7.8394902143500005</v>
      </c>
      <c r="BG10" s="16">
        <f t="shared" si="9"/>
        <v>330.25544918651002</v>
      </c>
      <c r="BI10">
        <v>46</v>
      </c>
      <c r="BJ10" t="s">
        <v>35</v>
      </c>
      <c r="BK10" s="2">
        <v>46231.65079861111</v>
      </c>
      <c r="BL10" t="s">
        <v>26</v>
      </c>
      <c r="BM10" t="s">
        <v>13</v>
      </c>
      <c r="BN10">
        <v>0</v>
      </c>
      <c r="BO10">
        <v>2.7309999999999999</v>
      </c>
      <c r="BP10" s="3">
        <v>5108648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67</v>
      </c>
      <c r="B11" t="s">
        <v>36</v>
      </c>
      <c r="C11" s="2">
        <v>46232.096550925926</v>
      </c>
      <c r="D11">
        <v>417</v>
      </c>
      <c r="E11" t="s">
        <v>13</v>
      </c>
      <c r="F11">
        <v>0</v>
      </c>
      <c r="G11">
        <v>6.0519999999999996</v>
      </c>
      <c r="H11" s="3">
        <v>79864</v>
      </c>
      <c r="I11">
        <v>0.16200000000000001</v>
      </c>
      <c r="J11" t="s">
        <v>14</v>
      </c>
      <c r="K11" t="s">
        <v>14</v>
      </c>
      <c r="L11" t="s">
        <v>14</v>
      </c>
      <c r="M11" t="s">
        <v>14</v>
      </c>
      <c r="O11">
        <v>67</v>
      </c>
      <c r="P11" t="s">
        <v>36</v>
      </c>
      <c r="Q11" s="2">
        <v>46232.096550925926</v>
      </c>
      <c r="R11">
        <v>417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67</v>
      </c>
      <c r="AD11" t="s">
        <v>36</v>
      </c>
      <c r="AE11" s="2">
        <v>46232.096550925926</v>
      </c>
      <c r="AF11">
        <v>417</v>
      </c>
      <c r="AG11" t="s">
        <v>13</v>
      </c>
      <c r="AH11">
        <v>0</v>
      </c>
      <c r="AI11">
        <v>12.249000000000001</v>
      </c>
      <c r="AJ11" s="3">
        <v>67442</v>
      </c>
      <c r="AK11">
        <v>11.612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67</v>
      </c>
      <c r="AT11" s="15">
        <f t="shared" ref="AT11:AT34" si="10">IF($H11&lt;10000,(($H11^2*-0.000000003714)+($H11*0.002605)+(1.389)),(IF($H11&lt;200000,(($H11^2*-0.0000000003764)+($H11*0.00218)+(3.158)),(IF($H11&lt;8000000,(($H11^2*-0.000000000004719)+($H11*0.001816)+(146.1)),(($V11^2*0.000000002578)+($V11*0.2173)+(2294)))))))</f>
        <v>174.86074350210558</v>
      </c>
      <c r="AU11" s="16">
        <f t="shared" ref="AU11:AU34" si="11">IF($AJ11&lt;45000,((0.00000003579*$AJ11^2)+(0.1857*$AJ11)+(44.75)),((0.0000000022829*$AJ11^2)+(0.1634*$AJ11)+(1620)))</f>
        <v>12650.406395697675</v>
      </c>
      <c r="AW11" s="9">
        <f t="shared" ref="AW11:AW34" si="12">IF(H11&lt;10000,((H11^2*0.00000054)+(H11*-0.004765)+(12.72)),(IF(H11&lt;200000,((H11^2*-0.000000001577)+(H11*0.003043)+(-10.42)),(IF(H11&lt;8000000,((H11^2*-0.0000000000186)+(H11*0.00194)+(154.1)),((V11^2*-0.00000002)+(V11*0.2565)+(-1032)))))))</f>
        <v>222.54763835180805</v>
      </c>
      <c r="AX11" s="10">
        <f t="shared" ref="AX11:AX34" si="13">IF(AJ11&lt;45000,((-0.0000004561*AJ11^2)+(0.244*AJ11)+(-21.72)),((-0.0000000409*AJ11^2)+(0.2477*AJ11)+(-1777)))</f>
        <v>14742.352884412398</v>
      </c>
      <c r="AZ11" s="11">
        <f t="shared" ref="AZ11:AZ34" si="14">IF(H11&lt;10000,((H11^2*0.00000005714)+(H11*0.002453)+(-3.811)),(IF(H11&lt;200000,((H11^2*-0.0000000002888)+(H11*0.002899)+(-4.321)),(IF(H11&lt;8000000,((H11^2*-0.0000000000062)+(H11*0.002143)+(157)),((V11^2*-0.000000031)+(V11*0.2771)+(-709.5)))))))</f>
        <v>225.36269494635519</v>
      </c>
      <c r="BA11" s="12">
        <f t="shared" ref="BA11:BA34" si="15">IF(AJ11&lt;45000,((-0.0000000598*AJ11^2)+(0.205*AJ11)+(34.1)),((-0.00000002403*AJ11^2)+(0.2063*AJ11)+(-550.7)))</f>
        <v>13253.28598656308</v>
      </c>
      <c r="BC11" s="13">
        <f t="shared" ref="BC11:BC34" si="16">IF(H11&lt;10000,((H11^2*0.000000008493)+(H11*0.003482)+(-3.269)),(IF(H11&lt;200000,((H11^2*-0.000000000263)+(H11*0.002682)+(3.179)),(IF(H11&lt;8000000,((H11^2*-0.000000000005099)+(H11*0.002054)+(174.8)),((V11^2*-0.00000001014)+(V11*0.2415)+(1123)))))))</f>
        <v>215.69676601555199</v>
      </c>
      <c r="BD11" s="14">
        <f t="shared" ref="BD11:BD34" si="17">IF(AJ11&lt;45000,((-0.00000004907*AJ11^2)+(0.2277*AJ11)+(-134)),((-0.00000001062*AJ11^2)+(0.2147*AJ11)+(590.6)))</f>
        <v>15022.093143874319</v>
      </c>
      <c r="BF11" s="15">
        <f t="shared" ref="BF11:BF34" si="18">IF($H11&lt;10000,(($H11^2*-0.000000003714)+($H11*0.002605)+(1.389)),(IF($H11&lt;200000,(($H11^2*-0.0000000003764)+($H11*0.00218)+(3.158)),(IF($H11&lt;8000000,(($H11^2*-0.000000000004719)+($H11*0.001816)+(146.1)),(($V11^2*0.000000002578)+($V11*0.2173)+(2294)))))))</f>
        <v>174.86074350210558</v>
      </c>
      <c r="BG11" s="16">
        <f t="shared" ref="BG11:BG34" si="19">IF($AJ11&lt;45000,((0.00000003579*$AJ11^2)+(0.1857*$AJ11)+(44.75)),((0.0000000022829*$AJ11^2)+(0.1634*$AJ11)+(1620)))</f>
        <v>12650.406395697675</v>
      </c>
      <c r="BI11">
        <v>67</v>
      </c>
      <c r="BJ11" t="s">
        <v>36</v>
      </c>
      <c r="BK11" s="2">
        <v>46232.096550925926</v>
      </c>
      <c r="BL11">
        <v>417</v>
      </c>
      <c r="BM11" t="s">
        <v>13</v>
      </c>
      <c r="BN11">
        <v>0</v>
      </c>
      <c r="BO11">
        <v>2.843</v>
      </c>
      <c r="BP11" s="3">
        <v>1502379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68</v>
      </c>
      <c r="B12" t="s">
        <v>37</v>
      </c>
      <c r="C12" s="2">
        <v>46232.117812500001</v>
      </c>
      <c r="D12">
        <v>120</v>
      </c>
      <c r="E12" t="s">
        <v>13</v>
      </c>
      <c r="F12">
        <v>0</v>
      </c>
      <c r="G12">
        <v>6.0839999999999996</v>
      </c>
      <c r="H12" s="3">
        <v>1951</v>
      </c>
      <c r="I12">
        <v>4.0000000000000001E-3</v>
      </c>
      <c r="J12" t="s">
        <v>14</v>
      </c>
      <c r="K12" t="s">
        <v>14</v>
      </c>
      <c r="L12" t="s">
        <v>14</v>
      </c>
      <c r="M12" t="s">
        <v>14</v>
      </c>
      <c r="O12">
        <v>68</v>
      </c>
      <c r="P12" t="s">
        <v>37</v>
      </c>
      <c r="Q12" s="2">
        <v>46232.117812500001</v>
      </c>
      <c r="R12">
        <v>120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68</v>
      </c>
      <c r="AD12" t="s">
        <v>37</v>
      </c>
      <c r="AE12" s="2">
        <v>46232.117812500001</v>
      </c>
      <c r="AF12">
        <v>120</v>
      </c>
      <c r="AG12" t="s">
        <v>13</v>
      </c>
      <c r="AH12">
        <v>0</v>
      </c>
      <c r="AI12">
        <v>12.179</v>
      </c>
      <c r="AJ12" s="3">
        <v>136121</v>
      </c>
      <c r="AK12">
        <v>23.332999999999998</v>
      </c>
      <c r="AL12" t="s">
        <v>14</v>
      </c>
      <c r="AM12" t="s">
        <v>14</v>
      </c>
      <c r="AN12" t="s">
        <v>14</v>
      </c>
      <c r="AO12" t="s">
        <v>14</v>
      </c>
      <c r="AQ12">
        <v>2</v>
      </c>
      <c r="AR12" t="s">
        <v>60</v>
      </c>
      <c r="AS12" s="8">
        <v>68</v>
      </c>
      <c r="AT12" s="15">
        <f t="shared" si="10"/>
        <v>6.4572180266860011</v>
      </c>
      <c r="AU12" s="16">
        <f t="shared" si="11"/>
        <v>23904.471086628739</v>
      </c>
      <c r="AW12" s="9">
        <f t="shared" si="12"/>
        <v>5.478941540000001</v>
      </c>
      <c r="AX12" s="10">
        <f t="shared" si="13"/>
        <v>31182.338600383096</v>
      </c>
      <c r="AZ12" s="11">
        <f t="shared" si="14"/>
        <v>1.1923007531399996</v>
      </c>
      <c r="BA12" s="12">
        <f t="shared" si="15"/>
        <v>27085.812192816771</v>
      </c>
      <c r="BC12" s="13">
        <f t="shared" si="16"/>
        <v>3.5567097636929992</v>
      </c>
      <c r="BD12" s="14">
        <f t="shared" si="17"/>
        <v>29619.001499072579</v>
      </c>
      <c r="BF12" s="15">
        <f t="shared" si="18"/>
        <v>6.4572180266860011</v>
      </c>
      <c r="BG12" s="16">
        <f t="shared" si="19"/>
        <v>23904.471086628739</v>
      </c>
      <c r="BI12">
        <v>68</v>
      </c>
      <c r="BJ12" t="s">
        <v>37</v>
      </c>
      <c r="BK12" s="2">
        <v>46232.117812500001</v>
      </c>
      <c r="BL12">
        <v>120</v>
      </c>
      <c r="BM12" t="s">
        <v>13</v>
      </c>
      <c r="BN12">
        <v>0</v>
      </c>
      <c r="BO12">
        <v>2.7759999999999998</v>
      </c>
      <c r="BP12" s="3">
        <v>3274859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69</v>
      </c>
      <c r="B13" t="s">
        <v>38</v>
      </c>
      <c r="C13" s="2">
        <v>46232.139050925929</v>
      </c>
      <c r="D13">
        <v>246</v>
      </c>
      <c r="E13" t="s">
        <v>13</v>
      </c>
      <c r="F13">
        <v>0</v>
      </c>
      <c r="G13">
        <v>6.0570000000000004</v>
      </c>
      <c r="H13" s="3">
        <v>12820</v>
      </c>
      <c r="I13">
        <v>2.5999999999999999E-2</v>
      </c>
      <c r="J13" t="s">
        <v>14</v>
      </c>
      <c r="K13" t="s">
        <v>14</v>
      </c>
      <c r="L13" t="s">
        <v>14</v>
      </c>
      <c r="M13" t="s">
        <v>14</v>
      </c>
      <c r="O13">
        <v>69</v>
      </c>
      <c r="P13" t="s">
        <v>38</v>
      </c>
      <c r="Q13" s="2">
        <v>46232.139050925929</v>
      </c>
      <c r="R13">
        <v>246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69</v>
      </c>
      <c r="AD13" t="s">
        <v>38</v>
      </c>
      <c r="AE13" s="2">
        <v>46232.139050925929</v>
      </c>
      <c r="AF13">
        <v>246</v>
      </c>
      <c r="AG13" t="s">
        <v>13</v>
      </c>
      <c r="AH13">
        <v>0</v>
      </c>
      <c r="AI13">
        <v>12.317</v>
      </c>
      <c r="AJ13" s="3">
        <v>5918</v>
      </c>
      <c r="AK13">
        <v>1.103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69</v>
      </c>
      <c r="AT13" s="15">
        <f t="shared" si="10"/>
        <v>31.043737756640002</v>
      </c>
      <c r="AU13" s="16">
        <f t="shared" si="11"/>
        <v>1144.9760632919601</v>
      </c>
      <c r="AW13" s="9">
        <f t="shared" si="12"/>
        <v>28.332076265200001</v>
      </c>
      <c r="AX13" s="10">
        <f t="shared" si="13"/>
        <v>1406.2981355836</v>
      </c>
      <c r="AZ13" s="11">
        <f t="shared" si="14"/>
        <v>32.796715026880001</v>
      </c>
      <c r="BA13" s="12">
        <f t="shared" si="15"/>
        <v>1245.1956411047997</v>
      </c>
      <c r="BC13" s="13">
        <f t="shared" si="16"/>
        <v>37.519015318800001</v>
      </c>
      <c r="BD13" s="14">
        <f t="shared" si="17"/>
        <v>1211.8100349333201</v>
      </c>
      <c r="BF13" s="15">
        <f t="shared" si="18"/>
        <v>31.043737756640002</v>
      </c>
      <c r="BG13" s="16">
        <f t="shared" si="19"/>
        <v>1144.9760632919601</v>
      </c>
      <c r="BI13">
        <v>69</v>
      </c>
      <c r="BJ13" t="s">
        <v>38</v>
      </c>
      <c r="BK13" s="2">
        <v>46232.139050925929</v>
      </c>
      <c r="BL13">
        <v>246</v>
      </c>
      <c r="BM13" t="s">
        <v>13</v>
      </c>
      <c r="BN13">
        <v>0</v>
      </c>
      <c r="BO13">
        <v>2.88</v>
      </c>
      <c r="BP13" s="3">
        <v>827285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70</v>
      </c>
      <c r="B14" t="s">
        <v>39</v>
      </c>
      <c r="C14" s="2">
        <v>46232.16028935185</v>
      </c>
      <c r="D14">
        <v>68</v>
      </c>
      <c r="E14" t="s">
        <v>13</v>
      </c>
      <c r="F14">
        <v>0</v>
      </c>
      <c r="G14">
        <v>6.101</v>
      </c>
      <c r="H14" s="3">
        <v>1029</v>
      </c>
      <c r="I14">
        <v>2E-3</v>
      </c>
      <c r="J14" t="s">
        <v>14</v>
      </c>
      <c r="K14" t="s">
        <v>14</v>
      </c>
      <c r="L14" t="s">
        <v>14</v>
      </c>
      <c r="M14" t="s">
        <v>14</v>
      </c>
      <c r="O14">
        <v>70</v>
      </c>
      <c r="P14" t="s">
        <v>39</v>
      </c>
      <c r="Q14" s="2">
        <v>46232.16028935185</v>
      </c>
      <c r="R14">
        <v>68</v>
      </c>
      <c r="S14" t="s">
        <v>13</v>
      </c>
      <c r="T14">
        <v>0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70</v>
      </c>
      <c r="AD14" t="s">
        <v>39</v>
      </c>
      <c r="AE14" s="2">
        <v>46232.16028935185</v>
      </c>
      <c r="AF14">
        <v>68</v>
      </c>
      <c r="AG14" t="s">
        <v>13</v>
      </c>
      <c r="AH14">
        <v>0</v>
      </c>
      <c r="AI14">
        <v>12.173999999999999</v>
      </c>
      <c r="AJ14" s="3">
        <v>142582</v>
      </c>
      <c r="AK14">
        <v>24.434999999999999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70</v>
      </c>
      <c r="AT14" s="15">
        <f t="shared" si="10"/>
        <v>4.0656124645259997</v>
      </c>
      <c r="AU14" s="16">
        <f t="shared" si="11"/>
        <v>24964.309304848219</v>
      </c>
      <c r="AW14" s="9">
        <f t="shared" si="12"/>
        <v>8.3885891400000006</v>
      </c>
      <c r="AX14" s="10">
        <f t="shared" si="13"/>
        <v>32709.0796669884</v>
      </c>
      <c r="AZ14" s="11">
        <f t="shared" si="14"/>
        <v>-1.22636082526</v>
      </c>
      <c r="BA14" s="12">
        <f t="shared" si="15"/>
        <v>28375.445669822278</v>
      </c>
      <c r="BC14" s="13">
        <f t="shared" si="16"/>
        <v>0.32297073661299969</v>
      </c>
      <c r="BD14" s="14">
        <f t="shared" si="17"/>
        <v>30987.054764191118</v>
      </c>
      <c r="BF14" s="15">
        <f t="shared" si="18"/>
        <v>4.0656124645259997</v>
      </c>
      <c r="BG14" s="16">
        <f t="shared" si="19"/>
        <v>24964.309304848219</v>
      </c>
      <c r="BI14">
        <v>70</v>
      </c>
      <c r="BJ14" t="s">
        <v>39</v>
      </c>
      <c r="BK14" s="2">
        <v>46232.16028935185</v>
      </c>
      <c r="BL14">
        <v>68</v>
      </c>
      <c r="BM14" t="s">
        <v>13</v>
      </c>
      <c r="BN14">
        <v>0</v>
      </c>
      <c r="BO14">
        <v>2.8780000000000001</v>
      </c>
      <c r="BP14" s="3">
        <v>855230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71</v>
      </c>
      <c r="B15" t="s">
        <v>40</v>
      </c>
      <c r="C15" s="2">
        <v>46232.181539351855</v>
      </c>
      <c r="D15">
        <v>385</v>
      </c>
      <c r="E15" t="s">
        <v>13</v>
      </c>
      <c r="F15">
        <v>0</v>
      </c>
      <c r="G15">
        <v>6.0880000000000001</v>
      </c>
      <c r="H15" s="3">
        <v>1081</v>
      </c>
      <c r="I15">
        <v>2E-3</v>
      </c>
      <c r="J15" t="s">
        <v>14</v>
      </c>
      <c r="K15" t="s">
        <v>14</v>
      </c>
      <c r="L15" t="s">
        <v>14</v>
      </c>
      <c r="M15" t="s">
        <v>14</v>
      </c>
      <c r="O15">
        <v>71</v>
      </c>
      <c r="P15" t="s">
        <v>40</v>
      </c>
      <c r="Q15" s="2">
        <v>46232.181539351855</v>
      </c>
      <c r="R15">
        <v>385</v>
      </c>
      <c r="S15" t="s">
        <v>13</v>
      </c>
      <c r="T15">
        <v>0</v>
      </c>
      <c r="U15" t="s">
        <v>14</v>
      </c>
      <c r="V15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71</v>
      </c>
      <c r="AD15" t="s">
        <v>40</v>
      </c>
      <c r="AE15" s="2">
        <v>46232.181539351855</v>
      </c>
      <c r="AF15">
        <v>385</v>
      </c>
      <c r="AG15" t="s">
        <v>13</v>
      </c>
      <c r="AH15">
        <v>0</v>
      </c>
      <c r="AI15">
        <v>12.178000000000001</v>
      </c>
      <c r="AJ15" s="3">
        <v>135850</v>
      </c>
      <c r="AK15">
        <v>23.286999999999999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71</v>
      </c>
      <c r="AT15" s="15">
        <f t="shared" si="10"/>
        <v>4.2006649644460001</v>
      </c>
      <c r="AU15" s="16">
        <f t="shared" si="11"/>
        <v>23860.021427445248</v>
      </c>
      <c r="AW15" s="9">
        <f t="shared" si="12"/>
        <v>8.2000579400000007</v>
      </c>
      <c r="AX15" s="10">
        <f t="shared" si="13"/>
        <v>31118.226399749998</v>
      </c>
      <c r="AZ15" s="11">
        <f t="shared" si="14"/>
        <v>-1.0925354244600003</v>
      </c>
      <c r="BA15" s="12">
        <f t="shared" si="15"/>
        <v>27031.676003325003</v>
      </c>
      <c r="BC15" s="13">
        <f t="shared" si="16"/>
        <v>0.5049665885729997</v>
      </c>
      <c r="BD15" s="14">
        <f t="shared" si="17"/>
        <v>29561.600537049999</v>
      </c>
      <c r="BF15" s="15">
        <f t="shared" si="18"/>
        <v>4.2006649644460001</v>
      </c>
      <c r="BG15" s="16">
        <f t="shared" si="19"/>
        <v>23860.021427445248</v>
      </c>
      <c r="BI15">
        <v>71</v>
      </c>
      <c r="BJ15" t="s">
        <v>40</v>
      </c>
      <c r="BK15" s="2">
        <v>46232.181539351855</v>
      </c>
      <c r="BL15">
        <v>385</v>
      </c>
      <c r="BM15" t="s">
        <v>13</v>
      </c>
      <c r="BN15">
        <v>0</v>
      </c>
      <c r="BO15">
        <v>2.8769999999999998</v>
      </c>
      <c r="BP15" s="3">
        <v>871842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72</v>
      </c>
      <c r="B16" t="s">
        <v>41</v>
      </c>
      <c r="C16" s="2">
        <v>46232.20275462963</v>
      </c>
      <c r="D16">
        <v>167</v>
      </c>
      <c r="E16" t="s">
        <v>13</v>
      </c>
      <c r="F16">
        <v>0</v>
      </c>
      <c r="G16">
        <v>6.1059999999999999</v>
      </c>
      <c r="H16" s="3">
        <v>1049</v>
      </c>
      <c r="I16">
        <v>2E-3</v>
      </c>
      <c r="J16" t="s">
        <v>14</v>
      </c>
      <c r="K16" t="s">
        <v>14</v>
      </c>
      <c r="L16" t="s">
        <v>14</v>
      </c>
      <c r="M16" t="s">
        <v>14</v>
      </c>
      <c r="O16">
        <v>72</v>
      </c>
      <c r="P16" t="s">
        <v>41</v>
      </c>
      <c r="Q16" s="2">
        <v>46232.20275462963</v>
      </c>
      <c r="R16">
        <v>167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72</v>
      </c>
      <c r="AD16" t="s">
        <v>41</v>
      </c>
      <c r="AE16" s="2">
        <v>46232.20275462963</v>
      </c>
      <c r="AF16">
        <v>167</v>
      </c>
      <c r="AG16" t="s">
        <v>13</v>
      </c>
      <c r="AH16">
        <v>0</v>
      </c>
      <c r="AI16">
        <v>12.157</v>
      </c>
      <c r="AJ16" s="3">
        <v>141366</v>
      </c>
      <c r="AK16">
        <v>24.228000000000002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72</v>
      </c>
      <c r="AT16" s="15">
        <f t="shared" si="10"/>
        <v>4.1175581106860006</v>
      </c>
      <c r="AU16" s="16">
        <f t="shared" si="11"/>
        <v>24764.826663382952</v>
      </c>
      <c r="AW16" s="9">
        <f t="shared" si="12"/>
        <v>8.3157315399999998</v>
      </c>
      <c r="AX16" s="10">
        <f t="shared" si="13"/>
        <v>32421.998450399602</v>
      </c>
      <c r="AZ16" s="11">
        <f t="shared" si="14"/>
        <v>-1.1749260868599998</v>
      </c>
      <c r="BA16" s="12">
        <f t="shared" si="15"/>
        <v>28132.88196667732</v>
      </c>
      <c r="BC16" s="13">
        <f t="shared" si="16"/>
        <v>0.39296370569299999</v>
      </c>
      <c r="BD16" s="14">
        <f t="shared" si="17"/>
        <v>30729.646445947281</v>
      </c>
      <c r="BF16" s="15">
        <f t="shared" si="18"/>
        <v>4.1175581106860006</v>
      </c>
      <c r="BG16" s="16">
        <f t="shared" si="19"/>
        <v>24764.826663382952</v>
      </c>
      <c r="BI16">
        <v>72</v>
      </c>
      <c r="BJ16" t="s">
        <v>41</v>
      </c>
      <c r="BK16" s="2">
        <v>46232.20275462963</v>
      </c>
      <c r="BL16">
        <v>167</v>
      </c>
      <c r="BM16" t="s">
        <v>13</v>
      </c>
      <c r="BN16">
        <v>0</v>
      </c>
      <c r="BO16">
        <v>2.8769999999999998</v>
      </c>
      <c r="BP16" s="3">
        <v>870765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73</v>
      </c>
      <c r="B17" t="s">
        <v>42</v>
      </c>
      <c r="C17" s="2">
        <v>46232.223993055559</v>
      </c>
      <c r="D17">
        <v>76</v>
      </c>
      <c r="E17" t="s">
        <v>13</v>
      </c>
      <c r="F17">
        <v>0</v>
      </c>
      <c r="G17">
        <v>6.1120000000000001</v>
      </c>
      <c r="H17" s="3">
        <v>1175</v>
      </c>
      <c r="I17">
        <v>2E-3</v>
      </c>
      <c r="J17" t="s">
        <v>14</v>
      </c>
      <c r="K17" t="s">
        <v>14</v>
      </c>
      <c r="L17" t="s">
        <v>14</v>
      </c>
      <c r="M17" t="s">
        <v>14</v>
      </c>
      <c r="O17">
        <v>73</v>
      </c>
      <c r="P17" t="s">
        <v>42</v>
      </c>
      <c r="Q17" s="2">
        <v>46232.223993055559</v>
      </c>
      <c r="R17">
        <v>76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73</v>
      </c>
      <c r="AD17" t="s">
        <v>42</v>
      </c>
      <c r="AE17" s="2">
        <v>46232.223993055559</v>
      </c>
      <c r="AF17">
        <v>76</v>
      </c>
      <c r="AG17" t="s">
        <v>13</v>
      </c>
      <c r="AH17">
        <v>0</v>
      </c>
      <c r="AI17">
        <v>12.177</v>
      </c>
      <c r="AJ17" s="3">
        <v>135583</v>
      </c>
      <c r="AK17">
        <v>23.241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73</v>
      </c>
      <c r="AT17" s="15">
        <f t="shared" si="10"/>
        <v>4.4447473587499999</v>
      </c>
      <c r="AU17" s="16">
        <f t="shared" si="11"/>
        <v>23816.228179721595</v>
      </c>
      <c r="AW17" s="9">
        <f t="shared" si="12"/>
        <v>7.8666625000000003</v>
      </c>
      <c r="AX17" s="10">
        <f t="shared" si="13"/>
        <v>31055.054629539896</v>
      </c>
      <c r="AZ17" s="11">
        <f t="shared" si="14"/>
        <v>-0.84983608749999995</v>
      </c>
      <c r="BA17" s="12">
        <f t="shared" si="15"/>
        <v>26978.335420167328</v>
      </c>
      <c r="BC17" s="13">
        <f t="shared" si="16"/>
        <v>0.83407564812500024</v>
      </c>
      <c r="BD17" s="14">
        <f t="shared" si="17"/>
        <v>29505.045296178818</v>
      </c>
      <c r="BF17" s="15">
        <f t="shared" si="18"/>
        <v>4.4447473587499999</v>
      </c>
      <c r="BG17" s="16">
        <f t="shared" si="19"/>
        <v>23816.228179721595</v>
      </c>
      <c r="BI17">
        <v>73</v>
      </c>
      <c r="BJ17" t="s">
        <v>42</v>
      </c>
      <c r="BK17" s="2">
        <v>46232.223993055559</v>
      </c>
      <c r="BL17">
        <v>76</v>
      </c>
      <c r="BM17" t="s">
        <v>13</v>
      </c>
      <c r="BN17">
        <v>0</v>
      </c>
      <c r="BO17">
        <v>2.8769999999999998</v>
      </c>
      <c r="BP17" s="3">
        <v>869970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74</v>
      </c>
      <c r="B18" t="s">
        <v>43</v>
      </c>
      <c r="C18" s="2">
        <v>46232.245219907411</v>
      </c>
      <c r="D18">
        <v>151</v>
      </c>
      <c r="E18" t="s">
        <v>13</v>
      </c>
      <c r="F18">
        <v>0</v>
      </c>
      <c r="G18">
        <v>6.1</v>
      </c>
      <c r="H18" s="3">
        <v>1066</v>
      </c>
      <c r="I18">
        <v>2E-3</v>
      </c>
      <c r="J18" t="s">
        <v>14</v>
      </c>
      <c r="K18" t="s">
        <v>14</v>
      </c>
      <c r="L18" t="s">
        <v>14</v>
      </c>
      <c r="M18" t="s">
        <v>14</v>
      </c>
      <c r="O18">
        <v>74</v>
      </c>
      <c r="P18" t="s">
        <v>43</v>
      </c>
      <c r="Q18" s="2">
        <v>46232.245219907411</v>
      </c>
      <c r="R18">
        <v>151</v>
      </c>
      <c r="S18" t="s">
        <v>13</v>
      </c>
      <c r="T18">
        <v>0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74</v>
      </c>
      <c r="AD18" t="s">
        <v>43</v>
      </c>
      <c r="AE18" s="2">
        <v>46232.245219907411</v>
      </c>
      <c r="AF18">
        <v>151</v>
      </c>
      <c r="AG18" t="s">
        <v>13</v>
      </c>
      <c r="AH18">
        <v>0</v>
      </c>
      <c r="AI18">
        <v>12.17</v>
      </c>
      <c r="AJ18" s="3">
        <v>140832</v>
      </c>
      <c r="AK18">
        <v>24.137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74</v>
      </c>
      <c r="AT18" s="15">
        <f t="shared" si="10"/>
        <v>4.1617095738160002</v>
      </c>
      <c r="AU18" s="16">
        <f t="shared" si="11"/>
        <v>24677.22704466217</v>
      </c>
      <c r="AW18" s="9">
        <f t="shared" si="12"/>
        <v>8.2541422400000002</v>
      </c>
      <c r="AX18" s="10">
        <f t="shared" si="13"/>
        <v>32295.890024038403</v>
      </c>
      <c r="AZ18" s="11">
        <f t="shared" si="14"/>
        <v>-1.1311706181600001</v>
      </c>
      <c r="BA18" s="12">
        <f t="shared" si="15"/>
        <v>28026.33893705728</v>
      </c>
      <c r="BC18" s="13">
        <f t="shared" si="16"/>
        <v>0.45246307150799936</v>
      </c>
      <c r="BD18" s="14">
        <f t="shared" si="17"/>
        <v>30616.597013381121</v>
      </c>
      <c r="BF18" s="15">
        <f t="shared" si="18"/>
        <v>4.1617095738160002</v>
      </c>
      <c r="BG18" s="16">
        <f t="shared" si="19"/>
        <v>24677.22704466217</v>
      </c>
      <c r="BI18">
        <v>74</v>
      </c>
      <c r="BJ18" t="s">
        <v>43</v>
      </c>
      <c r="BK18" s="2">
        <v>46232.245219907411</v>
      </c>
      <c r="BL18">
        <v>151</v>
      </c>
      <c r="BM18" t="s">
        <v>13</v>
      </c>
      <c r="BN18">
        <v>0</v>
      </c>
      <c r="BO18">
        <v>2.8740000000000001</v>
      </c>
      <c r="BP18" s="3">
        <v>937440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75</v>
      </c>
      <c r="B19" t="s">
        <v>44</v>
      </c>
      <c r="C19" s="2">
        <v>46232.266446759262</v>
      </c>
      <c r="D19">
        <v>205</v>
      </c>
      <c r="E19" t="s">
        <v>13</v>
      </c>
      <c r="F19">
        <v>0</v>
      </c>
      <c r="G19">
        <v>5.9669999999999996</v>
      </c>
      <c r="H19" s="3">
        <v>28488150</v>
      </c>
      <c r="I19">
        <v>62.396999999999998</v>
      </c>
      <c r="J19" t="s">
        <v>14</v>
      </c>
      <c r="K19" t="s">
        <v>14</v>
      </c>
      <c r="L19" t="s">
        <v>14</v>
      </c>
      <c r="M19" t="s">
        <v>14</v>
      </c>
      <c r="O19">
        <v>75</v>
      </c>
      <c r="P19" t="s">
        <v>44</v>
      </c>
      <c r="Q19" s="2">
        <v>46232.266446759262</v>
      </c>
      <c r="R19">
        <v>205</v>
      </c>
      <c r="S19" t="s">
        <v>13</v>
      </c>
      <c r="T19">
        <v>0</v>
      </c>
      <c r="U19">
        <v>5.9269999999999996</v>
      </c>
      <c r="V19" s="3">
        <v>259476</v>
      </c>
      <c r="W19">
        <v>58.948999999999998</v>
      </c>
      <c r="X19" t="s">
        <v>14</v>
      </c>
      <c r="Y19" t="s">
        <v>14</v>
      </c>
      <c r="Z19" t="s">
        <v>14</v>
      </c>
      <c r="AA19" t="s">
        <v>14</v>
      </c>
      <c r="AC19">
        <v>75</v>
      </c>
      <c r="AD19" t="s">
        <v>44</v>
      </c>
      <c r="AE19" s="2">
        <v>46232.266446759262</v>
      </c>
      <c r="AF19">
        <v>205</v>
      </c>
      <c r="AG19" t="s">
        <v>13</v>
      </c>
      <c r="AH19">
        <v>0</v>
      </c>
      <c r="AI19">
        <v>12.231999999999999</v>
      </c>
      <c r="AJ19" s="3">
        <v>89260</v>
      </c>
      <c r="AK19">
        <v>15.336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75</v>
      </c>
      <c r="AT19" s="15">
        <f t="shared" si="10"/>
        <v>58851.705854416927</v>
      </c>
      <c r="AU19" s="16">
        <f t="shared" si="11"/>
        <v>16223.27265783604</v>
      </c>
      <c r="AW19" s="9">
        <f t="shared" si="12"/>
        <v>64177.038108479996</v>
      </c>
      <c r="AX19" s="10">
        <f t="shared" si="13"/>
        <v>20006.837483160001</v>
      </c>
      <c r="AZ19" s="11">
        <f t="shared" si="14"/>
        <v>69104.137968144001</v>
      </c>
      <c r="BA19" s="12">
        <f t="shared" si="15"/>
        <v>17672.182637171998</v>
      </c>
      <c r="BC19" s="13">
        <f t="shared" si="16"/>
        <v>63103.750162999357</v>
      </c>
      <c r="BD19" s="14">
        <f t="shared" si="17"/>
        <v>19670.108768487997</v>
      </c>
      <c r="BF19" s="15">
        <f t="shared" si="18"/>
        <v>58851.705854416927</v>
      </c>
      <c r="BG19" s="16">
        <f t="shared" si="19"/>
        <v>16223.27265783604</v>
      </c>
      <c r="BI19">
        <v>75</v>
      </c>
      <c r="BJ19" t="s">
        <v>44</v>
      </c>
      <c r="BK19" s="2">
        <v>46232.266446759262</v>
      </c>
      <c r="BL19">
        <v>205</v>
      </c>
      <c r="BM19" t="s">
        <v>13</v>
      </c>
      <c r="BN19">
        <v>0</v>
      </c>
      <c r="BO19">
        <v>2.9020000000000001</v>
      </c>
      <c r="BP19" s="3">
        <v>520815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76</v>
      </c>
      <c r="B20" t="s">
        <v>45</v>
      </c>
      <c r="C20" s="2">
        <v>46232.287662037037</v>
      </c>
      <c r="D20">
        <v>14</v>
      </c>
      <c r="E20" t="s">
        <v>13</v>
      </c>
      <c r="F20">
        <v>0</v>
      </c>
      <c r="G20">
        <v>6.06</v>
      </c>
      <c r="H20" s="3">
        <v>6760</v>
      </c>
      <c r="I20">
        <v>1.4E-2</v>
      </c>
      <c r="J20" t="s">
        <v>14</v>
      </c>
      <c r="K20" t="s">
        <v>14</v>
      </c>
      <c r="L20" t="s">
        <v>14</v>
      </c>
      <c r="M20" t="s">
        <v>14</v>
      </c>
      <c r="O20">
        <v>76</v>
      </c>
      <c r="P20" t="s">
        <v>45</v>
      </c>
      <c r="Q20" s="2">
        <v>46232.287662037037</v>
      </c>
      <c r="R20">
        <v>14</v>
      </c>
      <c r="S20" t="s">
        <v>13</v>
      </c>
      <c r="T20">
        <v>0</v>
      </c>
      <c r="U20" t="s">
        <v>14</v>
      </c>
      <c r="V20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76</v>
      </c>
      <c r="AD20" t="s">
        <v>45</v>
      </c>
      <c r="AE20" s="2">
        <v>46232.287662037037</v>
      </c>
      <c r="AF20">
        <v>14</v>
      </c>
      <c r="AG20" t="s">
        <v>13</v>
      </c>
      <c r="AH20">
        <v>0</v>
      </c>
      <c r="AI20">
        <v>12.319000000000001</v>
      </c>
      <c r="AJ20" s="3">
        <v>9271</v>
      </c>
      <c r="AK20">
        <v>1.6759999999999999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76</v>
      </c>
      <c r="AT20" s="15">
        <f t="shared" si="10"/>
        <v>18.829079113599999</v>
      </c>
      <c r="AU20" s="16">
        <f t="shared" si="11"/>
        <v>1769.4509020733901</v>
      </c>
      <c r="AW20" s="9">
        <f t="shared" si="12"/>
        <v>5.1853040000000039</v>
      </c>
      <c r="AX20" s="10">
        <f t="shared" si="13"/>
        <v>2201.2015477599002</v>
      </c>
      <c r="AZ20" s="11">
        <f t="shared" si="14"/>
        <v>15.382440863999999</v>
      </c>
      <c r="BA20" s="12">
        <f t="shared" si="15"/>
        <v>1929.5151038281997</v>
      </c>
      <c r="BC20" s="13">
        <f t="shared" si="16"/>
        <v>20.657429716799996</v>
      </c>
      <c r="BD20" s="14">
        <f t="shared" si="17"/>
        <v>1972.7890627901297</v>
      </c>
      <c r="BF20" s="15">
        <f t="shared" si="18"/>
        <v>18.829079113599999</v>
      </c>
      <c r="BG20" s="16">
        <f t="shared" si="19"/>
        <v>1769.4509020733901</v>
      </c>
      <c r="BI20">
        <v>76</v>
      </c>
      <c r="BJ20" t="s">
        <v>45</v>
      </c>
      <c r="BK20" s="2">
        <v>46232.287662037037</v>
      </c>
      <c r="BL20">
        <v>14</v>
      </c>
      <c r="BM20" t="s">
        <v>13</v>
      </c>
      <c r="BN20">
        <v>0</v>
      </c>
      <c r="BO20">
        <v>2.8820000000000001</v>
      </c>
      <c r="BP20" s="3">
        <v>803246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77</v>
      </c>
      <c r="B21" t="s">
        <v>46</v>
      </c>
      <c r="C21" s="2">
        <v>46232.308865740742</v>
      </c>
      <c r="D21">
        <v>164</v>
      </c>
      <c r="E21" t="s">
        <v>13</v>
      </c>
      <c r="F21">
        <v>0</v>
      </c>
      <c r="G21">
        <v>6.0570000000000004</v>
      </c>
      <c r="H21" s="3">
        <v>1291928</v>
      </c>
      <c r="I21">
        <v>2.629</v>
      </c>
      <c r="J21" t="s">
        <v>14</v>
      </c>
      <c r="K21" t="s">
        <v>14</v>
      </c>
      <c r="L21" t="s">
        <v>14</v>
      </c>
      <c r="M21" t="s">
        <v>14</v>
      </c>
      <c r="O21">
        <v>77</v>
      </c>
      <c r="P21" t="s">
        <v>46</v>
      </c>
      <c r="Q21" s="2">
        <v>46232.308865740742</v>
      </c>
      <c r="R21">
        <v>164</v>
      </c>
      <c r="S21" t="s">
        <v>13</v>
      </c>
      <c r="T21">
        <v>0</v>
      </c>
      <c r="U21">
        <v>6.0049999999999999</v>
      </c>
      <c r="V21" s="3">
        <v>11620</v>
      </c>
      <c r="W21">
        <v>2.7949999999999999</v>
      </c>
      <c r="X21" t="s">
        <v>14</v>
      </c>
      <c r="Y21" t="s">
        <v>14</v>
      </c>
      <c r="Z21" t="s">
        <v>14</v>
      </c>
      <c r="AA21" t="s">
        <v>14</v>
      </c>
      <c r="AC21">
        <v>77</v>
      </c>
      <c r="AD21" t="s">
        <v>46</v>
      </c>
      <c r="AE21" s="2">
        <v>46232.308865740742</v>
      </c>
      <c r="AF21">
        <v>164</v>
      </c>
      <c r="AG21" t="s">
        <v>13</v>
      </c>
      <c r="AH21">
        <v>0</v>
      </c>
      <c r="AI21">
        <v>12.305</v>
      </c>
      <c r="AJ21" s="3">
        <v>27497</v>
      </c>
      <c r="AK21">
        <v>4.79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77</v>
      </c>
      <c r="AT21" s="15">
        <f t="shared" si="10"/>
        <v>2484.3648691200483</v>
      </c>
      <c r="AU21" s="16">
        <f t="shared" si="11"/>
        <v>5178.00318247211</v>
      </c>
      <c r="AW21" s="9">
        <f t="shared" si="12"/>
        <v>2629.3954699963779</v>
      </c>
      <c r="AX21" s="10">
        <f t="shared" si="13"/>
        <v>6342.6976273950995</v>
      </c>
      <c r="AZ21" s="11">
        <f t="shared" si="14"/>
        <v>2915.2534206654591</v>
      </c>
      <c r="BA21" s="12">
        <f t="shared" si="15"/>
        <v>5625.7711164617995</v>
      </c>
      <c r="BC21" s="13">
        <f t="shared" si="16"/>
        <v>2819.9094834963184</v>
      </c>
      <c r="BD21" s="14">
        <f t="shared" si="17"/>
        <v>6089.9658086083709</v>
      </c>
      <c r="BF21" s="15">
        <f t="shared" si="18"/>
        <v>2484.3648691200483</v>
      </c>
      <c r="BG21" s="16">
        <f t="shared" si="19"/>
        <v>5178.00318247211</v>
      </c>
      <c r="BI21">
        <v>77</v>
      </c>
      <c r="BJ21" t="s">
        <v>46</v>
      </c>
      <c r="BK21" s="2">
        <v>46232.308865740742</v>
      </c>
      <c r="BL21">
        <v>164</v>
      </c>
      <c r="BM21" t="s">
        <v>13</v>
      </c>
      <c r="BN21">
        <v>0</v>
      </c>
      <c r="BO21">
        <v>2.8959999999999999</v>
      </c>
      <c r="BP21" s="3">
        <v>689076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78</v>
      </c>
      <c r="B22" t="s">
        <v>47</v>
      </c>
      <c r="C22" s="2">
        <v>46232.330104166664</v>
      </c>
      <c r="D22">
        <v>365</v>
      </c>
      <c r="E22" t="s">
        <v>13</v>
      </c>
      <c r="F22">
        <v>0</v>
      </c>
      <c r="G22">
        <v>6.0620000000000003</v>
      </c>
      <c r="H22" s="3">
        <v>5208</v>
      </c>
      <c r="I22">
        <v>1.0999999999999999E-2</v>
      </c>
      <c r="J22" t="s">
        <v>14</v>
      </c>
      <c r="K22" t="s">
        <v>14</v>
      </c>
      <c r="L22" t="s">
        <v>14</v>
      </c>
      <c r="M22" t="s">
        <v>14</v>
      </c>
      <c r="O22">
        <v>78</v>
      </c>
      <c r="P22" t="s">
        <v>47</v>
      </c>
      <c r="Q22" s="2">
        <v>46232.330104166664</v>
      </c>
      <c r="R22">
        <v>365</v>
      </c>
      <c r="S22" t="s">
        <v>13</v>
      </c>
      <c r="T22">
        <v>0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78</v>
      </c>
      <c r="AD22" t="s">
        <v>47</v>
      </c>
      <c r="AE22" s="2">
        <v>46232.330104166664</v>
      </c>
      <c r="AF22">
        <v>365</v>
      </c>
      <c r="AG22" t="s">
        <v>13</v>
      </c>
      <c r="AH22">
        <v>0</v>
      </c>
      <c r="AI22">
        <v>12.311</v>
      </c>
      <c r="AJ22" s="3">
        <v>8732</v>
      </c>
      <c r="AK22">
        <v>1.5840000000000001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78</v>
      </c>
      <c r="AT22" s="15">
        <f t="shared" si="10"/>
        <v>14.855104197504</v>
      </c>
      <c r="AU22" s="16">
        <f t="shared" si="11"/>
        <v>1669.01130962096</v>
      </c>
      <c r="AW22" s="9">
        <f t="shared" si="12"/>
        <v>2.5504425600000005</v>
      </c>
      <c r="AX22" s="10">
        <f t="shared" si="13"/>
        <v>2074.1113674736002</v>
      </c>
      <c r="AZ22" s="11">
        <f t="shared" si="14"/>
        <v>10.51404730496</v>
      </c>
      <c r="BA22" s="12">
        <f t="shared" si="15"/>
        <v>1819.6003801247998</v>
      </c>
      <c r="BC22" s="13">
        <f t="shared" si="16"/>
        <v>15.095613881152</v>
      </c>
      <c r="BD22" s="14">
        <f t="shared" si="17"/>
        <v>1850.5349192763201</v>
      </c>
      <c r="BF22" s="15">
        <f t="shared" si="18"/>
        <v>14.855104197504</v>
      </c>
      <c r="BG22" s="16">
        <f t="shared" si="19"/>
        <v>1669.01130962096</v>
      </c>
      <c r="BI22">
        <v>78</v>
      </c>
      <c r="BJ22" t="s">
        <v>47</v>
      </c>
      <c r="BK22" s="2">
        <v>46232.330104166664</v>
      </c>
      <c r="BL22">
        <v>365</v>
      </c>
      <c r="BM22" t="s">
        <v>13</v>
      </c>
      <c r="BN22">
        <v>0</v>
      </c>
      <c r="BO22">
        <v>2.8769999999999998</v>
      </c>
      <c r="BP22" s="3">
        <v>878754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79</v>
      </c>
      <c r="B23" t="s">
        <v>48</v>
      </c>
      <c r="C23" s="2">
        <v>46232.351342592592</v>
      </c>
      <c r="D23">
        <v>362</v>
      </c>
      <c r="E23" t="s">
        <v>13</v>
      </c>
      <c r="F23">
        <v>0</v>
      </c>
      <c r="G23">
        <v>6.048</v>
      </c>
      <c r="H23" s="3">
        <v>1314692</v>
      </c>
      <c r="I23">
        <v>2.6760000000000002</v>
      </c>
      <c r="J23" t="s">
        <v>14</v>
      </c>
      <c r="K23" t="s">
        <v>14</v>
      </c>
      <c r="L23" t="s">
        <v>14</v>
      </c>
      <c r="M23" t="s">
        <v>14</v>
      </c>
      <c r="O23">
        <v>79</v>
      </c>
      <c r="P23" t="s">
        <v>48</v>
      </c>
      <c r="Q23" s="2">
        <v>46232.351342592592</v>
      </c>
      <c r="R23">
        <v>362</v>
      </c>
      <c r="S23" t="s">
        <v>13</v>
      </c>
      <c r="T23">
        <v>0</v>
      </c>
      <c r="U23">
        <v>5.9989999999999997</v>
      </c>
      <c r="V23" s="3">
        <v>12383</v>
      </c>
      <c r="W23">
        <v>2.968</v>
      </c>
      <c r="X23" t="s">
        <v>14</v>
      </c>
      <c r="Y23" t="s">
        <v>14</v>
      </c>
      <c r="Z23" t="s">
        <v>14</v>
      </c>
      <c r="AA23" t="s">
        <v>14</v>
      </c>
      <c r="AC23">
        <v>79</v>
      </c>
      <c r="AD23" t="s">
        <v>48</v>
      </c>
      <c r="AE23" s="2">
        <v>46232.351342592592</v>
      </c>
      <c r="AF23">
        <v>362</v>
      </c>
      <c r="AG23" t="s">
        <v>13</v>
      </c>
      <c r="AH23">
        <v>0</v>
      </c>
      <c r="AI23">
        <v>12.295</v>
      </c>
      <c r="AJ23" s="3">
        <v>27656</v>
      </c>
      <c r="AK23">
        <v>4.8170000000000002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79</v>
      </c>
      <c r="AT23" s="15">
        <f t="shared" si="10"/>
        <v>2525.4242813560963</v>
      </c>
      <c r="AU23" s="16">
        <f t="shared" si="11"/>
        <v>5207.8433366854406</v>
      </c>
      <c r="AW23" s="9">
        <f t="shared" si="12"/>
        <v>2672.4539599795298</v>
      </c>
      <c r="AX23" s="10">
        <f t="shared" si="13"/>
        <v>6377.4939373504003</v>
      </c>
      <c r="AZ23" s="11">
        <f t="shared" si="14"/>
        <v>2963.6687826598431</v>
      </c>
      <c r="BA23" s="12">
        <f t="shared" si="15"/>
        <v>5657.8417107072</v>
      </c>
      <c r="BC23" s="13">
        <f t="shared" si="16"/>
        <v>2866.3641796352485</v>
      </c>
      <c r="BD23" s="14">
        <f t="shared" si="17"/>
        <v>6125.7397977324799</v>
      </c>
      <c r="BF23" s="15">
        <f t="shared" si="18"/>
        <v>2525.4242813560963</v>
      </c>
      <c r="BG23" s="16">
        <f t="shared" si="19"/>
        <v>5207.8433366854406</v>
      </c>
      <c r="BI23">
        <v>79</v>
      </c>
      <c r="BJ23" t="s">
        <v>48</v>
      </c>
      <c r="BK23" s="2">
        <v>46232.351342592592</v>
      </c>
      <c r="BL23">
        <v>362</v>
      </c>
      <c r="BM23" t="s">
        <v>13</v>
      </c>
      <c r="BN23">
        <v>0</v>
      </c>
      <c r="BO23">
        <v>2.8879999999999999</v>
      </c>
      <c r="BP23" s="3">
        <v>676658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80</v>
      </c>
      <c r="B24" t="s">
        <v>49</v>
      </c>
      <c r="C24" s="2">
        <v>46232.37259259259</v>
      </c>
      <c r="D24">
        <v>279</v>
      </c>
      <c r="E24" t="s">
        <v>13</v>
      </c>
      <c r="F24">
        <v>0</v>
      </c>
      <c r="G24">
        <v>6.0970000000000004</v>
      </c>
      <c r="H24" s="3">
        <v>1410</v>
      </c>
      <c r="I24">
        <v>3.0000000000000001E-3</v>
      </c>
      <c r="J24" t="s">
        <v>14</v>
      </c>
      <c r="K24" t="s">
        <v>14</v>
      </c>
      <c r="L24" t="s">
        <v>14</v>
      </c>
      <c r="M24" t="s">
        <v>14</v>
      </c>
      <c r="O24">
        <v>80</v>
      </c>
      <c r="P24" t="s">
        <v>49</v>
      </c>
      <c r="Q24" s="2">
        <v>46232.37259259259</v>
      </c>
      <c r="R24">
        <v>279</v>
      </c>
      <c r="S24" t="s">
        <v>13</v>
      </c>
      <c r="T24">
        <v>0</v>
      </c>
      <c r="U24" t="s">
        <v>14</v>
      </c>
      <c r="V24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80</v>
      </c>
      <c r="AD24" t="s">
        <v>49</v>
      </c>
      <c r="AE24" s="2">
        <v>46232.37259259259</v>
      </c>
      <c r="AF24">
        <v>279</v>
      </c>
      <c r="AG24" t="s">
        <v>13</v>
      </c>
      <c r="AH24">
        <v>0</v>
      </c>
      <c r="AI24">
        <v>12.201000000000001</v>
      </c>
      <c r="AJ24" s="3">
        <v>116390</v>
      </c>
      <c r="AK24">
        <v>19.966000000000001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80</v>
      </c>
      <c r="AT24" s="15">
        <f t="shared" si="10"/>
        <v>5.0546661966000004</v>
      </c>
      <c r="AU24" s="16">
        <f t="shared" si="11"/>
        <v>20669.05160642109</v>
      </c>
      <c r="AW24" s="9">
        <f t="shared" si="12"/>
        <v>7.0749240000000002</v>
      </c>
      <c r="AX24" s="10">
        <f t="shared" si="13"/>
        <v>26498.745747109999</v>
      </c>
      <c r="AZ24" s="11">
        <f t="shared" si="14"/>
        <v>-0.23866996600000023</v>
      </c>
      <c r="BA24" s="12">
        <f t="shared" si="15"/>
        <v>23135.031430637002</v>
      </c>
      <c r="BC24" s="13">
        <f t="shared" si="16"/>
        <v>1.6575049332999994</v>
      </c>
      <c r="BD24" s="14">
        <f t="shared" si="17"/>
        <v>25435.667767097999</v>
      </c>
      <c r="BF24" s="15">
        <f t="shared" si="18"/>
        <v>5.0546661966000004</v>
      </c>
      <c r="BG24" s="16">
        <f t="shared" si="19"/>
        <v>20669.05160642109</v>
      </c>
      <c r="BI24">
        <v>80</v>
      </c>
      <c r="BJ24" t="s">
        <v>49</v>
      </c>
      <c r="BK24" s="2">
        <v>46232.37259259259</v>
      </c>
      <c r="BL24">
        <v>279</v>
      </c>
      <c r="BM24" t="s">
        <v>13</v>
      </c>
      <c r="BN24">
        <v>0</v>
      </c>
      <c r="BO24">
        <v>2.8759999999999999</v>
      </c>
      <c r="BP24" s="3">
        <v>897862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81</v>
      </c>
      <c r="B25" t="s">
        <v>50</v>
      </c>
      <c r="C25" s="2">
        <v>46232.393819444442</v>
      </c>
      <c r="D25">
        <v>278</v>
      </c>
      <c r="E25" t="s">
        <v>13</v>
      </c>
      <c r="F25">
        <v>0</v>
      </c>
      <c r="G25">
        <v>5.9870000000000001</v>
      </c>
      <c r="H25" s="3">
        <v>20433853</v>
      </c>
      <c r="I25">
        <v>43.713000000000001</v>
      </c>
      <c r="J25" t="s">
        <v>14</v>
      </c>
      <c r="K25" t="s">
        <v>14</v>
      </c>
      <c r="L25" t="s">
        <v>14</v>
      </c>
      <c r="M25" t="s">
        <v>14</v>
      </c>
      <c r="O25">
        <v>81</v>
      </c>
      <c r="P25" t="s">
        <v>50</v>
      </c>
      <c r="Q25" s="2">
        <v>46232.393819444442</v>
      </c>
      <c r="R25">
        <v>278</v>
      </c>
      <c r="S25" t="s">
        <v>13</v>
      </c>
      <c r="T25">
        <v>0</v>
      </c>
      <c r="U25">
        <v>5.944</v>
      </c>
      <c r="V25" s="3">
        <v>173474</v>
      </c>
      <c r="W25">
        <v>39.491</v>
      </c>
      <c r="X25" t="s">
        <v>14</v>
      </c>
      <c r="Y25" t="s">
        <v>14</v>
      </c>
      <c r="Z25" t="s">
        <v>14</v>
      </c>
      <c r="AA25" t="s">
        <v>14</v>
      </c>
      <c r="AC25">
        <v>81</v>
      </c>
      <c r="AD25" t="s">
        <v>50</v>
      </c>
      <c r="AE25" s="2">
        <v>46232.393819444442</v>
      </c>
      <c r="AF25">
        <v>278</v>
      </c>
      <c r="AG25" t="s">
        <v>13</v>
      </c>
      <c r="AH25">
        <v>0</v>
      </c>
      <c r="AI25">
        <v>12.205</v>
      </c>
      <c r="AJ25" s="3">
        <v>94108</v>
      </c>
      <c r="AK25">
        <v>16.164000000000001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81</v>
      </c>
      <c r="AT25" s="15">
        <f t="shared" si="10"/>
        <v>40067.480543526726</v>
      </c>
      <c r="AU25" s="16">
        <f t="shared" si="11"/>
        <v>17017.465283029345</v>
      </c>
      <c r="AW25" s="9">
        <f t="shared" si="12"/>
        <v>42862.216426480001</v>
      </c>
      <c r="AX25" s="10">
        <f t="shared" si="13"/>
        <v>21171.3282893424</v>
      </c>
      <c r="AZ25" s="11">
        <f t="shared" si="14"/>
        <v>46427.255311043999</v>
      </c>
      <c r="BA25" s="12">
        <f t="shared" si="15"/>
        <v>18650.96313459408</v>
      </c>
      <c r="BC25" s="13">
        <f t="shared" si="16"/>
        <v>42711.825661225361</v>
      </c>
      <c r="BD25" s="14">
        <f t="shared" si="17"/>
        <v>20701.53352764832</v>
      </c>
      <c r="BF25" s="15">
        <f t="shared" si="18"/>
        <v>40067.480543526726</v>
      </c>
      <c r="BG25" s="16">
        <f t="shared" si="19"/>
        <v>17017.465283029345</v>
      </c>
      <c r="BI25">
        <v>81</v>
      </c>
      <c r="BJ25" t="s">
        <v>50</v>
      </c>
      <c r="BK25" s="2">
        <v>46232.393819444442</v>
      </c>
      <c r="BL25">
        <v>278</v>
      </c>
      <c r="BM25" t="s">
        <v>13</v>
      </c>
      <c r="BN25">
        <v>0</v>
      </c>
      <c r="BO25">
        <v>2.8919999999999999</v>
      </c>
      <c r="BP25" s="3">
        <v>569474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82</v>
      </c>
      <c r="B26" t="s">
        <v>51</v>
      </c>
      <c r="C26" s="2">
        <v>46232.415081018517</v>
      </c>
      <c r="D26">
        <v>333</v>
      </c>
      <c r="E26" t="s">
        <v>13</v>
      </c>
      <c r="F26">
        <v>0</v>
      </c>
      <c r="G26">
        <v>6.0750000000000002</v>
      </c>
      <c r="H26" s="3">
        <v>2583</v>
      </c>
      <c r="I26">
        <v>5.0000000000000001E-3</v>
      </c>
      <c r="J26" t="s">
        <v>14</v>
      </c>
      <c r="K26" t="s">
        <v>14</v>
      </c>
      <c r="L26" t="s">
        <v>14</v>
      </c>
      <c r="M26" t="s">
        <v>14</v>
      </c>
      <c r="O26">
        <v>82</v>
      </c>
      <c r="P26" t="s">
        <v>51</v>
      </c>
      <c r="Q26" s="2">
        <v>46232.415081018517</v>
      </c>
      <c r="R26">
        <v>333</v>
      </c>
      <c r="S26" t="s">
        <v>13</v>
      </c>
      <c r="T26">
        <v>0</v>
      </c>
      <c r="U26" t="s">
        <v>14</v>
      </c>
      <c r="V26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82</v>
      </c>
      <c r="AD26" t="s">
        <v>51</v>
      </c>
      <c r="AE26" s="2">
        <v>46232.415081018517</v>
      </c>
      <c r="AF26">
        <v>333</v>
      </c>
      <c r="AG26" t="s">
        <v>13</v>
      </c>
      <c r="AH26">
        <v>0</v>
      </c>
      <c r="AI26">
        <v>12.198</v>
      </c>
      <c r="AJ26" s="3">
        <v>130833</v>
      </c>
      <c r="AK26">
        <v>22.431000000000001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82</v>
      </c>
      <c r="AT26" s="15">
        <f t="shared" si="10"/>
        <v>8.0929356042540004</v>
      </c>
      <c r="AU26" s="16">
        <f t="shared" si="11"/>
        <v>23037.189224561196</v>
      </c>
      <c r="AW26" s="9">
        <f t="shared" si="12"/>
        <v>4.0148250600000015</v>
      </c>
      <c r="AX26" s="10">
        <f t="shared" si="13"/>
        <v>29930.2375979399</v>
      </c>
      <c r="AZ26" s="11">
        <f t="shared" si="14"/>
        <v>2.9063307374600003</v>
      </c>
      <c r="BA26" s="12">
        <f t="shared" si="15"/>
        <v>26028.81980844733</v>
      </c>
      <c r="BC26" s="13">
        <f t="shared" si="16"/>
        <v>5.7816703532769989</v>
      </c>
      <c r="BD26" s="14">
        <f t="shared" si="17"/>
        <v>28498.659651298818</v>
      </c>
      <c r="BF26" s="15">
        <f t="shared" si="18"/>
        <v>8.0929356042540004</v>
      </c>
      <c r="BG26" s="16">
        <f t="shared" si="19"/>
        <v>23037.189224561196</v>
      </c>
      <c r="BI26">
        <v>82</v>
      </c>
      <c r="BJ26" t="s">
        <v>51</v>
      </c>
      <c r="BK26" s="2">
        <v>46232.415081018517</v>
      </c>
      <c r="BL26">
        <v>333</v>
      </c>
      <c r="BM26" t="s">
        <v>13</v>
      </c>
      <c r="BN26">
        <v>0</v>
      </c>
      <c r="BO26">
        <v>2.8780000000000001</v>
      </c>
      <c r="BP26" s="3">
        <v>841674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83</v>
      </c>
      <c r="B27" t="s">
        <v>52</v>
      </c>
      <c r="C27" s="2">
        <v>46232.436319444445</v>
      </c>
      <c r="D27">
        <v>223</v>
      </c>
      <c r="E27" t="s">
        <v>13</v>
      </c>
      <c r="F27">
        <v>0</v>
      </c>
      <c r="G27">
        <v>6.0540000000000003</v>
      </c>
      <c r="H27" s="3">
        <v>50285</v>
      </c>
      <c r="I27">
        <v>0.10199999999999999</v>
      </c>
      <c r="J27" t="s">
        <v>14</v>
      </c>
      <c r="K27" t="s">
        <v>14</v>
      </c>
      <c r="L27" t="s">
        <v>14</v>
      </c>
      <c r="M27" t="s">
        <v>14</v>
      </c>
      <c r="O27">
        <v>83</v>
      </c>
      <c r="P27" t="s">
        <v>52</v>
      </c>
      <c r="Q27" s="2">
        <v>46232.436319444445</v>
      </c>
      <c r="R27">
        <v>223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83</v>
      </c>
      <c r="AD27" t="s">
        <v>52</v>
      </c>
      <c r="AE27" s="2">
        <v>46232.436319444445</v>
      </c>
      <c r="AF27">
        <v>223</v>
      </c>
      <c r="AG27" t="s">
        <v>13</v>
      </c>
      <c r="AH27">
        <v>0</v>
      </c>
      <c r="AI27">
        <v>12.249000000000001</v>
      </c>
      <c r="AJ27" s="3">
        <v>73433</v>
      </c>
      <c r="AK27">
        <v>12.635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83</v>
      </c>
      <c r="AT27" s="15">
        <f t="shared" si="10"/>
        <v>111.82754202691001</v>
      </c>
      <c r="AU27" s="16">
        <f t="shared" si="11"/>
        <v>13631.262522490837</v>
      </c>
      <c r="AW27" s="9">
        <f t="shared" si="12"/>
        <v>138.60968240817502</v>
      </c>
      <c r="AX27" s="10">
        <f t="shared" si="13"/>
        <v>16191.8047154999</v>
      </c>
      <c r="AZ27" s="11">
        <f t="shared" si="14"/>
        <v>140.72496074222002</v>
      </c>
      <c r="BA27" s="12">
        <f t="shared" si="15"/>
        <v>14468.948396099331</v>
      </c>
      <c r="BC27" s="13">
        <f t="shared" si="16"/>
        <v>137.378353137825</v>
      </c>
      <c r="BD27" s="14">
        <f t="shared" si="17"/>
        <v>16299.39775370682</v>
      </c>
      <c r="BF27" s="15">
        <f t="shared" si="18"/>
        <v>111.82754202691001</v>
      </c>
      <c r="BG27" s="16">
        <f t="shared" si="19"/>
        <v>13631.262522490837</v>
      </c>
      <c r="BI27">
        <v>83</v>
      </c>
      <c r="BJ27" t="s">
        <v>52</v>
      </c>
      <c r="BK27" s="2">
        <v>46232.436319444445</v>
      </c>
      <c r="BL27">
        <v>223</v>
      </c>
      <c r="BM27" t="s">
        <v>13</v>
      </c>
      <c r="BN27">
        <v>0</v>
      </c>
      <c r="BO27">
        <v>2.8809999999999998</v>
      </c>
      <c r="BP27" s="3">
        <v>763370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84</v>
      </c>
      <c r="B28" t="s">
        <v>53</v>
      </c>
      <c r="C28" s="2">
        <v>46232.457546296297</v>
      </c>
      <c r="D28">
        <v>101</v>
      </c>
      <c r="E28" t="s">
        <v>13</v>
      </c>
      <c r="F28">
        <v>0</v>
      </c>
      <c r="G28">
        <v>5.9550000000000001</v>
      </c>
      <c r="H28" s="3">
        <v>28264015</v>
      </c>
      <c r="I28">
        <v>61.863999999999997</v>
      </c>
      <c r="J28" t="s">
        <v>14</v>
      </c>
      <c r="K28" t="s">
        <v>14</v>
      </c>
      <c r="L28" t="s">
        <v>14</v>
      </c>
      <c r="M28" t="s">
        <v>14</v>
      </c>
      <c r="O28">
        <v>84</v>
      </c>
      <c r="P28" t="s">
        <v>53</v>
      </c>
      <c r="Q28" s="2">
        <v>46232.457546296297</v>
      </c>
      <c r="R28">
        <v>101</v>
      </c>
      <c r="S28" t="s">
        <v>13</v>
      </c>
      <c r="T28">
        <v>0</v>
      </c>
      <c r="U28">
        <v>5.9180000000000001</v>
      </c>
      <c r="V28" s="3">
        <v>260282</v>
      </c>
      <c r="W28">
        <v>59.131</v>
      </c>
      <c r="X28" t="s">
        <v>14</v>
      </c>
      <c r="Y28" t="s">
        <v>14</v>
      </c>
      <c r="Z28" t="s">
        <v>14</v>
      </c>
      <c r="AA28" t="s">
        <v>14</v>
      </c>
      <c r="AC28">
        <v>84</v>
      </c>
      <c r="AD28" t="s">
        <v>53</v>
      </c>
      <c r="AE28" s="2">
        <v>46232.457546296297</v>
      </c>
      <c r="AF28">
        <v>101</v>
      </c>
      <c r="AG28" t="s">
        <v>13</v>
      </c>
      <c r="AH28">
        <v>0</v>
      </c>
      <c r="AI28">
        <v>12.206</v>
      </c>
      <c r="AJ28" s="3">
        <v>99417</v>
      </c>
      <c r="AK28">
        <v>17.07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84</v>
      </c>
      <c r="AT28" s="15">
        <f t="shared" si="10"/>
        <v>59027.929642932868</v>
      </c>
      <c r="AU28" s="16">
        <f t="shared" si="11"/>
        <v>17887.301389792599</v>
      </c>
      <c r="AW28" s="9">
        <f t="shared" si="12"/>
        <v>64375.398609520002</v>
      </c>
      <c r="AX28" s="10">
        <f t="shared" si="13"/>
        <v>22444.3459385399</v>
      </c>
      <c r="AZ28" s="11">
        <f t="shared" si="14"/>
        <v>69314.493894756</v>
      </c>
      <c r="BA28" s="12">
        <f t="shared" si="15"/>
        <v>19721.520830467329</v>
      </c>
      <c r="BC28" s="13">
        <f t="shared" si="16"/>
        <v>63294.151264026637</v>
      </c>
      <c r="BD28" s="14">
        <f t="shared" si="17"/>
        <v>21830.46458237882</v>
      </c>
      <c r="BF28" s="15">
        <f t="shared" si="18"/>
        <v>59027.929642932868</v>
      </c>
      <c r="BG28" s="16">
        <f t="shared" si="19"/>
        <v>17887.301389792599</v>
      </c>
      <c r="BI28">
        <v>84</v>
      </c>
      <c r="BJ28" t="s">
        <v>53</v>
      </c>
      <c r="BK28" s="2">
        <v>46232.457546296297</v>
      </c>
      <c r="BL28">
        <v>101</v>
      </c>
      <c r="BM28" t="s">
        <v>13</v>
      </c>
      <c r="BN28">
        <v>0</v>
      </c>
      <c r="BO28">
        <v>2.89</v>
      </c>
      <c r="BP28" s="3">
        <v>590258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85</v>
      </c>
      <c r="B29" t="s">
        <v>54</v>
      </c>
      <c r="C29" s="2">
        <v>46232.478773148148</v>
      </c>
      <c r="D29">
        <v>88</v>
      </c>
      <c r="E29" t="s">
        <v>13</v>
      </c>
      <c r="F29">
        <v>0</v>
      </c>
      <c r="G29">
        <v>6.0670000000000002</v>
      </c>
      <c r="H29" s="3">
        <v>14079</v>
      </c>
      <c r="I29">
        <v>2.9000000000000001E-2</v>
      </c>
      <c r="J29" t="s">
        <v>14</v>
      </c>
      <c r="K29" t="s">
        <v>14</v>
      </c>
      <c r="L29" t="s">
        <v>14</v>
      </c>
      <c r="M29" t="s">
        <v>14</v>
      </c>
      <c r="O29">
        <v>85</v>
      </c>
      <c r="P29" t="s">
        <v>54</v>
      </c>
      <c r="Q29" s="2">
        <v>46232.478773148148</v>
      </c>
      <c r="R29">
        <v>88</v>
      </c>
      <c r="S29" t="s">
        <v>13</v>
      </c>
      <c r="T29">
        <v>0</v>
      </c>
      <c r="U29" t="s">
        <v>14</v>
      </c>
      <c r="V29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85</v>
      </c>
      <c r="AD29" t="s">
        <v>54</v>
      </c>
      <c r="AE29" s="2">
        <v>46232.478773148148</v>
      </c>
      <c r="AF29">
        <v>88</v>
      </c>
      <c r="AG29" t="s">
        <v>13</v>
      </c>
      <c r="AH29">
        <v>0</v>
      </c>
      <c r="AI29">
        <v>12.281000000000001</v>
      </c>
      <c r="AJ29" s="3">
        <v>5883</v>
      </c>
      <c r="AK29">
        <v>1.097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85</v>
      </c>
      <c r="AT29" s="15">
        <f t="shared" si="10"/>
        <v>33.7756106540876</v>
      </c>
      <c r="AU29" s="16">
        <f t="shared" si="11"/>
        <v>1138.4617807693098</v>
      </c>
      <c r="AW29" s="9">
        <f t="shared" si="12"/>
        <v>32.109806833943004</v>
      </c>
      <c r="AX29" s="10">
        <f t="shared" si="13"/>
        <v>1397.9465208470999</v>
      </c>
      <c r="AZ29" s="11">
        <f t="shared" si="14"/>
        <v>36.436775571999206</v>
      </c>
      <c r="BA29" s="12">
        <f t="shared" si="15"/>
        <v>1238.0453405977999</v>
      </c>
      <c r="BC29" s="13">
        <f t="shared" si="16"/>
        <v>40.886746602617002</v>
      </c>
      <c r="BD29" s="14">
        <f t="shared" si="17"/>
        <v>1203.8608025607703</v>
      </c>
      <c r="BF29" s="15">
        <f t="shared" si="18"/>
        <v>33.7756106540876</v>
      </c>
      <c r="BG29" s="16">
        <f t="shared" si="19"/>
        <v>1138.4617807693098</v>
      </c>
      <c r="BI29">
        <v>85</v>
      </c>
      <c r="BJ29" t="s">
        <v>54</v>
      </c>
      <c r="BK29" s="2">
        <v>46232.478773148148</v>
      </c>
      <c r="BL29">
        <v>88</v>
      </c>
      <c r="BM29" t="s">
        <v>13</v>
      </c>
      <c r="BN29">
        <v>0</v>
      </c>
      <c r="BO29">
        <v>2.8879999999999999</v>
      </c>
      <c r="BP29" s="3">
        <v>870892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86</v>
      </c>
      <c r="B30" t="s">
        <v>55</v>
      </c>
      <c r="C30" s="2">
        <v>46232.5000462963</v>
      </c>
      <c r="D30">
        <v>51</v>
      </c>
      <c r="E30" t="s">
        <v>13</v>
      </c>
      <c r="F30">
        <v>0</v>
      </c>
      <c r="G30">
        <v>6.0019999999999998</v>
      </c>
      <c r="H30" s="3">
        <v>18606881</v>
      </c>
      <c r="I30">
        <v>39.601999999999997</v>
      </c>
      <c r="J30" t="s">
        <v>14</v>
      </c>
      <c r="K30" t="s">
        <v>14</v>
      </c>
      <c r="L30" t="s">
        <v>14</v>
      </c>
      <c r="M30" t="s">
        <v>14</v>
      </c>
      <c r="O30">
        <v>86</v>
      </c>
      <c r="P30" t="s">
        <v>55</v>
      </c>
      <c r="Q30" s="2">
        <v>46232.5000462963</v>
      </c>
      <c r="R30">
        <v>51</v>
      </c>
      <c r="S30" t="s">
        <v>13</v>
      </c>
      <c r="T30">
        <v>0</v>
      </c>
      <c r="U30">
        <v>5.9610000000000003</v>
      </c>
      <c r="V30" s="3">
        <v>160577</v>
      </c>
      <c r="W30">
        <v>36.570999999999998</v>
      </c>
      <c r="X30" t="s">
        <v>14</v>
      </c>
      <c r="Y30" t="s">
        <v>14</v>
      </c>
      <c r="Z30" t="s">
        <v>14</v>
      </c>
      <c r="AA30" t="s">
        <v>14</v>
      </c>
      <c r="AC30">
        <v>86</v>
      </c>
      <c r="AD30" t="s">
        <v>55</v>
      </c>
      <c r="AE30" s="2">
        <v>46232.5000462963</v>
      </c>
      <c r="AF30">
        <v>51</v>
      </c>
      <c r="AG30" t="s">
        <v>13</v>
      </c>
      <c r="AH30">
        <v>0</v>
      </c>
      <c r="AI30">
        <v>12.249000000000001</v>
      </c>
      <c r="AJ30" s="3">
        <v>81602</v>
      </c>
      <c r="AK30">
        <v>14.029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86</v>
      </c>
      <c r="AT30" s="15">
        <f t="shared" si="10"/>
        <v>37253.855760210965</v>
      </c>
      <c r="AU30" s="16">
        <f t="shared" si="11"/>
        <v>14968.968371771691</v>
      </c>
      <c r="AW30" s="9">
        <f t="shared" si="12"/>
        <v>39640.301041420003</v>
      </c>
      <c r="AX30" s="10">
        <f t="shared" si="13"/>
        <v>18163.466946076398</v>
      </c>
      <c r="AZ30" s="11">
        <f t="shared" si="14"/>
        <v>42987.052539201002</v>
      </c>
      <c r="BA30" s="12">
        <f t="shared" si="15"/>
        <v>16123.779559711882</v>
      </c>
      <c r="BC30" s="13">
        <f t="shared" si="16"/>
        <v>39640.885874499938</v>
      </c>
      <c r="BD30" s="14">
        <f t="shared" si="17"/>
        <v>18039.832026389518</v>
      </c>
      <c r="BF30" s="15">
        <f t="shared" si="18"/>
        <v>37253.855760210965</v>
      </c>
      <c r="BG30" s="16">
        <f t="shared" si="19"/>
        <v>14968.968371771691</v>
      </c>
      <c r="BI30">
        <v>86</v>
      </c>
      <c r="BJ30" t="s">
        <v>55</v>
      </c>
      <c r="BK30" s="2">
        <v>46232.5000462963</v>
      </c>
      <c r="BL30">
        <v>51</v>
      </c>
      <c r="BM30" t="s">
        <v>13</v>
      </c>
      <c r="BN30">
        <v>0</v>
      </c>
      <c r="BO30">
        <v>2.9039999999999999</v>
      </c>
      <c r="BP30" s="3">
        <v>546653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87</v>
      </c>
      <c r="B31" t="s">
        <v>56</v>
      </c>
      <c r="C31" s="2">
        <v>46232.521307870367</v>
      </c>
      <c r="D31">
        <v>367</v>
      </c>
      <c r="E31" t="s">
        <v>13</v>
      </c>
      <c r="F31">
        <v>0</v>
      </c>
      <c r="G31">
        <v>6.0620000000000003</v>
      </c>
      <c r="H31" s="3">
        <v>6302</v>
      </c>
      <c r="I31">
        <v>1.2999999999999999E-2</v>
      </c>
      <c r="J31" t="s">
        <v>14</v>
      </c>
      <c r="K31" t="s">
        <v>14</v>
      </c>
      <c r="L31" t="s">
        <v>14</v>
      </c>
      <c r="M31" t="s">
        <v>14</v>
      </c>
      <c r="O31">
        <v>87</v>
      </c>
      <c r="P31" t="s">
        <v>56</v>
      </c>
      <c r="Q31" s="2">
        <v>46232.521307870367</v>
      </c>
      <c r="R31">
        <v>367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87</v>
      </c>
      <c r="AD31" t="s">
        <v>56</v>
      </c>
      <c r="AE31" s="2">
        <v>46232.521307870367</v>
      </c>
      <c r="AF31">
        <v>367</v>
      </c>
      <c r="AG31" t="s">
        <v>13</v>
      </c>
      <c r="AH31">
        <v>0</v>
      </c>
      <c r="AI31">
        <v>12.324999999999999</v>
      </c>
      <c r="AJ31" s="3">
        <v>9327</v>
      </c>
      <c r="AK31">
        <v>1.6859999999999999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87</v>
      </c>
      <c r="AT31" s="15">
        <f t="shared" si="10"/>
        <v>17.658207732344</v>
      </c>
      <c r="AU31" s="16">
        <f t="shared" si="11"/>
        <v>1779.88737692891</v>
      </c>
      <c r="AW31" s="9">
        <f t="shared" si="12"/>
        <v>4.137180159999998</v>
      </c>
      <c r="AX31" s="10">
        <f t="shared" si="13"/>
        <v>2214.3905250831003</v>
      </c>
      <c r="AZ31" s="11">
        <f t="shared" si="14"/>
        <v>13.917132756560001</v>
      </c>
      <c r="BA31" s="12">
        <f t="shared" si="15"/>
        <v>1940.9328228457998</v>
      </c>
      <c r="BC31" s="13">
        <f t="shared" si="16"/>
        <v>19.011865227571995</v>
      </c>
      <c r="BD31" s="14">
        <f t="shared" si="17"/>
        <v>1985.4891569739702</v>
      </c>
      <c r="BF31" s="15">
        <f t="shared" si="18"/>
        <v>17.658207732344</v>
      </c>
      <c r="BG31" s="16">
        <f t="shared" si="19"/>
        <v>1779.88737692891</v>
      </c>
      <c r="BI31">
        <v>87</v>
      </c>
      <c r="BJ31" t="s">
        <v>56</v>
      </c>
      <c r="BK31" s="2">
        <v>46232.521307870367</v>
      </c>
      <c r="BL31">
        <v>367</v>
      </c>
      <c r="BM31" t="s">
        <v>13</v>
      </c>
      <c r="BN31">
        <v>0</v>
      </c>
      <c r="BO31">
        <v>2.875</v>
      </c>
      <c r="BP31" s="3">
        <v>939019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88</v>
      </c>
      <c r="B32" t="s">
        <v>57</v>
      </c>
      <c r="C32" s="2">
        <v>46232.542569444442</v>
      </c>
      <c r="D32">
        <v>302</v>
      </c>
      <c r="E32" t="s">
        <v>13</v>
      </c>
      <c r="F32">
        <v>0</v>
      </c>
      <c r="G32">
        <v>6.0679999999999996</v>
      </c>
      <c r="H32" s="3">
        <v>5103</v>
      </c>
      <c r="I32">
        <v>0.01</v>
      </c>
      <c r="J32" t="s">
        <v>14</v>
      </c>
      <c r="K32" t="s">
        <v>14</v>
      </c>
      <c r="L32" t="s">
        <v>14</v>
      </c>
      <c r="M32" t="s">
        <v>14</v>
      </c>
      <c r="O32">
        <v>88</v>
      </c>
      <c r="P32" t="s">
        <v>57</v>
      </c>
      <c r="Q32" s="2">
        <v>46232.542569444442</v>
      </c>
      <c r="R32">
        <v>302</v>
      </c>
      <c r="S32" t="s">
        <v>13</v>
      </c>
      <c r="T32">
        <v>0</v>
      </c>
      <c r="U32" t="s">
        <v>14</v>
      </c>
      <c r="V32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88</v>
      </c>
      <c r="AD32" t="s">
        <v>57</v>
      </c>
      <c r="AE32" s="2">
        <v>46232.542569444442</v>
      </c>
      <c r="AF32">
        <v>302</v>
      </c>
      <c r="AG32" t="s">
        <v>13</v>
      </c>
      <c r="AH32">
        <v>0</v>
      </c>
      <c r="AI32">
        <v>12.347</v>
      </c>
      <c r="AJ32" s="3">
        <v>1585</v>
      </c>
      <c r="AK32">
        <v>0.36299999999999999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88</v>
      </c>
      <c r="AT32" s="15">
        <f t="shared" si="10"/>
        <v>14.585600178173999</v>
      </c>
      <c r="AU32" s="16">
        <f t="shared" si="11"/>
        <v>339.17441253275001</v>
      </c>
      <c r="AW32" s="9">
        <f t="shared" si="12"/>
        <v>2.4661338599999993</v>
      </c>
      <c r="AX32" s="10">
        <f t="shared" si="13"/>
        <v>363.87417417749998</v>
      </c>
      <c r="AZ32" s="11">
        <f t="shared" si="14"/>
        <v>10.19461939826</v>
      </c>
      <c r="BA32" s="12">
        <f t="shared" si="15"/>
        <v>358.87476894499997</v>
      </c>
      <c r="BC32" s="13">
        <f t="shared" si="16"/>
        <v>14.720808892237001</v>
      </c>
      <c r="BD32" s="14">
        <f t="shared" si="17"/>
        <v>226.78122511925005</v>
      </c>
      <c r="BF32" s="15">
        <f t="shared" si="18"/>
        <v>14.585600178173999</v>
      </c>
      <c r="BG32" s="16">
        <f t="shared" si="19"/>
        <v>339.17441253275001</v>
      </c>
      <c r="BI32">
        <v>88</v>
      </c>
      <c r="BJ32" t="s">
        <v>57</v>
      </c>
      <c r="BK32" s="2">
        <v>46232.542569444442</v>
      </c>
      <c r="BL32">
        <v>302</v>
      </c>
      <c r="BM32" t="s">
        <v>13</v>
      </c>
      <c r="BN32">
        <v>0</v>
      </c>
      <c r="BO32">
        <v>2.8780000000000001</v>
      </c>
      <c r="BP32" s="3">
        <v>894676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89</v>
      </c>
      <c r="B33" t="s">
        <v>58</v>
      </c>
      <c r="C33" s="2">
        <v>46232.563796296294</v>
      </c>
      <c r="D33">
        <v>184</v>
      </c>
      <c r="E33" t="s">
        <v>13</v>
      </c>
      <c r="F33">
        <v>0</v>
      </c>
      <c r="G33">
        <v>6.0650000000000004</v>
      </c>
      <c r="H33" s="3">
        <v>5789</v>
      </c>
      <c r="I33">
        <v>1.2E-2</v>
      </c>
      <c r="J33" t="s">
        <v>14</v>
      </c>
      <c r="K33" t="s">
        <v>14</v>
      </c>
      <c r="L33" t="s">
        <v>14</v>
      </c>
      <c r="M33" t="s">
        <v>14</v>
      </c>
      <c r="O33">
        <v>89</v>
      </c>
      <c r="P33" t="s">
        <v>58</v>
      </c>
      <c r="Q33" s="2">
        <v>46232.563796296294</v>
      </c>
      <c r="R33">
        <v>184</v>
      </c>
      <c r="S33" t="s">
        <v>13</v>
      </c>
      <c r="T33">
        <v>0</v>
      </c>
      <c r="U33" t="s">
        <v>14</v>
      </c>
      <c r="V3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89</v>
      </c>
      <c r="AD33" t="s">
        <v>58</v>
      </c>
      <c r="AE33" s="2">
        <v>46232.563796296294</v>
      </c>
      <c r="AF33">
        <v>184</v>
      </c>
      <c r="AG33" t="s">
        <v>13</v>
      </c>
      <c r="AH33">
        <v>0</v>
      </c>
      <c r="AI33">
        <v>12.324</v>
      </c>
      <c r="AJ33" s="3">
        <v>10262</v>
      </c>
      <c r="AK33">
        <v>1.8460000000000001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89</v>
      </c>
      <c r="AT33" s="15">
        <f t="shared" si="10"/>
        <v>16.344879497006001</v>
      </c>
      <c r="AU33" s="16">
        <f t="shared" si="11"/>
        <v>1954.1723963687602</v>
      </c>
      <c r="AW33" s="9">
        <f t="shared" si="12"/>
        <v>3.2321763400000005</v>
      </c>
      <c r="AX33" s="10">
        <f t="shared" si="13"/>
        <v>2434.1767274715999</v>
      </c>
      <c r="AZ33" s="11">
        <f t="shared" si="14"/>
        <v>12.304322449939999</v>
      </c>
      <c r="BA33" s="12">
        <f t="shared" si="15"/>
        <v>2131.5125430888002</v>
      </c>
      <c r="BC33" s="13">
        <f t="shared" si="16"/>
        <v>17.172919840852998</v>
      </c>
      <c r="BD33" s="14">
        <f t="shared" si="17"/>
        <v>2197.4899048389202</v>
      </c>
      <c r="BF33" s="15">
        <f t="shared" si="18"/>
        <v>16.344879497006001</v>
      </c>
      <c r="BG33" s="16">
        <f t="shared" si="19"/>
        <v>1954.1723963687602</v>
      </c>
      <c r="BI33">
        <v>89</v>
      </c>
      <c r="BJ33" t="s">
        <v>58</v>
      </c>
      <c r="BK33" s="2">
        <v>46232.563796296294</v>
      </c>
      <c r="BL33">
        <v>184</v>
      </c>
      <c r="BM33" t="s">
        <v>13</v>
      </c>
      <c r="BN33">
        <v>0</v>
      </c>
      <c r="BO33">
        <v>2.8740000000000001</v>
      </c>
      <c r="BP33" s="3">
        <v>943132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90</v>
      </c>
      <c r="B34" t="s">
        <v>59</v>
      </c>
      <c r="C34" s="2">
        <v>46232.585057870368</v>
      </c>
      <c r="D34">
        <v>172</v>
      </c>
      <c r="E34" t="s">
        <v>13</v>
      </c>
      <c r="F34">
        <v>0</v>
      </c>
      <c r="G34">
        <v>6.0650000000000004</v>
      </c>
      <c r="H34" s="3">
        <v>4813</v>
      </c>
      <c r="I34">
        <v>0.01</v>
      </c>
      <c r="J34" t="s">
        <v>14</v>
      </c>
      <c r="K34" t="s">
        <v>14</v>
      </c>
      <c r="L34" t="s">
        <v>14</v>
      </c>
      <c r="M34" t="s">
        <v>14</v>
      </c>
      <c r="O34">
        <v>90</v>
      </c>
      <c r="P34" t="s">
        <v>59</v>
      </c>
      <c r="Q34" s="2">
        <v>46232.585057870368</v>
      </c>
      <c r="R34">
        <v>172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90</v>
      </c>
      <c r="AD34" t="s">
        <v>59</v>
      </c>
      <c r="AE34" s="2">
        <v>46232.585057870368</v>
      </c>
      <c r="AF34">
        <v>172</v>
      </c>
      <c r="AG34" t="s">
        <v>13</v>
      </c>
      <c r="AH34">
        <v>0</v>
      </c>
      <c r="AI34">
        <v>12.326000000000001</v>
      </c>
      <c r="AJ34" s="3">
        <v>2040</v>
      </c>
      <c r="AK34">
        <v>0.441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90</v>
      </c>
      <c r="AT34" s="15">
        <f t="shared" si="10"/>
        <v>13.840830305134</v>
      </c>
      <c r="AU34" s="16">
        <f t="shared" si="11"/>
        <v>423.72694366400003</v>
      </c>
      <c r="AW34" s="9">
        <f t="shared" si="12"/>
        <v>2.2951382599999999</v>
      </c>
      <c r="AX34" s="10">
        <f t="shared" si="13"/>
        <v>474.14189423999994</v>
      </c>
      <c r="AZ34" s="11">
        <f t="shared" si="14"/>
        <v>9.3189353286600003</v>
      </c>
      <c r="BA34" s="12">
        <f t="shared" si="15"/>
        <v>452.05113632000001</v>
      </c>
      <c r="BC34" s="13">
        <f t="shared" si="16"/>
        <v>13.686606081716997</v>
      </c>
      <c r="BD34" s="14">
        <f t="shared" si="17"/>
        <v>330.30379028800002</v>
      </c>
      <c r="BF34" s="15">
        <f t="shared" si="18"/>
        <v>13.840830305134</v>
      </c>
      <c r="BG34" s="16">
        <f t="shared" si="19"/>
        <v>423.72694366400003</v>
      </c>
      <c r="BI34">
        <v>90</v>
      </c>
      <c r="BJ34" t="s">
        <v>59</v>
      </c>
      <c r="BK34" s="2">
        <v>46232.585057870368</v>
      </c>
      <c r="BL34">
        <v>172</v>
      </c>
      <c r="BM34" t="s">
        <v>13</v>
      </c>
      <c r="BN34">
        <v>0</v>
      </c>
      <c r="BO34">
        <v>2.8780000000000001</v>
      </c>
      <c r="BP34" s="3">
        <v>876343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2026-07-29T19:08:18Z</dcterms:modified>
</cp:coreProperties>
</file>