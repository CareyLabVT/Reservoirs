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13BCDB72-110B-4C47-8C4B-42D06E8A5DC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<sst xmlns="http://schemas.openxmlformats.org/spreadsheetml/2006/main" count="457" uniqueCount="50">
  <si>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</si>
  <si>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</si>
  <si>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</si>
  <si>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</si>
  <si>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</si>
  <si>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</si>
  <si>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</si>
  <si>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</si>
  <si>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</si>
  <si>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</si>
  <si>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</si>
  <si>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</si>
  <si>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</si>
  <si>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</si>
  <si>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</si>
  <si>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</si>
  <si>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</si>
  <si>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</si>
  <si>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</si>
  <si>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</si>
  <si>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</si>
  <si>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</si>
  <si>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</si>
  <si>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</si>
  <si>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</si>
  <si>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</si>
  <si>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</si>
  <si>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</si>
  <si>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</si>
  <si>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</si>
  <si>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</si>
  <si>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spiked air</t>
  </si>
  <si>
    <t>2026 ranged CAL Measured headspace CH4  in ppm from GC in ppm</t>
  </si>
  <si>
    <t>2026 CAL Measured headspace CO2 in ppm from GC in ppm</t>
  </si>
  <si>
    <t>FMI20260730_001.gcd</t>
  </si>
  <si>
    <t>FMI20260730_002.gcd</t>
  </si>
  <si>
    <t>FMI20260730_003.gcd</t>
  </si>
  <si>
    <t>thin septum</t>
  </si>
  <si>
    <t>FMI20260730_004.gcd</t>
  </si>
  <si>
    <t>thick septum</t>
  </si>
  <si>
    <t>FMI20260730_005.gcd</t>
  </si>
  <si>
    <t>FMI20260730_006.gcd</t>
  </si>
  <si>
    <t>FMI20260730_007.gcd</t>
  </si>
  <si>
    <t>FMI20260730_008.gcd</t>
  </si>
  <si>
    <t>FMI20260730_009.gcd</t>
  </si>
  <si>
    <t>FMI20260730_010.gcd</t>
  </si>
  <si>
    <t>FMI20260730_011.gcd</t>
  </si>
  <si>
    <t>FMI20260730_012.gcd</t>
  </si>
  <si>
    <t>FMI20260730_013.gcd</t>
  </si>
  <si>
    <t>FMI20260730_014.gcd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</si>
</sst>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E6" workbookViewId="0">
      <selection activeCell="AN18" sqref="AN18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32</v>
      </c>
      <c r="BG8" s="5" t="s">
        <v>33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34</v>
      </c>
      <c r="C9" s="2">
        <v>46233.643993055557</v>
      </c>
      <c r="D9" t="s">
        <v>31</v>
      </c>
      <c r="E9" t="s">
        <v>13</v>
      </c>
      <c r="F9">
        <v>0</v>
      </c>
      <c r="G9">
        <v>6.0640000000000001</v>
      </c>
      <c r="H9" s="3">
        <v>859266</v>
      </c>
      <c r="I9">
        <v>1.7470000000000001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34</v>
      </c>
      <c r="Q9" s="2">
        <v>46233.643993055557</v>
      </c>
      <c r="R9" t="s">
        <v>31</v>
      </c>
      <c r="S9" t="s">
        <v>13</v>
      </c>
      <c r="T9">
        <v>0</v>
      </c>
      <c r="U9">
        <v>6.0209999999999999</v>
      </c>
      <c r="V9" s="3">
        <v>8290</v>
      </c>
      <c r="W9">
        <v>2.0390000000000001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34</v>
      </c>
      <c r="AE9" s="2">
        <v>46233.643993055557</v>
      </c>
      <c r="AF9" t="s">
        <v>31</v>
      </c>
      <c r="AG9" t="s">
        <v>13</v>
      </c>
      <c r="AH9">
        <v>0</v>
      </c>
      <c r="AI9">
        <v>12.375</v>
      </c>
      <c r="AJ9" s="3">
        <v>7218</v>
      </c>
      <c r="AK9">
        <v>1.325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2" si="0">IF($H9&lt;10000,(($H9^2*-0.000000003714)+($H9*0.002605)+(1.389)),(IF($H9&lt;200000,(($H9^2*-0.0000000003764)+($H9*0.00218)+(3.158)),(IF($H9&lt;8000000,(($H9^2*-0.000000000004719)+($H9*0.001816)+(146.1)),(($V9^2*0.000000002578)+($V9*0.2173)+(2294)))))))</f>
        <v>1703.0428387007303</v>
      </c>
      <c r="AU9" s="17">
        <f t="shared" ref="AU9:AU22" si="1">IF($AJ9&lt;45000,((0.00000003579*$AJ9^2)+(0.1857*$AJ9)+(44.75)),((0.0000000022829*$AJ9^2)+(0.1634*$AJ9)+(1620)))</f>
        <v>1386.9972419639601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1807.3429521071382</v>
      </c>
      <c r="AX9" s="10">
        <f t="shared" ref="AX9:AX14" si="3">IF(AJ9&lt;45000,((-0.0000004561*AJ9^2)+(0.244*AJ9)+(-21.72)),((-0.0000000409*AJ9^2)+(0.2477*AJ9)+(-1777)))</f>
        <v>1715.7094071035999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1993.8293420357129</v>
      </c>
      <c r="BA9" s="12">
        <f t="shared" ref="BA9:BA14" si="5">IF(AJ9&lt;45000,((-0.0000000598*AJ9^2)+(0.205*AJ9)+(34.1)),((-0.00000002403*AJ9^2)+(0.2063*AJ9)+(-550.7)))</f>
        <v>1510.6744484647998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1935.9675782384029</v>
      </c>
      <c r="BD9" s="15">
        <f t="shared" ref="BD9:BD14" si="7">IF(AJ9&lt;45000,((-0.00000004907*AJ9^2)+(0.2277*AJ9)+(-134)),((-0.00000001062*AJ9^2)+(0.2147*AJ9)+(590.6)))</f>
        <v>1506.98207635732</v>
      </c>
      <c r="BF9" s="16">
        <f t="shared" ref="BF9:BF22" si="8">IF($H9&lt;10000,(($H9^2*-0.000000003714)+($H9*0.002605)+(1.389)),(IF($H9&lt;200000,(($H9^2*-0.0000000003764)+($H9*0.00218)+(3.158)),(IF($H9&lt;8000000,(($H9^2*-0.000000000004719)+($H9*0.001816)+(146.1)),(($V9^2*0.000000002578)+($V9*0.2173)+(2294)))))))</f>
        <v>1703.0428387007303</v>
      </c>
      <c r="BG9" s="17">
        <f t="shared" ref="BG9:BG22" si="9">IF($AJ9&lt;45000,((0.00000003579*$AJ9^2)+(0.1857*$AJ9)+(44.75)),((0.0000000022829*$AJ9^2)+(0.1634*$AJ9)+(1620)))</f>
        <v>1386.9972419639601</v>
      </c>
      <c r="BI9">
        <v>45</v>
      </c>
      <c r="BJ9" t="s">
        <v>34</v>
      </c>
      <c r="BK9" s="2">
        <v>46233.643993055557</v>
      </c>
      <c r="BL9" t="s">
        <v>31</v>
      </c>
      <c r="BM9" t="s">
        <v>13</v>
      </c>
      <c r="BN9">
        <v>0</v>
      </c>
      <c r="BO9">
        <v>2.7330000000000001</v>
      </c>
      <c r="BP9" s="3">
        <v>4818139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35</v>
      </c>
      <c r="C10" s="2">
        <v>46233.665162037039</v>
      </c>
      <c r="D10" t="s">
        <v>26</v>
      </c>
      <c r="E10" t="s">
        <v>13</v>
      </c>
      <c r="F10">
        <v>0</v>
      </c>
      <c r="G10">
        <v>6.0739999999999998</v>
      </c>
      <c r="H10" s="3">
        <v>2221</v>
      </c>
      <c r="I10">
        <v>5.0000000000000001E-3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35</v>
      </c>
      <c r="Q10" s="2">
        <v>46233.665162037039</v>
      </c>
      <c r="R10" t="s">
        <v>26</v>
      </c>
      <c r="S10" t="s">
        <v>13</v>
      </c>
      <c r="T10">
        <v>0</v>
      </c>
      <c r="U10" t="s">
        <v>14</v>
      </c>
      <c r="V10" s="3" t="s">
        <v>14</v>
      </c>
      <c r="W10" t="s">
        <v>14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35</v>
      </c>
      <c r="AE10" s="2">
        <v>46233.665162037039</v>
      </c>
      <c r="AF10" t="s">
        <v>26</v>
      </c>
      <c r="AG10" t="s">
        <v>13</v>
      </c>
      <c r="AH10">
        <v>0</v>
      </c>
      <c r="AI10">
        <v>12.351000000000001</v>
      </c>
      <c r="AJ10" s="3">
        <v>1713</v>
      </c>
      <c r="AK10">
        <v>0.38500000000000001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7.1563844285260005</v>
      </c>
      <c r="AU10" s="17">
        <f t="shared" si="1"/>
        <v>362.95912106651002</v>
      </c>
      <c r="AW10" s="9">
        <f t="shared" si="2"/>
        <v>4.8006691400000019</v>
      </c>
      <c r="AX10" s="10">
        <f t="shared" si="3"/>
        <v>394.91363429909995</v>
      </c>
      <c r="AZ10" s="11">
        <f t="shared" si="4"/>
        <v>1.9189755347399995</v>
      </c>
      <c r="BA10" s="12">
        <f t="shared" si="5"/>
        <v>385.08952473379998</v>
      </c>
      <c r="BC10" s="14">
        <f t="shared" si="6"/>
        <v>4.5064166186129997</v>
      </c>
      <c r="BD10" s="15">
        <f t="shared" si="7"/>
        <v>255.90611051317006</v>
      </c>
      <c r="BF10" s="16">
        <f t="shared" si="8"/>
        <v>7.1563844285260005</v>
      </c>
      <c r="BG10" s="17">
        <f t="shared" si="9"/>
        <v>362.95912106651002</v>
      </c>
      <c r="BI10">
        <v>46</v>
      </c>
      <c r="BJ10" t="s">
        <v>35</v>
      </c>
      <c r="BK10" s="2">
        <v>46233.665162037039</v>
      </c>
      <c r="BL10" t="s">
        <v>26</v>
      </c>
      <c r="BM10" t="s">
        <v>13</v>
      </c>
      <c r="BN10">
        <v>0</v>
      </c>
      <c r="BO10">
        <v>2.7349999999999999</v>
      </c>
      <c r="BP10" s="3">
        <v>4877984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36</v>
      </c>
      <c r="C11" s="2">
        <v>46233.686365740738</v>
      </c>
      <c r="D11" t="s">
        <v>37</v>
      </c>
      <c r="E11" t="s">
        <v>13</v>
      </c>
      <c r="F11">
        <v>0</v>
      </c>
      <c r="G11">
        <v>6.0540000000000003</v>
      </c>
      <c r="H11" s="3">
        <v>189282</v>
      </c>
      <c r="I11">
        <v>0.38400000000000001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36</v>
      </c>
      <c r="Q11" s="2">
        <v>46233.686365740738</v>
      </c>
      <c r="R11" t="s">
        <v>37</v>
      </c>
      <c r="S11" t="s">
        <v>13</v>
      </c>
      <c r="T11">
        <v>0</v>
      </c>
      <c r="U11">
        <v>6.008</v>
      </c>
      <c r="V11" s="3">
        <v>1748</v>
      </c>
      <c r="W11">
        <v>0.55300000000000005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36</v>
      </c>
      <c r="AE11" s="2">
        <v>46233.686365740738</v>
      </c>
      <c r="AF11" t="s">
        <v>37</v>
      </c>
      <c r="AG11" t="s">
        <v>13</v>
      </c>
      <c r="AH11">
        <v>0</v>
      </c>
      <c r="AI11">
        <v>12.294</v>
      </c>
      <c r="AJ11" s="3">
        <v>44293</v>
      </c>
      <c r="AK11">
        <v>7.6589999999999998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402.30722293276642</v>
      </c>
      <c r="AU11" s="17">
        <f t="shared" si="1"/>
        <v>8340.1754218957103</v>
      </c>
      <c r="AW11" s="9">
        <f t="shared" si="2"/>
        <v>509.06488169865207</v>
      </c>
      <c r="AX11" s="10">
        <f t="shared" si="3"/>
        <v>9890.963161871101</v>
      </c>
      <c r="AZ11" s="11">
        <f t="shared" si="4"/>
        <v>534.06048530866883</v>
      </c>
      <c r="BA11" s="12">
        <f t="shared" si="5"/>
        <v>8996.8451830297981</v>
      </c>
      <c r="BC11" s="14">
        <f t="shared" si="6"/>
        <v>501.41064533718793</v>
      </c>
      <c r="BD11" s="15">
        <f t="shared" si="7"/>
        <v>9855.2471465095714</v>
      </c>
      <c r="BF11" s="16">
        <f t="shared" si="8"/>
        <v>402.30722293276642</v>
      </c>
      <c r="BG11" s="17">
        <f t="shared" si="9"/>
        <v>8340.1754218957103</v>
      </c>
      <c r="BI11">
        <v>47</v>
      </c>
      <c r="BJ11" t="s">
        <v>36</v>
      </c>
      <c r="BK11" s="2">
        <v>46233.686365740738</v>
      </c>
      <c r="BL11" t="s">
        <v>37</v>
      </c>
      <c r="BM11" t="s">
        <v>13</v>
      </c>
      <c r="BN11">
        <v>0</v>
      </c>
      <c r="BO11">
        <v>2.722</v>
      </c>
      <c r="BP11" s="3">
        <v>5040741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46233.707546296297</v>
      </c>
      <c r="D12" t="s">
        <v>39</v>
      </c>
      <c r="E12" t="s">
        <v>13</v>
      </c>
      <c r="F12">
        <v>0</v>
      </c>
      <c r="G12">
        <v>6.0590000000000002</v>
      </c>
      <c r="H12" s="3">
        <v>19421</v>
      </c>
      <c r="I12">
        <v>0.04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46233.707546296297</v>
      </c>
      <c r="R12" t="s">
        <v>39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46233.707546296297</v>
      </c>
      <c r="AF12" t="s">
        <v>39</v>
      </c>
      <c r="AG12" t="s">
        <v>13</v>
      </c>
      <c r="AH12">
        <v>0</v>
      </c>
      <c r="AI12">
        <v>12.343</v>
      </c>
      <c r="AJ12" s="3">
        <v>7176</v>
      </c>
      <c r="AK12">
        <v>1.3180000000000001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45.353811239287602</v>
      </c>
      <c r="AU12" s="17">
        <f t="shared" si="1"/>
        <v>1379.17620519104</v>
      </c>
      <c r="AW12" s="9">
        <f t="shared" si="2"/>
        <v>48.083297644943002</v>
      </c>
      <c r="AX12" s="10">
        <f t="shared" si="3"/>
        <v>1705.7371414463998</v>
      </c>
      <c r="AZ12" s="11">
        <f t="shared" si="4"/>
        <v>51.871550790399205</v>
      </c>
      <c r="BA12" s="12">
        <f t="shared" si="5"/>
        <v>1502.1006004351998</v>
      </c>
      <c r="BC12" s="14">
        <f t="shared" si="6"/>
        <v>55.166924911617002</v>
      </c>
      <c r="BD12" s="15">
        <f t="shared" si="7"/>
        <v>1497.44834152768</v>
      </c>
      <c r="BF12" s="16">
        <f t="shared" si="8"/>
        <v>45.353811239287602</v>
      </c>
      <c r="BG12" s="17">
        <f t="shared" si="9"/>
        <v>1379.17620519104</v>
      </c>
      <c r="BI12">
        <v>48</v>
      </c>
      <c r="BJ12" t="s">
        <v>38</v>
      </c>
      <c r="BK12" s="2">
        <v>46233.707546296297</v>
      </c>
      <c r="BL12" t="s">
        <v>39</v>
      </c>
      <c r="BM12" t="s">
        <v>13</v>
      </c>
      <c r="BN12">
        <v>0</v>
      </c>
      <c r="BO12">
        <v>2.7269999999999999</v>
      </c>
      <c r="BP12" s="3">
        <v>5052476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40</v>
      </c>
      <c r="C13" s="2">
        <v>46233.728761574072</v>
      </c>
      <c r="D13">
        <v>398</v>
      </c>
      <c r="E13" t="s">
        <v>13</v>
      </c>
      <c r="F13">
        <v>0</v>
      </c>
      <c r="G13">
        <v>6.0590000000000002</v>
      </c>
      <c r="H13" s="3">
        <v>13580</v>
      </c>
      <c r="I13">
        <v>2.8000000000000001E-2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40</v>
      </c>
      <c r="Q13" s="2">
        <v>46233.728761574072</v>
      </c>
      <c r="R13">
        <v>398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40</v>
      </c>
      <c r="AE13" s="2">
        <v>46233.728761574072</v>
      </c>
      <c r="AF13">
        <v>398</v>
      </c>
      <c r="AG13" t="s">
        <v>13</v>
      </c>
      <c r="AH13">
        <v>0</v>
      </c>
      <c r="AI13">
        <v>12.287000000000001</v>
      </c>
      <c r="AJ13" s="3">
        <v>2188</v>
      </c>
      <c r="AK13">
        <v>0.46600000000000003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32.692985667039999</v>
      </c>
      <c r="AU13" s="17">
        <f t="shared" si="1"/>
        <v>451.23293904176001</v>
      </c>
      <c r="AW13" s="9">
        <f t="shared" si="2"/>
        <v>30.6131153372</v>
      </c>
      <c r="AX13" s="10">
        <f t="shared" si="3"/>
        <v>509.96849240159997</v>
      </c>
      <c r="AZ13" s="11">
        <f t="shared" si="4"/>
        <v>34.994160543680003</v>
      </c>
      <c r="BA13" s="12">
        <f t="shared" si="5"/>
        <v>482.35371682879997</v>
      </c>
      <c r="BC13" s="14">
        <f t="shared" si="6"/>
        <v>39.5520584868</v>
      </c>
      <c r="BD13" s="15">
        <f t="shared" si="7"/>
        <v>363.97268502992</v>
      </c>
      <c r="BF13" s="16">
        <f t="shared" si="8"/>
        <v>32.692985667039999</v>
      </c>
      <c r="BG13" s="17">
        <f t="shared" si="9"/>
        <v>451.23293904176001</v>
      </c>
      <c r="BI13">
        <v>49</v>
      </c>
      <c r="BJ13" t="s">
        <v>40</v>
      </c>
      <c r="BK13" s="2">
        <v>46233.728761574072</v>
      </c>
      <c r="BL13">
        <v>398</v>
      </c>
      <c r="BM13" t="s">
        <v>13</v>
      </c>
      <c r="BN13">
        <v>0</v>
      </c>
      <c r="BO13">
        <v>2.891</v>
      </c>
      <c r="BP13" s="3">
        <v>662203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41</v>
      </c>
      <c r="C14" s="2">
        <v>46233.749965277777</v>
      </c>
      <c r="D14">
        <v>236</v>
      </c>
      <c r="E14" t="s">
        <v>13</v>
      </c>
      <c r="F14">
        <v>0</v>
      </c>
      <c r="G14">
        <v>6.0590000000000002</v>
      </c>
      <c r="H14" s="3">
        <v>10775</v>
      </c>
      <c r="I14">
        <v>2.1999999999999999E-2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41</v>
      </c>
      <c r="Q14" s="2">
        <v>46233.749965277777</v>
      </c>
      <c r="R14">
        <v>236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41</v>
      </c>
      <c r="AE14" s="2">
        <v>46233.749965277777</v>
      </c>
      <c r="AF14">
        <v>236</v>
      </c>
      <c r="AG14" t="s">
        <v>13</v>
      </c>
      <c r="AH14">
        <v>0</v>
      </c>
      <c r="AI14">
        <v>12.305999999999999</v>
      </c>
      <c r="AJ14" s="3">
        <v>13852</v>
      </c>
      <c r="AK14">
        <v>2.4590000000000001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26.603799724750001</v>
      </c>
      <c r="AU14" s="17">
        <f t="shared" si="1"/>
        <v>2623.9337101841602</v>
      </c>
      <c r="AW14" s="9">
        <f t="shared" si="2"/>
        <v>22.185234314375002</v>
      </c>
      <c r="AX14" s="10">
        <f t="shared" si="3"/>
        <v>3270.6524879856001</v>
      </c>
      <c r="AZ14" s="11">
        <f t="shared" si="4"/>
        <v>26.882195139499999</v>
      </c>
      <c r="BA14" s="12">
        <f t="shared" si="5"/>
        <v>2862.2857013407997</v>
      </c>
      <c r="BC14" s="14">
        <f t="shared" si="6"/>
        <v>32.047015535625</v>
      </c>
      <c r="BD14" s="15">
        <f t="shared" si="7"/>
        <v>3010.6849512507201</v>
      </c>
      <c r="BF14" s="16">
        <f t="shared" si="8"/>
        <v>26.603799724750001</v>
      </c>
      <c r="BG14" s="17">
        <f t="shared" si="9"/>
        <v>2623.9337101841602</v>
      </c>
      <c r="BI14">
        <v>50</v>
      </c>
      <c r="BJ14" t="s">
        <v>41</v>
      </c>
      <c r="BK14" s="2">
        <v>46233.749965277777</v>
      </c>
      <c r="BL14">
        <v>236</v>
      </c>
      <c r="BM14" t="s">
        <v>13</v>
      </c>
      <c r="BN14">
        <v>0</v>
      </c>
      <c r="BO14">
        <v>2.891</v>
      </c>
      <c r="BP14" s="3">
        <v>660766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42</v>
      </c>
      <c r="C15" s="2">
        <v>46233.771168981482</v>
      </c>
      <c r="D15">
        <v>381</v>
      </c>
      <c r="E15" t="s">
        <v>13</v>
      </c>
      <c r="F15">
        <v>0</v>
      </c>
      <c r="G15">
        <v>6.06</v>
      </c>
      <c r="H15" s="3">
        <v>12587</v>
      </c>
      <c r="I15">
        <v>2.5999999999999999E-2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42</v>
      </c>
      <c r="Q15" s="2">
        <v>46233.771168981482</v>
      </c>
      <c r="R15">
        <v>381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42</v>
      </c>
      <c r="AE15" s="2">
        <v>46233.771168981482</v>
      </c>
      <c r="AF15">
        <v>381</v>
      </c>
      <c r="AG15" t="s">
        <v>13</v>
      </c>
      <c r="AH15">
        <v>0</v>
      </c>
      <c r="AI15">
        <v>12.33</v>
      </c>
      <c r="AJ15" s="3">
        <v>2393</v>
      </c>
      <c r="AK15">
        <v>0.501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30.538025981028401</v>
      </c>
      <c r="AU15" s="17">
        <f t="shared" si="1"/>
        <v>489.33504960971004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27.632392838687004</v>
      </c>
      <c r="AX15" s="10">
        <f t="shared" ref="AX15:AX16" si="11">IF(AJ15&lt;45000,((-0.0000004561*AJ15^2)+(0.244*AJ15)+(-21.72)),((-0.0000000409*AJ15^2)+(0.2477*AJ15)+(-1777)))</f>
        <v>559.56016661109993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32.122957674072801</v>
      </c>
      <c r="BA15" s="12">
        <f t="shared" ref="BA15:BA16" si="13">IF(AJ15&lt;45000,((-0.0000000598*AJ15^2)+(0.205*AJ15)+(34.1)),((-0.00000002403*AJ15^2)+(0.2063*AJ15)+(-550.7)))</f>
        <v>524.32255834980003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36.895666234353001</v>
      </c>
      <c r="BD15" s="15">
        <f t="shared" ref="BD15:BD16" si="15">IF(AJ15&lt;45000,((-0.00000004907*AJ15^2)+(0.2277*AJ15)+(-134)),((-0.00000001062*AJ15^2)+(0.2147*AJ15)+(590.6)))</f>
        <v>410.60510314757005</v>
      </c>
      <c r="BF15" s="16">
        <f t="shared" si="8"/>
        <v>30.538025981028401</v>
      </c>
      <c r="BG15" s="17">
        <f t="shared" si="9"/>
        <v>489.33504960971004</v>
      </c>
      <c r="BI15">
        <v>51</v>
      </c>
      <c r="BJ15" t="s">
        <v>42</v>
      </c>
      <c r="BK15" s="2">
        <v>46233.771168981482</v>
      </c>
      <c r="BL15">
        <v>381</v>
      </c>
      <c r="BM15" t="s">
        <v>13</v>
      </c>
      <c r="BN15">
        <v>0</v>
      </c>
      <c r="BO15">
        <v>2.8849999999999998</v>
      </c>
      <c r="BP15" s="3">
        <v>779045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43</v>
      </c>
      <c r="C16" s="2">
        <v>46233.792349537034</v>
      </c>
      <c r="D16">
        <v>140</v>
      </c>
      <c r="E16" t="s">
        <v>13</v>
      </c>
      <c r="F16">
        <v>0</v>
      </c>
      <c r="G16">
        <v>6.0679999999999996</v>
      </c>
      <c r="H16" s="3">
        <v>11370</v>
      </c>
      <c r="I16">
        <v>2.3E-2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43</v>
      </c>
      <c r="Q16" s="2">
        <v>46233.792349537034</v>
      </c>
      <c r="R16">
        <v>140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43</v>
      </c>
      <c r="AE16" s="2">
        <v>46233.792349537034</v>
      </c>
      <c r="AF16">
        <v>140</v>
      </c>
      <c r="AG16" t="s">
        <v>13</v>
      </c>
      <c r="AH16">
        <v>0</v>
      </c>
      <c r="AI16">
        <v>12.324</v>
      </c>
      <c r="AJ16" s="3">
        <v>15143</v>
      </c>
      <c r="AK16">
        <v>2.68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27.89594017484</v>
      </c>
      <c r="AU16" s="17">
        <f t="shared" si="1"/>
        <v>2865.0121209697099</v>
      </c>
      <c r="AW16" s="9">
        <f t="shared" si="10"/>
        <v>23.975040328700004</v>
      </c>
      <c r="AX16" s="10">
        <f t="shared" si="11"/>
        <v>3568.5835042110998</v>
      </c>
      <c r="AZ16" s="11">
        <f t="shared" si="12"/>
        <v>28.603294831280003</v>
      </c>
      <c r="BA16" s="12">
        <f t="shared" si="13"/>
        <v>3124.7022351497994</v>
      </c>
      <c r="BC16" s="14">
        <f t="shared" si="14"/>
        <v>33.639340175299999</v>
      </c>
      <c r="BD16" s="15">
        <f t="shared" si="15"/>
        <v>3302.8088362675703</v>
      </c>
      <c r="BF16" s="16">
        <f t="shared" si="8"/>
        <v>27.89594017484</v>
      </c>
      <c r="BG16" s="17">
        <f t="shared" si="9"/>
        <v>2865.0121209697099</v>
      </c>
      <c r="BI16">
        <v>52</v>
      </c>
      <c r="BJ16" t="s">
        <v>43</v>
      </c>
      <c r="BK16" s="2">
        <v>46233.792349537034</v>
      </c>
      <c r="BL16">
        <v>140</v>
      </c>
      <c r="BM16" t="s">
        <v>13</v>
      </c>
      <c r="BN16">
        <v>0</v>
      </c>
      <c r="BO16">
        <v>2.899</v>
      </c>
      <c r="BP16" s="3">
        <v>651487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44</v>
      </c>
      <c r="C17" s="2">
        <v>46233.81355324074</v>
      </c>
      <c r="D17">
        <v>282</v>
      </c>
      <c r="E17" t="s">
        <v>13</v>
      </c>
      <c r="F17">
        <v>0</v>
      </c>
      <c r="G17">
        <v>6.077</v>
      </c>
      <c r="H17" s="3">
        <v>2128</v>
      </c>
      <c r="I17">
        <v>4.0000000000000001E-3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44</v>
      </c>
      <c r="Q17" s="2">
        <v>46233.81355324074</v>
      </c>
      <c r="R17">
        <v>282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44</v>
      </c>
      <c r="AE17" s="2">
        <v>46233.81355324074</v>
      </c>
      <c r="AF17">
        <v>282</v>
      </c>
      <c r="AG17" t="s">
        <v>13</v>
      </c>
      <c r="AH17">
        <v>0</v>
      </c>
      <c r="AI17">
        <v>12.231</v>
      </c>
      <c r="AJ17" s="3">
        <v>70835</v>
      </c>
      <c r="AK17">
        <v>12.191000000000001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6.9156215818240003</v>
      </c>
      <c r="AU17" s="17">
        <f t="shared" si="1"/>
        <v>13205.893672704951</v>
      </c>
      <c r="AW17" s="9">
        <f t="shared" ref="AW17:AW22" si="16">IF(H17&lt;10000,((H17^2*0.00000054)+(H17*-0.004765)+(12.72)),(IF(H17&lt;200000,((H17^2*-0.000000001577)+(H17*0.003043)+(-10.42)),(IF(H17&lt;8000000,((H17^2*-0.0000000000186)+(H17*0.00194)+(154.1)),((V17^2*-0.00000002)+(V17*0.2565)+(-1032)))))))</f>
        <v>5.0254073600000009</v>
      </c>
      <c r="AX17" s="10">
        <f t="shared" ref="AX17:AX22" si="17">IF(AJ17&lt;45000,((-0.0000004561*AJ17^2)+(0.244*AJ17)+(-21.72)),((-0.0000000409*AJ17^2)+(0.2477*AJ17)+(-1777)))</f>
        <v>15563.609773497501</v>
      </c>
      <c r="AZ17" s="11">
        <f t="shared" ref="AZ17:AZ22" si="18">IF(H17&lt;10000,((H17^2*0.00000005714)+(H17*0.002453)+(-3.811)),(IF(H17&lt;200000,((H17^2*-0.0000000002888)+(H17*0.002899)+(-4.321)),(IF(H17&lt;8000000,((H17^2*-0.0000000000062)+(H17*0.002143)+(157)),((V17^2*-0.000000031)+(V17*0.2771)+(-709.5)))))))</f>
        <v>1.6677358617600007</v>
      </c>
      <c r="BA17" s="12">
        <f t="shared" ref="BA17:BA22" si="19">IF(AJ17&lt;45000,((-0.0000000598*AJ17^2)+(0.205*AJ17)+(34.1)),((-0.00000002403*AJ17^2)+(0.2063*AJ17)+(-550.7)))</f>
        <v>13941.987638683249</v>
      </c>
      <c r="BC17" s="14">
        <f t="shared" ref="BC17:BC22" si="20">IF(H17&lt;10000,((H17^2*0.000000008493)+(H17*0.003482)+(-3.269)),(IF(H17&lt;200000,((H17^2*-0.000000000263)+(H17*0.002682)+(3.179)),(IF(H17&lt;8000000,((H17^2*-0.000000000005099)+(H17*0.002054)+(174.8)),((V17^2*-0.00000001014)+(V17*0.2415)+(1123)))))))</f>
        <v>4.1791555653119996</v>
      </c>
      <c r="BD17" s="15">
        <f t="shared" ref="BD17:BD22" si="21">IF(AJ17&lt;45000,((-0.00000004907*AJ17^2)+(0.2277*AJ17)+(-134)),((-0.00000001062*AJ17^2)+(0.2147*AJ17)+(590.6)))</f>
        <v>15745.587617470499</v>
      </c>
      <c r="BF17" s="16">
        <f t="shared" si="8"/>
        <v>6.9156215818240003</v>
      </c>
      <c r="BG17" s="17">
        <f t="shared" si="9"/>
        <v>13205.893672704951</v>
      </c>
      <c r="BI17">
        <v>53</v>
      </c>
      <c r="BJ17" t="s">
        <v>44</v>
      </c>
      <c r="BK17" s="2">
        <v>46233.81355324074</v>
      </c>
      <c r="BL17">
        <v>282</v>
      </c>
      <c r="BM17" t="s">
        <v>13</v>
      </c>
      <c r="BN17">
        <v>0</v>
      </c>
      <c r="BO17">
        <v>2.8919999999999999</v>
      </c>
      <c r="BP17" s="3">
        <v>777116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45</v>
      </c>
      <c r="C18" s="2">
        <v>46233.834768518522</v>
      </c>
      <c r="D18">
        <v>316</v>
      </c>
      <c r="E18" t="s">
        <v>13</v>
      </c>
      <c r="F18">
        <v>0</v>
      </c>
      <c r="G18">
        <v>6.0650000000000004</v>
      </c>
      <c r="H18" s="3">
        <v>13079</v>
      </c>
      <c r="I18">
        <v>2.7E-2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45</v>
      </c>
      <c r="Q18" s="2">
        <v>46233.834768518522</v>
      </c>
      <c r="R18">
        <v>316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45</v>
      </c>
      <c r="AE18" s="2">
        <v>46233.834768518522</v>
      </c>
      <c r="AF18">
        <v>316</v>
      </c>
      <c r="AG18" t="s">
        <v>13</v>
      </c>
      <c r="AH18">
        <v>0</v>
      </c>
      <c r="AI18">
        <v>12.321</v>
      </c>
      <c r="AJ18" s="3">
        <v>2187</v>
      </c>
      <c r="AK18">
        <v>0.46600000000000003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31.605832925287604</v>
      </c>
      <c r="AU18" s="17">
        <f t="shared" si="1"/>
        <v>451.04708246051001</v>
      </c>
      <c r="AW18" s="9">
        <f t="shared" si="16"/>
        <v>29.109634999942998</v>
      </c>
      <c r="AX18" s="10">
        <f t="shared" si="17"/>
        <v>509.72648783910006</v>
      </c>
      <c r="AZ18" s="11">
        <f t="shared" si="18"/>
        <v>33.545618802399204</v>
      </c>
      <c r="BA18" s="12">
        <f t="shared" si="19"/>
        <v>482.1489784538</v>
      </c>
      <c r="BC18" s="14">
        <f t="shared" si="20"/>
        <v>38.211889156616998</v>
      </c>
      <c r="BD18" s="15">
        <f t="shared" si="21"/>
        <v>363.74519971117002</v>
      </c>
      <c r="BF18" s="16">
        <f t="shared" si="8"/>
        <v>31.605832925287604</v>
      </c>
      <c r="BG18" s="17">
        <f t="shared" si="9"/>
        <v>451.04708246051001</v>
      </c>
      <c r="BI18">
        <v>54</v>
      </c>
      <c r="BJ18" t="s">
        <v>45</v>
      </c>
      <c r="BK18" s="2">
        <v>46233.834768518522</v>
      </c>
      <c r="BL18">
        <v>316</v>
      </c>
      <c r="BM18" t="s">
        <v>13</v>
      </c>
      <c r="BN18">
        <v>0</v>
      </c>
      <c r="BO18">
        <v>2.8980000000000001</v>
      </c>
      <c r="BP18" s="3">
        <v>637945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46</v>
      </c>
      <c r="C19" s="2">
        <v>46233.85596064815</v>
      </c>
      <c r="D19">
        <v>175</v>
      </c>
      <c r="E19" t="s">
        <v>13</v>
      </c>
      <c r="F19">
        <v>0</v>
      </c>
      <c r="G19">
        <v>6.0860000000000003</v>
      </c>
      <c r="H19" s="3">
        <v>2380</v>
      </c>
      <c r="I19">
        <v>5.0000000000000001E-3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46</v>
      </c>
      <c r="Q19" s="2">
        <v>46233.85596064815</v>
      </c>
      <c r="R19">
        <v>175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46</v>
      </c>
      <c r="AE19" s="2">
        <v>46233.85596064815</v>
      </c>
      <c r="AF19">
        <v>175</v>
      </c>
      <c r="AG19" t="s">
        <v>13</v>
      </c>
      <c r="AH19">
        <v>0</v>
      </c>
      <c r="AI19">
        <v>12.236000000000001</v>
      </c>
      <c r="AJ19" s="3">
        <v>68125</v>
      </c>
      <c r="AK19">
        <v>11.728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7.5678624184000007</v>
      </c>
      <c r="AU19" s="17">
        <f t="shared" si="1"/>
        <v>12762.219974570313</v>
      </c>
      <c r="AW19" s="9">
        <f t="shared" si="16"/>
        <v>4.4380760000000006</v>
      </c>
      <c r="AX19" s="10">
        <f t="shared" si="17"/>
        <v>14907.7449609375</v>
      </c>
      <c r="AZ19" s="11">
        <f t="shared" si="18"/>
        <v>2.350803816</v>
      </c>
      <c r="BA19" s="12">
        <f t="shared" si="19"/>
        <v>13391.963894531249</v>
      </c>
      <c r="BC19" s="14">
        <f t="shared" si="20"/>
        <v>5.0662677491999997</v>
      </c>
      <c r="BD19" s="15">
        <f t="shared" si="21"/>
        <v>15167.7499140625</v>
      </c>
      <c r="BF19" s="16">
        <f t="shared" si="8"/>
        <v>7.5678624184000007</v>
      </c>
      <c r="BG19" s="17">
        <f t="shared" si="9"/>
        <v>12762.219974570313</v>
      </c>
      <c r="BI19">
        <v>55</v>
      </c>
      <c r="BJ19" t="s">
        <v>46</v>
      </c>
      <c r="BK19" s="2">
        <v>46233.85596064815</v>
      </c>
      <c r="BL19">
        <v>175</v>
      </c>
      <c r="BM19" t="s">
        <v>13</v>
      </c>
      <c r="BN19">
        <v>0</v>
      </c>
      <c r="BO19">
        <v>2.8879999999999999</v>
      </c>
      <c r="BP19" s="3">
        <v>802703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47</v>
      </c>
      <c r="C20" s="2">
        <v>46233.877164351848</v>
      </c>
      <c r="D20">
        <v>285</v>
      </c>
      <c r="E20" t="s">
        <v>13</v>
      </c>
      <c r="F20">
        <v>0</v>
      </c>
      <c r="G20">
        <v>6.08</v>
      </c>
      <c r="H20" s="3">
        <v>2515</v>
      </c>
      <c r="I20">
        <v>5.0000000000000001E-3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47</v>
      </c>
      <c r="Q20" s="2">
        <v>46233.877164351848</v>
      </c>
      <c r="R20">
        <v>285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47</v>
      </c>
      <c r="AE20" s="2">
        <v>46233.877164351848</v>
      </c>
      <c r="AF20">
        <v>285</v>
      </c>
      <c r="AG20" t="s">
        <v>13</v>
      </c>
      <c r="AH20">
        <v>0</v>
      </c>
      <c r="AI20">
        <v>12.18</v>
      </c>
      <c r="AJ20" s="3">
        <v>67438</v>
      </c>
      <c r="AK20">
        <v>11.611000000000001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7.9170831143500005</v>
      </c>
      <c r="AU20" s="17">
        <f t="shared" si="1"/>
        <v>12649.751564027467</v>
      </c>
      <c r="AW20" s="9">
        <f t="shared" si="16"/>
        <v>4.1516465</v>
      </c>
      <c r="AX20" s="10">
        <f t="shared" si="17"/>
        <v>14741.384150780399</v>
      </c>
      <c r="AZ20" s="11">
        <f t="shared" si="18"/>
        <v>2.7197183564999996</v>
      </c>
      <c r="BA20" s="12">
        <f t="shared" si="19"/>
        <v>13252.473751228681</v>
      </c>
      <c r="BC20" s="14">
        <f t="shared" si="20"/>
        <v>5.5419501359249992</v>
      </c>
      <c r="BD20" s="15">
        <f t="shared" si="21"/>
        <v>15021.240073576721</v>
      </c>
      <c r="BF20" s="16">
        <f t="shared" si="8"/>
        <v>7.9170831143500005</v>
      </c>
      <c r="BG20" s="17">
        <f t="shared" si="9"/>
        <v>12649.751564027467</v>
      </c>
      <c r="BI20">
        <v>56</v>
      </c>
      <c r="BJ20" t="s">
        <v>47</v>
      </c>
      <c r="BK20" s="2">
        <v>46233.877164351848</v>
      </c>
      <c r="BL20">
        <v>285</v>
      </c>
      <c r="BM20" t="s">
        <v>13</v>
      </c>
      <c r="BN20">
        <v>0</v>
      </c>
      <c r="BO20">
        <v>2.8849999999999998</v>
      </c>
      <c r="BP20" s="3">
        <v>845370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48</v>
      </c>
      <c r="C21" s="2">
        <v>46233.898344907408</v>
      </c>
      <c r="D21">
        <v>322</v>
      </c>
      <c r="E21" t="s">
        <v>13</v>
      </c>
      <c r="F21">
        <v>0</v>
      </c>
      <c r="G21">
        <v>6.0739999999999998</v>
      </c>
      <c r="H21" s="3">
        <v>2228</v>
      </c>
      <c r="I21">
        <v>5.0000000000000001E-3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48</v>
      </c>
      <c r="Q21" s="2">
        <v>46233.898344907408</v>
      </c>
      <c r="R21">
        <v>322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48</v>
      </c>
      <c r="AE21" s="2">
        <v>46233.898344907408</v>
      </c>
      <c r="AF21">
        <v>322</v>
      </c>
      <c r="AG21" t="s">
        <v>13</v>
      </c>
      <c r="AH21">
        <v>0</v>
      </c>
      <c r="AI21">
        <v>12.238</v>
      </c>
      <c r="AJ21" s="3">
        <v>73184</v>
      </c>
      <c r="AK21">
        <v>12.592000000000001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7.1745037634240001</v>
      </c>
      <c r="AU21" s="17">
        <f t="shared" si="1"/>
        <v>13590.492579215461</v>
      </c>
      <c r="AW21" s="9">
        <f t="shared" si="16"/>
        <v>4.7841313600000008</v>
      </c>
      <c r="AX21" s="10">
        <f t="shared" si="17"/>
        <v>16131.620577689602</v>
      </c>
      <c r="AZ21" s="11">
        <f t="shared" si="18"/>
        <v>1.9379260457599994</v>
      </c>
      <c r="BA21" s="12">
        <f t="shared" si="19"/>
        <v>14418.456974520321</v>
      </c>
      <c r="BC21" s="14">
        <f t="shared" si="20"/>
        <v>4.5310551161119994</v>
      </c>
      <c r="BD21" s="15">
        <f t="shared" si="21"/>
        <v>16246.325164769281</v>
      </c>
      <c r="BF21" s="16">
        <f t="shared" si="8"/>
        <v>7.1745037634240001</v>
      </c>
      <c r="BG21" s="17">
        <f t="shared" si="9"/>
        <v>13590.492579215461</v>
      </c>
      <c r="BI21">
        <v>57</v>
      </c>
      <c r="BJ21" t="s">
        <v>48</v>
      </c>
      <c r="BK21" s="2">
        <v>46233.898344907408</v>
      </c>
      <c r="BL21">
        <v>322</v>
      </c>
      <c r="BM21" t="s">
        <v>13</v>
      </c>
      <c r="BN21">
        <v>0</v>
      </c>
      <c r="BO21">
        <v>2.88</v>
      </c>
      <c r="BP21" s="3">
        <v>849484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49</v>
      </c>
      <c r="C22" s="2">
        <v>46233.919525462959</v>
      </c>
      <c r="D22">
        <v>239</v>
      </c>
      <c r="E22" t="s">
        <v>13</v>
      </c>
      <c r="F22">
        <v>0</v>
      </c>
      <c r="G22">
        <v>6.0640000000000001</v>
      </c>
      <c r="H22" s="3">
        <v>14788</v>
      </c>
      <c r="I22">
        <v>0.03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49</v>
      </c>
      <c r="Q22" s="2">
        <v>46233.919525462959</v>
      </c>
      <c r="R22">
        <v>239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49</v>
      </c>
      <c r="AE22" s="2">
        <v>46233.919525462959</v>
      </c>
      <c r="AF22">
        <v>239</v>
      </c>
      <c r="AG22" t="s">
        <v>13</v>
      </c>
      <c r="AH22">
        <v>0</v>
      </c>
      <c r="AI22">
        <v>12.307</v>
      </c>
      <c r="AJ22" s="3">
        <v>1921</v>
      </c>
      <c r="AK22">
        <v>0.42099999999999999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35.313526987078397</v>
      </c>
      <c r="AU22" s="17">
        <f t="shared" si="1"/>
        <v>401.61177372538998</v>
      </c>
      <c r="AW22" s="9">
        <f t="shared" si="16"/>
        <v>34.235017843312001</v>
      </c>
      <c r="AX22" s="10">
        <f t="shared" si="17"/>
        <v>445.3208810799</v>
      </c>
      <c r="AZ22" s="11">
        <f t="shared" si="18"/>
        <v>38.486255788172805</v>
      </c>
      <c r="BA22" s="12">
        <f t="shared" si="19"/>
        <v>427.68432358819996</v>
      </c>
      <c r="BC22" s="14">
        <f t="shared" si="20"/>
        <v>42.782901859728</v>
      </c>
      <c r="BD22" s="15">
        <f t="shared" si="21"/>
        <v>303.23061987413007</v>
      </c>
      <c r="BF22" s="16">
        <f t="shared" si="8"/>
        <v>35.313526987078397</v>
      </c>
      <c r="BG22" s="17">
        <f t="shared" si="9"/>
        <v>401.61177372538998</v>
      </c>
      <c r="BI22">
        <v>58</v>
      </c>
      <c r="BJ22" t="s">
        <v>49</v>
      </c>
      <c r="BK22" s="2">
        <v>46233.919525462959</v>
      </c>
      <c r="BL22">
        <v>239</v>
      </c>
      <c r="BM22" t="s">
        <v>13</v>
      </c>
      <c r="BN22">
        <v>0</v>
      </c>
      <c r="BO22">
        <v>2.8940000000000001</v>
      </c>
      <c r="BP22" s="3">
        <v>709835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C23" s="2"/>
      <c r="H23" s="3"/>
      <c r="Q23" s="2"/>
      <c r="AE23" s="2"/>
      <c r="AJ23" s="3"/>
      <c r="AS23" s="8"/>
      <c r="AT23" s="14"/>
      <c r="AU23" s="15"/>
      <c r="AW23" s="9"/>
      <c r="AX23" s="10"/>
      <c r="AZ23" s="11"/>
      <c r="BA23" s="12"/>
      <c r="BC23" s="14"/>
      <c r="BD23" s="15"/>
      <c r="BF23" s="14"/>
      <c r="BG23" s="15"/>
      <c r="BK23" s="2"/>
      <c r="BP23" s="3"/>
    </row>
    <row r="24" spans="1:73" x14ac:dyDescent="0.35">
      <c r="C24" s="2"/>
      <c r="H24" s="3"/>
      <c r="Q24" s="2"/>
      <c r="V24" s="3"/>
      <c r="AE24" s="2"/>
      <c r="AJ24" s="3"/>
      <c r="AS24" s="8"/>
      <c r="AT24" s="14"/>
      <c r="AU24" s="15"/>
      <c r="AW24" s="9"/>
      <c r="AX24" s="10"/>
      <c r="AZ24" s="11"/>
      <c r="BA24" s="12"/>
      <c r="BC24" s="14"/>
      <c r="BD24" s="15"/>
      <c r="BF24" s="14"/>
      <c r="BG24" s="15"/>
      <c r="BK24" s="2"/>
      <c r="BP24" s="3"/>
    </row>
    <row r="25" spans="1:73" x14ac:dyDescent="0.35">
      <c r="C25" s="2"/>
      <c r="H25" s="3"/>
      <c r="Q25" s="2"/>
      <c r="AE25" s="2"/>
      <c r="AJ25" s="3"/>
      <c r="AS25" s="8"/>
      <c r="AT25" s="14"/>
      <c r="AU25" s="15"/>
      <c r="AW25" s="9"/>
      <c r="AX25" s="10"/>
      <c r="AZ25" s="11"/>
      <c r="BA25" s="12"/>
      <c r="BC25" s="14"/>
      <c r="BD25" s="15"/>
      <c r="BF25" s="14"/>
      <c r="BG25" s="15"/>
      <c r="BK25" s="2"/>
      <c r="BP25" s="3"/>
    </row>
    <row r="26" spans="1:73" x14ac:dyDescent="0.35">
      <c r="C26" s="2"/>
      <c r="H26" s="3"/>
      <c r="Q26" s="2"/>
      <c r="V26" s="3"/>
      <c r="AE26" s="2"/>
      <c r="AJ26" s="3"/>
      <c r="AS26" s="8"/>
      <c r="AT26" s="14"/>
      <c r="AU26" s="15"/>
      <c r="AW26" s="9"/>
      <c r="AX26" s="10"/>
      <c r="AZ26" s="11"/>
      <c r="BA26" s="12"/>
      <c r="BC26" s="14"/>
      <c r="BD26" s="15"/>
      <c r="BF26" s="14"/>
      <c r="BG26" s="15"/>
      <c r="BK26" s="2"/>
      <c r="BP26" s="3"/>
    </row>
    <row r="27" spans="1:73" x14ac:dyDescent="0.35">
      <c r="C27" s="2"/>
      <c r="H27" s="3"/>
      <c r="Q27" s="2"/>
      <c r="AE27" s="2"/>
      <c r="AJ27" s="3"/>
      <c r="AS27" s="8"/>
      <c r="AT27" s="14"/>
      <c r="AU27" s="15"/>
      <c r="AW27" s="9"/>
      <c r="AX27" s="10"/>
      <c r="AZ27" s="11"/>
      <c r="BA27" s="12"/>
      <c r="BC27" s="14"/>
      <c r="BD27" s="15"/>
      <c r="BF27" s="14"/>
      <c r="BG27" s="15"/>
      <c r="BK27" s="2"/>
      <c r="BP27" s="3"/>
    </row>
    <row r="28" spans="1:73" x14ac:dyDescent="0.35">
      <c r="C28" s="2"/>
      <c r="H28" s="3"/>
      <c r="Q28" s="2"/>
      <c r="AE28" s="2"/>
      <c r="AJ28" s="3"/>
      <c r="AS28" s="8"/>
      <c r="AT28" s="14"/>
      <c r="AU28" s="15"/>
      <c r="AW28" s="9"/>
      <c r="AX28" s="10"/>
      <c r="AZ28" s="11"/>
      <c r="BA28" s="12"/>
      <c r="BC28" s="14"/>
      <c r="BD28" s="15"/>
      <c r="BF28" s="14"/>
      <c r="BG28" s="15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3"/>
      <c r="AS29" s="8"/>
      <c r="AT29" s="14"/>
      <c r="AU29" s="15"/>
      <c r="AW29" s="9"/>
      <c r="AX29" s="10"/>
      <c r="AZ29" s="11"/>
      <c r="BA29" s="12"/>
      <c r="BC29" s="14"/>
      <c r="BD29" s="15"/>
      <c r="BF29" s="14"/>
      <c r="BG29" s="15"/>
      <c r="BK29" s="2"/>
      <c r="BP29" s="3"/>
    </row>
    <row r="30" spans="1:73" x14ac:dyDescent="0.3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35">
      <c r="C31" s="2"/>
      <c r="H31" s="3"/>
      <c r="Q31" s="2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3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3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3:68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3:68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3:68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3:68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3:68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2026-08-04T16:02:19Z</dcterms:modified>
</cp:coreProperties>
</file>