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13_ncr:1_{39328355-8126-40DD-BE8A-57DA3CCDBFE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30" i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32" i="1"/>
  <c r="AU32" i="1"/>
  <c r="AW32" i="1"/>
  <c r="AX32" i="1"/>
  <c r="AZ32" i="1"/>
  <c r="BA32" i="1"/>
  <c r="BC32" i="1"/>
  <c r="BD32" i="1"/>
  <c r="BF32" i="1"/>
  <c r="BG32" i="1"/>
  <c r="AT33" i="1"/>
  <c r="AU33" i="1"/>
  <c r="AW33" i="1"/>
  <c r="AX33" i="1"/>
  <c r="AZ33" i="1"/>
  <c r="BA33" i="1"/>
  <c r="BC33" i="1"/>
  <c r="BD33" i="1"/>
  <c r="BF33" i="1"/>
  <c r="BG33" i="1"/>
  <c r="AT34" i="1"/>
  <c r="AU34" i="1"/>
  <c r="AW34" i="1"/>
  <c r="AX34" i="1"/>
  <c r="AZ34" i="1"/>
  <c r="BA34" i="1"/>
  <c r="BC34" i="1"/>
  <c r="BD34" i="1"/>
  <c r="BF34" i="1"/>
  <c r="BG34" i="1"/>
  <c r="BG16" i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<sst xmlns="http://schemas.openxmlformats.org/spreadsheetml/2006/main" count="762" uniqueCount="61">
  <si>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</si>
  <si>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</si>
  <si>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</si>
  <si>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</si>
  <si>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</si>
  <si>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</si>
  <si>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</si>
  <si>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</si>
  <si>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</si>
  <si>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</si>
  <si>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</si>
  <si>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</si>
  <si>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</si>
  <si>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</si>
  <si>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</si>
  <si>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</si>
  <si>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</si>
  <si>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</si>
  <si>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</si>
  <si>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</si>
  <si>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</si>
  <si>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</si>
  <si>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</si>
  <si>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</si>
  <si>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</si>
  <si>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</si>
  <si>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</si>
  <si>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</si>
  <si>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</si>
  <si>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</si>
  <si>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</si>
  <si>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</si>
  <si>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</si>
  <si>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</si>
  <si>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</si>
  <si>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FMI20260804_001.gcd</t>
  </si>
  <si>
    <t>FMI20260804_002.gcd</t>
  </si>
  <si>
    <t>FMI20260804_003.gcd</t>
  </si>
  <si>
    <t>FMI20260804_004.gcd</t>
  </si>
  <si>
    <t>FMI20260804_005.gcd</t>
  </si>
  <si>
    <t>FMI20260804_006.gcd</t>
  </si>
  <si>
    <t>FMI20260804_007.gcd</t>
  </si>
  <si>
    <t>FMI20260804_008.gcd</t>
  </si>
  <si>
    <t>FMI20260804_009.gcd</t>
  </si>
  <si>
    <t>FMI20260804_010.gcd</t>
  </si>
  <si>
    <t>FMI20260804_011.gcd</t>
  </si>
  <si>
    <t>FMI20260804_012.gcd</t>
  </si>
  <si>
    <t>FMI20260804_013.gcd</t>
  </si>
  <si>
    <t>FMI20260804_014.gcd</t>
  </si>
  <si>
    <t>FMI20260804_015.gcd</t>
  </si>
  <si>
    <t>FMI20260804_016.gcd</t>
  </si>
  <si>
    <t>FMI20260804_017.gcd</t>
  </si>
  <si>
    <t>FMI20260804_018.gcd</t>
  </si>
  <si>
    <t>FMI20260804_019.gcd</t>
  </si>
  <si>
    <t>FMI20260804_020.gcd</t>
  </si>
  <si>
    <t>FMI20260804_021.gcd</t>
  </si>
  <si>
    <t>FMI20260804_022.gcd</t>
  </si>
  <si>
    <t>FMI20260804_023.gcd</t>
  </si>
  <si>
    <t>FMI20260804_024.gcd</t>
  </si>
  <si>
    <t>FMI20260804_025.gcd</t>
  </si>
  <si>
    <t>FMI20260804_026.gcd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</si>
</sst>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36"/>
  <sheetViews>
    <sheetView tabSelected="1" topLeftCell="AB1" workbookViewId="0">
      <selection activeCell="AH44" sqref="AH44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7265625" customWidth="1"/>
    <col min="46" max="47" width="10.1796875" customWidth="1"/>
    <col min="49" max="50" width="10.1796875" customWidth="1"/>
    <col min="52" max="53" width="10.1796875" customWidth="1"/>
    <col min="54" max="54" width="8.726562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46238.473032407404</v>
      </c>
      <c r="D9" t="s">
        <v>31</v>
      </c>
      <c r="E9" t="s">
        <v>13</v>
      </c>
      <c r="F9">
        <v>0</v>
      </c>
      <c r="G9">
        <v>6.093</v>
      </c>
      <c r="H9" s="3">
        <v>1046</v>
      </c>
      <c r="I9">
        <v>2E-3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46238.473032407404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46238.473032407404</v>
      </c>
      <c r="AF9" t="s">
        <v>31</v>
      </c>
      <c r="AG9" t="s">
        <v>13</v>
      </c>
      <c r="AH9">
        <v>0</v>
      </c>
      <c r="AI9">
        <v>12.372</v>
      </c>
      <c r="AJ9" s="3">
        <v>2273</v>
      </c>
      <c r="AK9">
        <v>0.48099999999999998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34" si="0">IF($H9&lt;10000,(($H9^2*-0.000000003714)+($H9*0.002605)+(1.389)),(IF($H9&lt;200000,(($H9^2*-0.0000000003764)+($H9*0.00218)+(3.158)),(IF($H9&lt;8000000,(($H9^2*-0.000000000004719)+($H9*0.001816)+(146.1)),(($V9^2*0.000000002578)+($V9*0.2173)+(2294)))))))</f>
        <v>4.1097664531760003</v>
      </c>
      <c r="AU9" s="17">
        <f t="shared" ref="AU9:AU34" si="1">IF($AJ9&lt;45000,((0.00000003579*$AJ9^2)+(0.1857*$AJ9)+(44.75)),((0.0000000022829*$AJ9^2)+(0.1634*$AJ9)+(1620)))</f>
        <v>467.03101007291002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8.3266326399999997</v>
      </c>
      <c r="AX9" s="10">
        <f t="shared" ref="AX9:AX14" si="3">IF(AJ9&lt;45000,((-0.0000004561*AJ9^2)+(0.244*AJ9)+(-21.72)),((-0.0000000409*AJ9^2)+(0.2477*AJ9)+(-1777)))</f>
        <v>530.53554612309995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-1.18264421176</v>
      </c>
      <c r="BA9" s="12">
        <f t="shared" ref="BA9:BA14" si="5">IF(AJ9&lt;45000,((-0.0000000598*AJ9^2)+(0.205*AJ9)+(34.1)),((-0.00000002403*AJ9^2)+(0.2063*AJ9)+(-550.7)))</f>
        <v>499.75604156579999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0.38246432718799994</v>
      </c>
      <c r="BD9" s="15">
        <f t="shared" ref="BD9:BD14" si="7">IF(AJ9&lt;45000,((-0.00000004907*AJ9^2)+(0.2277*AJ9)+(-134)),((-0.00000001062*AJ9^2)+(0.2147*AJ9)+(590.6)))</f>
        <v>383.30857842196997</v>
      </c>
      <c r="BF9" s="16">
        <f t="shared" ref="BF9:BF34" si="8">IF($H9&lt;10000,(($H9^2*-0.000000003714)+($H9*0.002605)+(1.389)),(IF($H9&lt;200000,(($H9^2*-0.0000000003764)+($H9*0.00218)+(3.158)),(IF($H9&lt;8000000,(($H9^2*-0.000000000004719)+($H9*0.001816)+(146.1)),(($V9^2*0.000000002578)+($V9*0.2173)+(2294)))))))</f>
        <v>4.1097664531760003</v>
      </c>
      <c r="BG9" s="17">
        <f t="shared" ref="BG9:BG34" si="9">IF($AJ9&lt;45000,((0.00000003579*$AJ9^2)+(0.1857*$AJ9)+(44.75)),((0.0000000022829*$AJ9^2)+(0.1634*$AJ9)+(1620)))</f>
        <v>467.03101007291002</v>
      </c>
      <c r="BI9">
        <v>45</v>
      </c>
      <c r="BJ9" t="s">
        <v>35</v>
      </c>
      <c r="BK9" s="2">
        <v>46238.473032407404</v>
      </c>
      <c r="BL9" t="s">
        <v>31</v>
      </c>
      <c r="BM9" t="s">
        <v>13</v>
      </c>
      <c r="BN9">
        <v>0</v>
      </c>
      <c r="BO9">
        <v>2.718</v>
      </c>
      <c r="BP9" s="3">
        <v>5346595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46238.494259259256</v>
      </c>
      <c r="D10" t="s">
        <v>32</v>
      </c>
      <c r="E10" t="s">
        <v>13</v>
      </c>
      <c r="F10">
        <v>0</v>
      </c>
      <c r="G10">
        <v>6.0439999999999996</v>
      </c>
      <c r="H10" s="3">
        <v>1063189</v>
      </c>
      <c r="I10">
        <v>2.1619999999999999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46238.494259259256</v>
      </c>
      <c r="R10" t="s">
        <v>32</v>
      </c>
      <c r="S10" t="s">
        <v>13</v>
      </c>
      <c r="T10">
        <v>0</v>
      </c>
      <c r="U10">
        <v>5.9960000000000004</v>
      </c>
      <c r="V10" s="3">
        <v>9601</v>
      </c>
      <c r="W10">
        <v>2.3370000000000002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46238.494259259256</v>
      </c>
      <c r="AF10" t="s">
        <v>32</v>
      </c>
      <c r="AG10" t="s">
        <v>13</v>
      </c>
      <c r="AH10">
        <v>0</v>
      </c>
      <c r="AI10">
        <v>12.332000000000001</v>
      </c>
      <c r="AJ10" s="3">
        <v>7955</v>
      </c>
      <c r="AK10">
        <v>1.4510000000000001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2071.5170039601667</v>
      </c>
      <c r="AU10" s="17">
        <f t="shared" si="1"/>
        <v>1524.2583636747499</v>
      </c>
      <c r="AW10" s="9">
        <f t="shared" si="2"/>
        <v>2195.6617621951896</v>
      </c>
      <c r="AX10" s="10">
        <f t="shared" si="3"/>
        <v>1890.4370683974998</v>
      </c>
      <c r="AZ10" s="11">
        <f t="shared" si="4"/>
        <v>2428.4057277317297</v>
      </c>
      <c r="BA10" s="12">
        <f t="shared" si="5"/>
        <v>1661.0907349049999</v>
      </c>
      <c r="BC10" s="14">
        <f t="shared" si="6"/>
        <v>2352.8264450372726</v>
      </c>
      <c r="BD10" s="15">
        <f t="shared" si="7"/>
        <v>1674.2482510332502</v>
      </c>
      <c r="BF10" s="16">
        <f t="shared" si="8"/>
        <v>2071.5170039601667</v>
      </c>
      <c r="BG10" s="17">
        <f t="shared" si="9"/>
        <v>1524.2583636747499</v>
      </c>
      <c r="BI10">
        <v>46</v>
      </c>
      <c r="BJ10" t="s">
        <v>36</v>
      </c>
      <c r="BK10" s="2">
        <v>46238.494259259256</v>
      </c>
      <c r="BL10" t="s">
        <v>32</v>
      </c>
      <c r="BM10" t="s">
        <v>13</v>
      </c>
      <c r="BN10">
        <v>0</v>
      </c>
      <c r="BO10">
        <v>2.7160000000000002</v>
      </c>
      <c r="BP10" s="3">
        <v>5328065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46238.515509259261</v>
      </c>
      <c r="D11" t="s">
        <v>26</v>
      </c>
      <c r="E11" t="s">
        <v>13</v>
      </c>
      <c r="F11">
        <v>0</v>
      </c>
      <c r="G11">
        <v>6.07</v>
      </c>
      <c r="H11" s="3">
        <v>2269</v>
      </c>
      <c r="I11">
        <v>5.0000000000000001E-3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46238.515509259261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46238.515509259261</v>
      </c>
      <c r="AF11" t="s">
        <v>26</v>
      </c>
      <c r="AG11" t="s">
        <v>13</v>
      </c>
      <c r="AH11">
        <v>0</v>
      </c>
      <c r="AI11">
        <v>12.362</v>
      </c>
      <c r="AJ11" s="3">
        <v>1910</v>
      </c>
      <c r="AK11">
        <v>0.41899999999999998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7.2806239872460008</v>
      </c>
      <c r="AU11" s="17">
        <f t="shared" si="1"/>
        <v>399.56756549900001</v>
      </c>
      <c r="AW11" s="9">
        <f t="shared" si="2"/>
        <v>4.6883299400000009</v>
      </c>
      <c r="AX11" s="10">
        <f t="shared" si="3"/>
        <v>442.65610158999993</v>
      </c>
      <c r="AZ11" s="11">
        <f t="shared" si="4"/>
        <v>2.0490343475399992</v>
      </c>
      <c r="BA11" s="12">
        <f t="shared" si="5"/>
        <v>425.43184362</v>
      </c>
      <c r="BC11" s="14">
        <f t="shared" si="6"/>
        <v>4.6753830299730001</v>
      </c>
      <c r="BD11" s="15">
        <f t="shared" si="7"/>
        <v>300.72798773300002</v>
      </c>
      <c r="BF11" s="16">
        <f t="shared" si="8"/>
        <v>7.2806239872460008</v>
      </c>
      <c r="BG11" s="17">
        <f t="shared" si="9"/>
        <v>399.56756549900001</v>
      </c>
      <c r="BI11">
        <v>47</v>
      </c>
      <c r="BJ11" t="s">
        <v>37</v>
      </c>
      <c r="BK11" s="2">
        <v>46238.515509259261</v>
      </c>
      <c r="BL11" t="s">
        <v>26</v>
      </c>
      <c r="BM11" t="s">
        <v>13</v>
      </c>
      <c r="BN11">
        <v>0</v>
      </c>
      <c r="BO11">
        <v>2.714</v>
      </c>
      <c r="BP11" s="3">
        <v>5423137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46238.536747685182</v>
      </c>
      <c r="D12">
        <v>154</v>
      </c>
      <c r="E12" t="s">
        <v>13</v>
      </c>
      <c r="F12">
        <v>0</v>
      </c>
      <c r="G12">
        <v>6.0510000000000002</v>
      </c>
      <c r="H12" s="3">
        <v>8921</v>
      </c>
      <c r="I12">
        <v>1.7999999999999999E-2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46238.536747685182</v>
      </c>
      <c r="R12">
        <v>154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46238.536747685182</v>
      </c>
      <c r="AF12">
        <v>154</v>
      </c>
      <c r="AG12" t="s">
        <v>13</v>
      </c>
      <c r="AH12">
        <v>0</v>
      </c>
      <c r="AI12">
        <v>12.314</v>
      </c>
      <c r="AJ12" s="3">
        <v>7451</v>
      </c>
      <c r="AK12">
        <v>1.365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24.332629128926001</v>
      </c>
      <c r="AU12" s="17">
        <f t="shared" si="1"/>
        <v>1430.3876677817902</v>
      </c>
      <c r="AW12" s="9">
        <f t="shared" si="2"/>
        <v>13.186925139999994</v>
      </c>
      <c r="AX12" s="10">
        <f t="shared" si="3"/>
        <v>1771.0025134038999</v>
      </c>
      <c r="AZ12" s="11">
        <f t="shared" si="4"/>
        <v>22.619656530739999</v>
      </c>
      <c r="BA12" s="12">
        <f t="shared" si="5"/>
        <v>1558.2350594201998</v>
      </c>
      <c r="BC12" s="14">
        <f t="shared" si="6"/>
        <v>28.469830958812999</v>
      </c>
      <c r="BD12" s="15">
        <f t="shared" si="7"/>
        <v>1559.8684611329302</v>
      </c>
      <c r="BF12" s="16">
        <f t="shared" si="8"/>
        <v>24.332629128926001</v>
      </c>
      <c r="BG12" s="17">
        <f t="shared" si="9"/>
        <v>1430.3876677817902</v>
      </c>
      <c r="BI12">
        <v>48</v>
      </c>
      <c r="BJ12" t="s">
        <v>38</v>
      </c>
      <c r="BK12" s="2">
        <v>46238.536747685182</v>
      </c>
      <c r="BL12">
        <v>154</v>
      </c>
      <c r="BM12" t="s">
        <v>13</v>
      </c>
      <c r="BN12">
        <v>0</v>
      </c>
      <c r="BO12">
        <v>2.8730000000000002</v>
      </c>
      <c r="BP12" s="3">
        <v>907703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46238.557974537034</v>
      </c>
      <c r="D13">
        <v>379</v>
      </c>
      <c r="E13" t="s">
        <v>13</v>
      </c>
      <c r="F13">
        <v>0</v>
      </c>
      <c r="G13">
        <v>6.08</v>
      </c>
      <c r="H13" s="3">
        <v>943</v>
      </c>
      <c r="I13">
        <v>2E-3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46238.557974537034</v>
      </c>
      <c r="R13">
        <v>379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46238.557974537034</v>
      </c>
      <c r="AF13">
        <v>379</v>
      </c>
      <c r="AG13" t="s">
        <v>13</v>
      </c>
      <c r="AH13">
        <v>0</v>
      </c>
      <c r="AI13">
        <v>12.153</v>
      </c>
      <c r="AJ13" s="3">
        <v>152501</v>
      </c>
      <c r="AK13">
        <v>26.126999999999999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3.842212329214</v>
      </c>
      <c r="AU13" s="17">
        <f t="shared" si="1"/>
        <v>26591.755789411782</v>
      </c>
      <c r="AW13" s="9">
        <f t="shared" si="2"/>
        <v>8.7067994599999992</v>
      </c>
      <c r="AX13" s="10">
        <f t="shared" si="3"/>
        <v>35046.304600459101</v>
      </c>
      <c r="AZ13" s="11">
        <f t="shared" si="4"/>
        <v>-1.4470093121400001</v>
      </c>
      <c r="BA13" s="12">
        <f t="shared" si="5"/>
        <v>30351.401283325969</v>
      </c>
      <c r="BC13" s="14">
        <f t="shared" si="6"/>
        <v>2.2078391756999771E-2</v>
      </c>
      <c r="BD13" s="15">
        <f t="shared" si="7"/>
        <v>33085.580085889378</v>
      </c>
      <c r="BF13" s="16">
        <f t="shared" si="8"/>
        <v>3.842212329214</v>
      </c>
      <c r="BG13" s="17">
        <f t="shared" si="9"/>
        <v>26591.755789411782</v>
      </c>
      <c r="BI13">
        <v>49</v>
      </c>
      <c r="BJ13" t="s">
        <v>39</v>
      </c>
      <c r="BK13" s="2">
        <v>46238.557974537034</v>
      </c>
      <c r="BL13">
        <v>379</v>
      </c>
      <c r="BM13" t="s">
        <v>13</v>
      </c>
      <c r="BN13">
        <v>0</v>
      </c>
      <c r="BO13">
        <v>2.8780000000000001</v>
      </c>
      <c r="BP13" s="3">
        <v>820662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46238.579201388886</v>
      </c>
      <c r="D14">
        <v>174</v>
      </c>
      <c r="E14" t="s">
        <v>13</v>
      </c>
      <c r="F14">
        <v>0</v>
      </c>
      <c r="G14">
        <v>6.0739999999999998</v>
      </c>
      <c r="H14" s="3">
        <v>876</v>
      </c>
      <c r="I14">
        <v>2E-3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46238.579201388886</v>
      </c>
      <c r="R14">
        <v>174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46238.579201388886</v>
      </c>
      <c r="AF14">
        <v>174</v>
      </c>
      <c r="AG14" t="s">
        <v>13</v>
      </c>
      <c r="AH14">
        <v>0</v>
      </c>
      <c r="AI14">
        <v>12.154999999999999</v>
      </c>
      <c r="AJ14" s="3">
        <v>153103</v>
      </c>
      <c r="AK14">
        <v>26.23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3.668129965536</v>
      </c>
      <c r="AU14" s="17">
        <f t="shared" si="1"/>
        <v>26690.542582761482</v>
      </c>
      <c r="AW14" s="9">
        <f t="shared" si="2"/>
        <v>8.9602430399999999</v>
      </c>
      <c r="AX14" s="10">
        <f t="shared" si="3"/>
        <v>35187.8954798919</v>
      </c>
      <c r="AZ14" s="11">
        <f t="shared" si="4"/>
        <v>-1.61832413536</v>
      </c>
      <c r="BA14" s="12">
        <f t="shared" si="5"/>
        <v>30471.172997525729</v>
      </c>
      <c r="BC14" s="14">
        <f t="shared" si="6"/>
        <v>-0.21225067563200017</v>
      </c>
      <c r="BD14" s="15">
        <f t="shared" si="7"/>
        <v>33212.875686172418</v>
      </c>
      <c r="BF14" s="16">
        <f t="shared" si="8"/>
        <v>3.668129965536</v>
      </c>
      <c r="BG14" s="17">
        <f t="shared" si="9"/>
        <v>26690.542582761482</v>
      </c>
      <c r="BI14">
        <v>50</v>
      </c>
      <c r="BJ14" t="s">
        <v>40</v>
      </c>
      <c r="BK14" s="2">
        <v>46238.579201388886</v>
      </c>
      <c r="BL14">
        <v>174</v>
      </c>
      <c r="BM14" t="s">
        <v>13</v>
      </c>
      <c r="BN14">
        <v>0</v>
      </c>
      <c r="BO14">
        <v>2.8809999999999998</v>
      </c>
      <c r="BP14" s="3">
        <v>761286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46238.600462962961</v>
      </c>
      <c r="D15">
        <v>94</v>
      </c>
      <c r="E15" t="s">
        <v>13</v>
      </c>
      <c r="F15">
        <v>0</v>
      </c>
      <c r="G15">
        <v>6.0389999999999997</v>
      </c>
      <c r="H15" s="3">
        <v>2997729</v>
      </c>
      <c r="I15">
        <v>6.1260000000000003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46238.600462962961</v>
      </c>
      <c r="R15">
        <v>94</v>
      </c>
      <c r="S15" t="s">
        <v>13</v>
      </c>
      <c r="T15">
        <v>0</v>
      </c>
      <c r="U15">
        <v>5.9909999999999997</v>
      </c>
      <c r="V15" s="3">
        <v>26616</v>
      </c>
      <c r="W15">
        <v>6.1989999999999998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46238.600462962961</v>
      </c>
      <c r="AF15">
        <v>94</v>
      </c>
      <c r="AG15" t="s">
        <v>13</v>
      </c>
      <c r="AH15">
        <v>0</v>
      </c>
      <c r="AI15">
        <v>12.256</v>
      </c>
      <c r="AJ15" s="3">
        <v>50172</v>
      </c>
      <c r="AK15">
        <v>8.6630000000000003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5547.5691407560362</v>
      </c>
      <c r="AU15" s="17">
        <f t="shared" si="1"/>
        <v>9823.8513834173136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5802.5476076715977</v>
      </c>
      <c r="AX15" s="10">
        <f t="shared" ref="AX15:AX16" si="11">IF(AJ15&lt;45000,((-0.0000004561*AJ15^2)+(0.244*AJ15)+(-21.72)),((-0.0000000409*AJ15^2)+(0.2477*AJ15)+(-1777)))</f>
        <v>10547.649710014401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6525.4176962238653</v>
      </c>
      <c r="BA15" s="12">
        <f t="shared" ref="BA15:BA16" si="13">IF(AJ15&lt;45000,((-0.0000000598*AJ15^2)+(0.205*AJ15)+(34.1)),((-0.00000002403*AJ15^2)+(0.2063*AJ15)+(-550.7)))</f>
        <v>9739.2945730964802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6286.313818676208</v>
      </c>
      <c r="BD15" s="15">
        <f t="shared" ref="BD15:BD16" si="15">IF(AJ15&lt;45000,((-0.00000004907*AJ15^2)+(0.2277*AJ15)+(-134)),((-0.00000001062*AJ15^2)+(0.2147*AJ15)+(590.6)))</f>
        <v>11335.79542181792</v>
      </c>
      <c r="BF15" s="16">
        <f t="shared" si="8"/>
        <v>5547.5691407560362</v>
      </c>
      <c r="BG15" s="17">
        <f t="shared" si="9"/>
        <v>9823.8513834173136</v>
      </c>
      <c r="BI15">
        <v>51</v>
      </c>
      <c r="BJ15" t="s">
        <v>41</v>
      </c>
      <c r="BK15" s="2">
        <v>46238.600462962961</v>
      </c>
      <c r="BL15">
        <v>94</v>
      </c>
      <c r="BM15" t="s">
        <v>13</v>
      </c>
      <c r="BN15">
        <v>0</v>
      </c>
      <c r="BO15">
        <v>2.8860000000000001</v>
      </c>
      <c r="BP15" s="3">
        <v>652618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46238.621724537035</v>
      </c>
      <c r="D16">
        <v>260</v>
      </c>
      <c r="E16" t="s">
        <v>13</v>
      </c>
      <c r="F16">
        <v>0</v>
      </c>
      <c r="G16">
        <v>5.8940000000000001</v>
      </c>
      <c r="H16" s="3">
        <v>42462346</v>
      </c>
      <c r="I16">
        <v>97.349000000000004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46238.621724537035</v>
      </c>
      <c r="R16">
        <v>260</v>
      </c>
      <c r="S16" t="s">
        <v>13</v>
      </c>
      <c r="T16">
        <v>0</v>
      </c>
      <c r="U16">
        <v>5.8659999999999997</v>
      </c>
      <c r="V16" s="3">
        <v>427165</v>
      </c>
      <c r="W16">
        <v>96.805999999999997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46238.621724537035</v>
      </c>
      <c r="AF16">
        <v>260</v>
      </c>
      <c r="AG16" t="s">
        <v>13</v>
      </c>
      <c r="AH16">
        <v>0</v>
      </c>
      <c r="AI16">
        <v>12.262</v>
      </c>
      <c r="AJ16" s="3">
        <v>43221</v>
      </c>
      <c r="AK16">
        <v>7.476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95587.361998166045</v>
      </c>
      <c r="AU16" s="17">
        <f t="shared" si="1"/>
        <v>8137.7473827593894</v>
      </c>
      <c r="AW16" s="9">
        <f t="shared" si="10"/>
        <v>104886.42375550001</v>
      </c>
      <c r="AX16" s="10">
        <f t="shared" si="11"/>
        <v>9672.1841870199005</v>
      </c>
      <c r="AZ16" s="11">
        <f t="shared" si="12"/>
        <v>112001.35344602501</v>
      </c>
      <c r="BA16" s="12">
        <f t="shared" si="13"/>
        <v>8782.6953205082009</v>
      </c>
      <c r="BC16" s="14">
        <f t="shared" si="14"/>
        <v>102433.1023365385</v>
      </c>
      <c r="BD16" s="15">
        <f t="shared" si="15"/>
        <v>9615.7562489521315</v>
      </c>
      <c r="BF16" s="16">
        <f t="shared" si="8"/>
        <v>95587.361998166045</v>
      </c>
      <c r="BG16" s="17">
        <f t="shared" si="9"/>
        <v>8137.7473827593894</v>
      </c>
      <c r="BI16">
        <v>52</v>
      </c>
      <c r="BJ16" t="s">
        <v>42</v>
      </c>
      <c r="BK16" s="2">
        <v>46238.621724537035</v>
      </c>
      <c r="BL16">
        <v>260</v>
      </c>
      <c r="BM16" t="s">
        <v>13</v>
      </c>
      <c r="BN16">
        <v>0</v>
      </c>
      <c r="BO16">
        <v>2.895</v>
      </c>
      <c r="BP16" s="3">
        <v>462158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46238.642962962964</v>
      </c>
      <c r="D17">
        <v>341</v>
      </c>
      <c r="E17" t="s">
        <v>13</v>
      </c>
      <c r="F17">
        <v>0</v>
      </c>
      <c r="G17">
        <v>6.06</v>
      </c>
      <c r="H17" s="3">
        <v>3755</v>
      </c>
      <c r="I17">
        <v>8.0000000000000002E-3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46238.642962962964</v>
      </c>
      <c r="R17">
        <v>341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46238.642962962964</v>
      </c>
      <c r="AF17">
        <v>341</v>
      </c>
      <c r="AG17" t="s">
        <v>13</v>
      </c>
      <c r="AH17">
        <v>0</v>
      </c>
      <c r="AI17">
        <v>12.226000000000001</v>
      </c>
      <c r="AJ17" s="3">
        <v>81804</v>
      </c>
      <c r="AK17">
        <v>14.064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11.11840750715</v>
      </c>
      <c r="AU17" s="17">
        <f t="shared" si="1"/>
        <v>15002.050525762284</v>
      </c>
      <c r="AW17" s="9">
        <f t="shared" ref="AW17:AW34" si="16">IF(H17&lt;10000,((H17^2*0.00000054)+(H17*-0.004765)+(12.72)),(IF(H17&lt;200000,((H17^2*-0.000000001577)+(H17*0.003043)+(-10.42)),(IF(H17&lt;8000000,((H17^2*-0.0000000000186)+(H17*0.00194)+(154.1)),((V17^2*-0.00000002)+(V17*0.2565)+(-1032)))))))</f>
        <v>2.4414385000000003</v>
      </c>
      <c r="AX17" s="10">
        <f t="shared" ref="AX17:AX34" si="17">IF(AJ17&lt;45000,((-0.0000004561*AJ17^2)+(0.244*AJ17)+(-21.72)),((-0.0000000409*AJ17^2)+(0.2477*AJ17)+(-1777)))</f>
        <v>18212.152318385601</v>
      </c>
      <c r="AZ17" s="11">
        <f t="shared" ref="AZ17:AZ34" si="18">IF(H17&lt;10000,((H17^2*0.00000005714)+(H17*0.002453)+(-3.811)),(IF(H17&lt;200000,((H17^2*-0.0000000002888)+(H17*0.002899)+(-4.321)),(IF(H17&lt;8000000,((H17^2*-0.0000000000062)+(H17*0.002143)+(157)),((V17^2*-0.000000031)+(V17*0.2771)+(-709.5)))))))</f>
        <v>6.2056904285000005</v>
      </c>
      <c r="BA17" s="12">
        <f t="shared" ref="BA17:BA34" si="19">IF(AJ17&lt;45000,((-0.0000000598*AJ17^2)+(0.205*AJ17)+(34.1)),((-0.00000002403*AJ17^2)+(0.2063*AJ17)+(-550.7)))</f>
        <v>16164.658977183517</v>
      </c>
      <c r="BC17" s="14">
        <f t="shared" ref="BC17:BC34" si="20">IF(H17&lt;10000,((H17^2*0.000000008493)+(H17*0.003482)+(-3.269)),(IF(H17&lt;200000,((H17^2*-0.000000000263)+(H17*0.002682)+(3.179)),(IF(H17&lt;8000000,((H17^2*-0.000000000005099)+(H17*0.002054)+(174.8)),((V17^2*-0.00000001014)+(V17*0.2415)+(1123)))))))</f>
        <v>9.9256615123249983</v>
      </c>
      <c r="BD17" s="15">
        <f t="shared" ref="BD17:BD34" si="21">IF(AJ17&lt;45000,((-0.00000004907*AJ17^2)+(0.2277*AJ17)+(-134)),((-0.00000001062*AJ17^2)+(0.2147*AJ17)+(590.6)))</f>
        <v>18082.850881302078</v>
      </c>
      <c r="BF17" s="16">
        <f t="shared" si="8"/>
        <v>11.11840750715</v>
      </c>
      <c r="BG17" s="17">
        <f t="shared" si="9"/>
        <v>15002.050525762284</v>
      </c>
      <c r="BI17">
        <v>53</v>
      </c>
      <c r="BJ17" t="s">
        <v>43</v>
      </c>
      <c r="BK17" s="2">
        <v>46238.642962962964</v>
      </c>
      <c r="BL17">
        <v>341</v>
      </c>
      <c r="BM17" t="s">
        <v>13</v>
      </c>
      <c r="BN17">
        <v>0</v>
      </c>
      <c r="BO17">
        <v>2.88</v>
      </c>
      <c r="BP17" s="3">
        <v>747637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46238.664189814815</v>
      </c>
      <c r="D18">
        <v>82</v>
      </c>
      <c r="E18" t="s">
        <v>13</v>
      </c>
      <c r="F18">
        <v>0</v>
      </c>
      <c r="G18">
        <v>6.0739999999999998</v>
      </c>
      <c r="H18" s="3">
        <v>1965</v>
      </c>
      <c r="I18">
        <v>4.0000000000000001E-3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46238.664189814815</v>
      </c>
      <c r="R18">
        <v>82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46238.664189814815</v>
      </c>
      <c r="AF18">
        <v>82</v>
      </c>
      <c r="AG18" t="s">
        <v>13</v>
      </c>
      <c r="AH18">
        <v>0</v>
      </c>
      <c r="AI18">
        <v>12.182</v>
      </c>
      <c r="AJ18" s="3">
        <v>125260</v>
      </c>
      <c r="AK18">
        <v>21.48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6.4934844103500007</v>
      </c>
      <c r="AU18" s="17">
        <f t="shared" si="1"/>
        <v>22123.30285532404</v>
      </c>
      <c r="AW18" s="9">
        <f t="shared" si="16"/>
        <v>5.4418365000000009</v>
      </c>
      <c r="AX18" s="10">
        <f t="shared" si="17"/>
        <v>28608.178235160001</v>
      </c>
      <c r="AZ18" s="11">
        <f t="shared" si="18"/>
        <v>1.2297753965</v>
      </c>
      <c r="BA18" s="12">
        <f t="shared" si="19"/>
        <v>24913.405675572001</v>
      </c>
      <c r="BC18" s="14">
        <f t="shared" si="20"/>
        <v>3.605923383925</v>
      </c>
      <c r="BD18" s="15">
        <f t="shared" si="21"/>
        <v>27317.293482088</v>
      </c>
      <c r="BF18" s="16">
        <f t="shared" si="8"/>
        <v>6.4934844103500007</v>
      </c>
      <c r="BG18" s="17">
        <f t="shared" si="9"/>
        <v>22123.30285532404</v>
      </c>
      <c r="BI18">
        <v>54</v>
      </c>
      <c r="BJ18" t="s">
        <v>44</v>
      </c>
      <c r="BK18" s="2">
        <v>46238.664189814815</v>
      </c>
      <c r="BL18">
        <v>82</v>
      </c>
      <c r="BM18" t="s">
        <v>13</v>
      </c>
      <c r="BN18">
        <v>0</v>
      </c>
      <c r="BO18">
        <v>2.88</v>
      </c>
      <c r="BP18" s="3">
        <v>779051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46238.685439814813</v>
      </c>
      <c r="D19">
        <v>7</v>
      </c>
      <c r="E19" t="s">
        <v>13</v>
      </c>
      <c r="F19">
        <v>0</v>
      </c>
      <c r="G19">
        <v>6.0640000000000001</v>
      </c>
      <c r="H19" s="3">
        <v>5884</v>
      </c>
      <c r="I19">
        <v>1.2E-2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46238.685439814813</v>
      </c>
      <c r="R19">
        <v>7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46238.685439814813</v>
      </c>
      <c r="AF19">
        <v>7</v>
      </c>
      <c r="AG19" t="s">
        <v>13</v>
      </c>
      <c r="AH19">
        <v>0</v>
      </c>
      <c r="AI19">
        <v>12.324</v>
      </c>
      <c r="AJ19" s="3">
        <v>7260</v>
      </c>
      <c r="AK19">
        <v>1.333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16.588235912416</v>
      </c>
      <c r="AU19" s="17">
        <f t="shared" si="1"/>
        <v>1394.8184050039999</v>
      </c>
      <c r="AW19" s="9">
        <f t="shared" si="16"/>
        <v>3.3783262400000016</v>
      </c>
      <c r="AX19" s="10">
        <f t="shared" si="17"/>
        <v>1725.6800636400001</v>
      </c>
      <c r="AZ19" s="11">
        <f t="shared" si="18"/>
        <v>12.600721995840001</v>
      </c>
      <c r="BA19" s="12">
        <f t="shared" si="19"/>
        <v>1519.2480855199999</v>
      </c>
      <c r="BC19" s="14">
        <f t="shared" si="20"/>
        <v>17.513128025808001</v>
      </c>
      <c r="BD19" s="15">
        <f t="shared" si="21"/>
        <v>1516.515638068</v>
      </c>
      <c r="BF19" s="16">
        <f t="shared" si="8"/>
        <v>16.588235912416</v>
      </c>
      <c r="BG19" s="17">
        <f t="shared" si="9"/>
        <v>1394.8184050039999</v>
      </c>
      <c r="BI19">
        <v>55</v>
      </c>
      <c r="BJ19" t="s">
        <v>45</v>
      </c>
      <c r="BK19" s="2">
        <v>46238.685439814813</v>
      </c>
      <c r="BL19">
        <v>7</v>
      </c>
      <c r="BM19" t="s">
        <v>13</v>
      </c>
      <c r="BN19">
        <v>0</v>
      </c>
      <c r="BO19">
        <v>2.8839999999999999</v>
      </c>
      <c r="BP19" s="3">
        <v>821556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46238.706712962965</v>
      </c>
      <c r="D20">
        <v>216</v>
      </c>
      <c r="E20" t="s">
        <v>13</v>
      </c>
      <c r="F20">
        <v>0</v>
      </c>
      <c r="G20">
        <v>6.056</v>
      </c>
      <c r="H20" s="3">
        <v>6776</v>
      </c>
      <c r="I20">
        <v>1.4E-2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46238.706712962965</v>
      </c>
      <c r="R20">
        <v>216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46238.706712962965</v>
      </c>
      <c r="AF20">
        <v>216</v>
      </c>
      <c r="AG20" t="s">
        <v>13</v>
      </c>
      <c r="AH20">
        <v>0</v>
      </c>
      <c r="AI20">
        <v>12.313000000000001</v>
      </c>
      <c r="AJ20" s="3">
        <v>8215</v>
      </c>
      <c r="AK20">
        <v>1.496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18.869954750335999</v>
      </c>
      <c r="AU20" s="17">
        <f t="shared" si="1"/>
        <v>1572.69083199275</v>
      </c>
      <c r="AW20" s="9">
        <f t="shared" si="16"/>
        <v>5.2260150399999983</v>
      </c>
      <c r="AX20" s="10">
        <f t="shared" si="17"/>
        <v>1951.9595327775</v>
      </c>
      <c r="AZ20" s="11">
        <f t="shared" si="18"/>
        <v>15.434064016639997</v>
      </c>
      <c r="BA20" s="12">
        <f t="shared" si="19"/>
        <v>1714.1393237449997</v>
      </c>
      <c r="BC20" s="14">
        <f t="shared" si="20"/>
        <v>20.714981096768</v>
      </c>
      <c r="BD20" s="15">
        <f t="shared" si="21"/>
        <v>1733.2439509392502</v>
      </c>
      <c r="BF20" s="16">
        <f t="shared" si="8"/>
        <v>18.869954750335999</v>
      </c>
      <c r="BG20" s="17">
        <f t="shared" si="9"/>
        <v>1572.69083199275</v>
      </c>
      <c r="BI20">
        <v>56</v>
      </c>
      <c r="BJ20" t="s">
        <v>46</v>
      </c>
      <c r="BK20" s="2">
        <v>46238.706712962965</v>
      </c>
      <c r="BL20">
        <v>216</v>
      </c>
      <c r="BM20" t="s">
        <v>13</v>
      </c>
      <c r="BN20">
        <v>0</v>
      </c>
      <c r="BO20">
        <v>2.8730000000000002</v>
      </c>
      <c r="BP20" s="3">
        <v>952533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46238.727997685186</v>
      </c>
      <c r="D21">
        <v>408</v>
      </c>
      <c r="E21" t="s">
        <v>13</v>
      </c>
      <c r="F21">
        <v>0</v>
      </c>
      <c r="G21">
        <v>6.056</v>
      </c>
      <c r="H21" s="3">
        <v>7060</v>
      </c>
      <c r="I21">
        <v>1.4E-2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46238.727997685186</v>
      </c>
      <c r="R21">
        <v>408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46238.727997685186</v>
      </c>
      <c r="AF21">
        <v>408</v>
      </c>
      <c r="AG21" t="s">
        <v>13</v>
      </c>
      <c r="AH21">
        <v>0</v>
      </c>
      <c r="AI21">
        <v>12.308999999999999</v>
      </c>
      <c r="AJ21" s="3">
        <v>7800</v>
      </c>
      <c r="AK21">
        <v>1.425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19.5951808696</v>
      </c>
      <c r="AU21" s="17">
        <f t="shared" si="1"/>
        <v>1495.3874636</v>
      </c>
      <c r="AW21" s="9">
        <f t="shared" si="16"/>
        <v>5.9946439999999992</v>
      </c>
      <c r="AX21" s="10">
        <f t="shared" si="17"/>
        <v>1853.7308760000001</v>
      </c>
      <c r="AZ21" s="11">
        <f t="shared" si="18"/>
        <v>16.355243303999998</v>
      </c>
      <c r="BA21" s="12">
        <f t="shared" si="19"/>
        <v>1629.4617679999999</v>
      </c>
      <c r="BC21" s="14">
        <f t="shared" si="20"/>
        <v>21.737241694799998</v>
      </c>
      <c r="BD21" s="15">
        <f t="shared" si="21"/>
        <v>1639.0745812000002</v>
      </c>
      <c r="BF21" s="16">
        <f t="shared" si="8"/>
        <v>19.5951808696</v>
      </c>
      <c r="BG21" s="17">
        <f t="shared" si="9"/>
        <v>1495.3874636</v>
      </c>
      <c r="BI21">
        <v>57</v>
      </c>
      <c r="BJ21" t="s">
        <v>47</v>
      </c>
      <c r="BK21" s="2">
        <v>46238.727997685186</v>
      </c>
      <c r="BL21">
        <v>408</v>
      </c>
      <c r="BM21" t="s">
        <v>13</v>
      </c>
      <c r="BN21">
        <v>0</v>
      </c>
      <c r="BO21">
        <v>2.8839999999999999</v>
      </c>
      <c r="BP21" s="3">
        <v>732296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46238.74927083333</v>
      </c>
      <c r="D22">
        <v>49</v>
      </c>
      <c r="E22" t="s">
        <v>13</v>
      </c>
      <c r="F22">
        <v>0</v>
      </c>
      <c r="G22">
        <v>6.0510000000000002</v>
      </c>
      <c r="H22" s="3">
        <v>12885</v>
      </c>
      <c r="I22">
        <v>2.5999999999999999E-2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46238.74927083333</v>
      </c>
      <c r="R22">
        <v>49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46238.74927083333</v>
      </c>
      <c r="AF22">
        <v>49</v>
      </c>
      <c r="AG22" t="s">
        <v>13</v>
      </c>
      <c r="AH22">
        <v>0</v>
      </c>
      <c r="AI22">
        <v>12.255000000000001</v>
      </c>
      <c r="AJ22" s="3">
        <v>53020</v>
      </c>
      <c r="AK22">
        <v>9.1489999999999991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8">
        <v>58</v>
      </c>
      <c r="AT22" s="16">
        <f t="shared" si="0"/>
        <v>31.184808858110003</v>
      </c>
      <c r="AU22" s="17">
        <f t="shared" si="1"/>
        <v>10289.885506761158</v>
      </c>
      <c r="AW22" s="9">
        <f t="shared" si="16"/>
        <v>28.527236374174997</v>
      </c>
      <c r="AX22" s="10">
        <f t="shared" si="17"/>
        <v>11241.079175639999</v>
      </c>
      <c r="AZ22" s="11">
        <f t="shared" si="18"/>
        <v>32.984667492619998</v>
      </c>
      <c r="BA22" s="12">
        <f t="shared" si="19"/>
        <v>10319.774776787999</v>
      </c>
      <c r="BC22" s="14">
        <f t="shared" si="20"/>
        <v>37.692905891824999</v>
      </c>
      <c r="BD22" s="15">
        <f t="shared" si="21"/>
        <v>11944.139901352</v>
      </c>
      <c r="BF22" s="16">
        <f t="shared" si="8"/>
        <v>31.184808858110003</v>
      </c>
      <c r="BG22" s="17">
        <f t="shared" si="9"/>
        <v>10289.885506761158</v>
      </c>
      <c r="BI22">
        <v>58</v>
      </c>
      <c r="BJ22" t="s">
        <v>48</v>
      </c>
      <c r="BK22" s="2">
        <v>46238.74927083333</v>
      </c>
      <c r="BL22">
        <v>49</v>
      </c>
      <c r="BM22" t="s">
        <v>13</v>
      </c>
      <c r="BN22">
        <v>0</v>
      </c>
      <c r="BO22">
        <v>2.88</v>
      </c>
      <c r="BP22" s="3">
        <v>780575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46238.770520833335</v>
      </c>
      <c r="D23">
        <v>99</v>
      </c>
      <c r="E23" t="s">
        <v>13</v>
      </c>
      <c r="F23">
        <v>0</v>
      </c>
      <c r="G23">
        <v>6.0540000000000003</v>
      </c>
      <c r="H23" s="3">
        <v>10647</v>
      </c>
      <c r="I23">
        <v>2.1999999999999999E-2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46238.770520833335</v>
      </c>
      <c r="R23">
        <v>99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46238.770520833335</v>
      </c>
      <c r="AF23">
        <v>99</v>
      </c>
      <c r="AG23" t="s">
        <v>13</v>
      </c>
      <c r="AH23">
        <v>0</v>
      </c>
      <c r="AI23">
        <v>12.249000000000001</v>
      </c>
      <c r="AJ23" s="3">
        <v>58832</v>
      </c>
      <c r="AK23">
        <v>10.141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8">
        <v>59</v>
      </c>
      <c r="AT23" s="16">
        <f t="shared" si="0"/>
        <v>26.325791819572402</v>
      </c>
      <c r="AU23" s="17">
        <f t="shared" si="1"/>
        <v>11241.050383122969</v>
      </c>
      <c r="AW23" s="9">
        <f t="shared" si="16"/>
        <v>21.800054473606998</v>
      </c>
      <c r="AX23" s="10">
        <f t="shared" si="17"/>
        <v>12654.123147238401</v>
      </c>
      <c r="AZ23" s="11">
        <f t="shared" si="18"/>
        <v>26.511915033720804</v>
      </c>
      <c r="BA23" s="12">
        <f t="shared" si="19"/>
        <v>11503.168862497279</v>
      </c>
      <c r="BC23" s="14">
        <f t="shared" si="20"/>
        <v>31.704440685832996</v>
      </c>
      <c r="BD23" s="15">
        <f t="shared" si="21"/>
        <v>13185.07241114112</v>
      </c>
      <c r="BF23" s="16">
        <f t="shared" si="8"/>
        <v>26.325791819572402</v>
      </c>
      <c r="BG23" s="17">
        <f t="shared" si="9"/>
        <v>11241.050383122969</v>
      </c>
      <c r="BI23">
        <v>59</v>
      </c>
      <c r="BJ23" t="s">
        <v>49</v>
      </c>
      <c r="BK23" s="2">
        <v>46238.770520833335</v>
      </c>
      <c r="BL23">
        <v>99</v>
      </c>
      <c r="BM23" t="s">
        <v>13</v>
      </c>
      <c r="BN23">
        <v>0</v>
      </c>
      <c r="BO23">
        <v>2.88</v>
      </c>
      <c r="BP23" s="3">
        <v>788506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46238.79178240741</v>
      </c>
      <c r="D24">
        <v>165</v>
      </c>
      <c r="E24" t="s">
        <v>13</v>
      </c>
      <c r="F24">
        <v>0</v>
      </c>
      <c r="G24">
        <v>5.8840000000000003</v>
      </c>
      <c r="H24" s="3">
        <v>44342296</v>
      </c>
      <c r="I24">
        <v>102.342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46238.79178240741</v>
      </c>
      <c r="R24">
        <v>165</v>
      </c>
      <c r="S24" t="s">
        <v>13</v>
      </c>
      <c r="T24">
        <v>0</v>
      </c>
      <c r="U24">
        <v>5.8579999999999997</v>
      </c>
      <c r="V24" s="3">
        <v>463628</v>
      </c>
      <c r="W24">
        <v>105.023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46238.79178240741</v>
      </c>
      <c r="AF24">
        <v>165</v>
      </c>
      <c r="AG24" t="s">
        <v>13</v>
      </c>
      <c r="AH24">
        <v>0</v>
      </c>
      <c r="AI24">
        <v>12.247</v>
      </c>
      <c r="AJ24" s="3">
        <v>56053</v>
      </c>
      <c r="AK24">
        <v>9.6669999999999998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8">
        <v>60</v>
      </c>
      <c r="AT24" s="16">
        <f t="shared" si="0"/>
        <v>103594.50787790594</v>
      </c>
      <c r="AU24" s="17">
        <f t="shared" si="1"/>
        <v>10786.232932107067</v>
      </c>
      <c r="AW24" s="9">
        <f t="shared" si="16"/>
        <v>113589.56355232</v>
      </c>
      <c r="AX24" s="10">
        <f t="shared" si="17"/>
        <v>11978.8228027119</v>
      </c>
      <c r="AZ24" s="11">
        <f t="shared" si="18"/>
        <v>121098.34020609601</v>
      </c>
      <c r="BA24" s="12">
        <f t="shared" si="19"/>
        <v>10937.53311041973</v>
      </c>
      <c r="BC24" s="14">
        <f t="shared" si="20"/>
        <v>110909.55964702624</v>
      </c>
      <c r="BD24" s="15">
        <f t="shared" si="21"/>
        <v>12591.811709848422</v>
      </c>
      <c r="BF24" s="16">
        <f t="shared" si="8"/>
        <v>103594.50787790594</v>
      </c>
      <c r="BG24" s="17">
        <f t="shared" si="9"/>
        <v>10786.232932107067</v>
      </c>
      <c r="BI24">
        <v>60</v>
      </c>
      <c r="BJ24" t="s">
        <v>50</v>
      </c>
      <c r="BK24" s="2">
        <v>46238.79178240741</v>
      </c>
      <c r="BL24">
        <v>165</v>
      </c>
      <c r="BM24" t="s">
        <v>13</v>
      </c>
      <c r="BN24">
        <v>0</v>
      </c>
      <c r="BO24">
        <v>2.891</v>
      </c>
      <c r="BP24" s="3">
        <v>533510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46238.813009259262</v>
      </c>
      <c r="D25">
        <v>400</v>
      </c>
      <c r="E25" t="s">
        <v>13</v>
      </c>
      <c r="F25">
        <v>0</v>
      </c>
      <c r="G25">
        <v>6.0549999999999997</v>
      </c>
      <c r="H25" s="3">
        <v>10173</v>
      </c>
      <c r="I25">
        <v>2.1000000000000001E-2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46238.813009259262</v>
      </c>
      <c r="R25">
        <v>400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46238.813009259262</v>
      </c>
      <c r="AF25">
        <v>400</v>
      </c>
      <c r="AG25" t="s">
        <v>13</v>
      </c>
      <c r="AH25">
        <v>0</v>
      </c>
      <c r="AI25">
        <v>12.313000000000001</v>
      </c>
      <c r="AJ25" s="3">
        <v>9099</v>
      </c>
      <c r="AK25">
        <v>1.647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8">
        <v>61</v>
      </c>
      <c r="AT25" s="16">
        <f t="shared" si="0"/>
        <v>25.296186390724401</v>
      </c>
      <c r="AU25" s="17">
        <f t="shared" si="1"/>
        <v>1737.3974185577902</v>
      </c>
      <c r="AW25" s="9">
        <f t="shared" si="16"/>
        <v>20.373235381967</v>
      </c>
      <c r="AX25" s="10">
        <f t="shared" si="17"/>
        <v>2160.6746595639001</v>
      </c>
      <c r="AZ25" s="11">
        <f t="shared" si="18"/>
        <v>25.1406391085048</v>
      </c>
      <c r="BA25" s="12">
        <f t="shared" si="19"/>
        <v>1894.4440503001997</v>
      </c>
      <c r="BC25" s="14">
        <f t="shared" si="20"/>
        <v>30.435768148672999</v>
      </c>
      <c r="BD25" s="15">
        <f t="shared" si="21"/>
        <v>1933.7797063249304</v>
      </c>
      <c r="BF25" s="16">
        <f t="shared" si="8"/>
        <v>25.296186390724401</v>
      </c>
      <c r="BG25" s="17">
        <f t="shared" si="9"/>
        <v>1737.3974185577902</v>
      </c>
      <c r="BI25">
        <v>61</v>
      </c>
      <c r="BJ25" t="s">
        <v>51</v>
      </c>
      <c r="BK25" s="2">
        <v>46238.813009259262</v>
      </c>
      <c r="BL25">
        <v>400</v>
      </c>
      <c r="BM25" t="s">
        <v>13</v>
      </c>
      <c r="BN25">
        <v>0</v>
      </c>
      <c r="BO25">
        <v>2.8780000000000001</v>
      </c>
      <c r="BP25" s="3">
        <v>855571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46238.834236111114</v>
      </c>
      <c r="D26">
        <v>178</v>
      </c>
      <c r="E26" t="s">
        <v>13</v>
      </c>
      <c r="F26">
        <v>0</v>
      </c>
      <c r="G26">
        <v>6.069</v>
      </c>
      <c r="H26" s="3">
        <v>1974</v>
      </c>
      <c r="I26">
        <v>4.0000000000000001E-3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46238.834236111114</v>
      </c>
      <c r="R26">
        <v>178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46238.834236111114</v>
      </c>
      <c r="AF26">
        <v>178</v>
      </c>
      <c r="AG26" t="s">
        <v>13</v>
      </c>
      <c r="AH26">
        <v>0</v>
      </c>
      <c r="AI26">
        <v>12.221</v>
      </c>
      <c r="AJ26" s="3">
        <v>82015</v>
      </c>
      <c r="AK26">
        <v>14.099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8">
        <v>62</v>
      </c>
      <c r="AT26" s="16">
        <f t="shared" si="0"/>
        <v>6.5167977453360004</v>
      </c>
      <c r="AU26" s="17">
        <f t="shared" si="1"/>
        <v>15036.606836047651</v>
      </c>
      <c r="AW26" s="9">
        <f t="shared" si="16"/>
        <v>5.4180950400000008</v>
      </c>
      <c r="AX26" s="10">
        <f t="shared" si="17"/>
        <v>18263.003276797499</v>
      </c>
      <c r="AZ26" s="11">
        <f t="shared" si="18"/>
        <v>1.2538780666399996</v>
      </c>
      <c r="BA26" s="12">
        <f t="shared" si="19"/>
        <v>16207.357660793252</v>
      </c>
      <c r="BC26" s="14">
        <f t="shared" si="20"/>
        <v>3.6375624692679995</v>
      </c>
      <c r="BD26" s="15">
        <f t="shared" si="21"/>
        <v>18127.785492410498</v>
      </c>
      <c r="BF26" s="16">
        <f t="shared" si="8"/>
        <v>6.5167977453360004</v>
      </c>
      <c r="BG26" s="17">
        <f t="shared" si="9"/>
        <v>15036.606836047651</v>
      </c>
      <c r="BI26">
        <v>62</v>
      </c>
      <c r="BJ26" t="s">
        <v>52</v>
      </c>
      <c r="BK26" s="2">
        <v>46238.834236111114</v>
      </c>
      <c r="BL26">
        <v>178</v>
      </c>
      <c r="BM26" t="s">
        <v>13</v>
      </c>
      <c r="BN26">
        <v>0</v>
      </c>
      <c r="BO26">
        <v>2.879</v>
      </c>
      <c r="BP26" s="3">
        <v>764127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46238.855497685188</v>
      </c>
      <c r="D27">
        <v>224</v>
      </c>
      <c r="E27" t="s">
        <v>13</v>
      </c>
      <c r="F27">
        <v>0</v>
      </c>
      <c r="G27">
        <v>6.0819999999999999</v>
      </c>
      <c r="H27" s="3">
        <v>1676</v>
      </c>
      <c r="I27">
        <v>4.0000000000000001E-3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46238.855497685188</v>
      </c>
      <c r="R27">
        <v>224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46238.855497685188</v>
      </c>
      <c r="AF27">
        <v>224</v>
      </c>
      <c r="AG27" t="s">
        <v>13</v>
      </c>
      <c r="AH27">
        <v>0</v>
      </c>
      <c r="AI27">
        <v>12.167</v>
      </c>
      <c r="AJ27" s="3">
        <v>140605</v>
      </c>
      <c r="AK27">
        <v>24.097999999999999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8">
        <v>63</v>
      </c>
      <c r="AT27" s="16">
        <f t="shared" si="0"/>
        <v>5.7445474631360005</v>
      </c>
      <c r="AU27" s="17">
        <f t="shared" si="1"/>
        <v>24639.989398858474</v>
      </c>
      <c r="AW27" s="9">
        <f t="shared" si="16"/>
        <v>6.2507070400000009</v>
      </c>
      <c r="AX27" s="10">
        <f t="shared" si="17"/>
        <v>32242.275069577503</v>
      </c>
      <c r="AZ27" s="11">
        <f t="shared" si="18"/>
        <v>0.46073288863999995</v>
      </c>
      <c r="BA27" s="12">
        <f t="shared" si="19"/>
        <v>27981.04402241925</v>
      </c>
      <c r="BC27" s="14">
        <f t="shared" si="20"/>
        <v>2.5906886331679999</v>
      </c>
      <c r="BD27" s="15">
        <f t="shared" si="21"/>
        <v>30568.538584814502</v>
      </c>
      <c r="BF27" s="16">
        <f t="shared" si="8"/>
        <v>5.7445474631360005</v>
      </c>
      <c r="BG27" s="17">
        <f t="shared" si="9"/>
        <v>24639.989398858474</v>
      </c>
      <c r="BI27">
        <v>63</v>
      </c>
      <c r="BJ27" t="s">
        <v>53</v>
      </c>
      <c r="BK27" s="2">
        <v>46238.855497685188</v>
      </c>
      <c r="BL27">
        <v>224</v>
      </c>
      <c r="BM27" t="s">
        <v>13</v>
      </c>
      <c r="BN27">
        <v>0</v>
      </c>
      <c r="BO27">
        <v>2.875</v>
      </c>
      <c r="BP27" s="3">
        <v>889436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54</v>
      </c>
      <c r="C28" s="2">
        <v>46238.876759259256</v>
      </c>
      <c r="D28">
        <v>29</v>
      </c>
      <c r="E28" t="s">
        <v>13</v>
      </c>
      <c r="F28">
        <v>0</v>
      </c>
      <c r="G28">
        <v>5.9530000000000003</v>
      </c>
      <c r="H28" s="3">
        <v>27284828</v>
      </c>
      <c r="I28">
        <v>59.545000000000002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46238.876759259256</v>
      </c>
      <c r="R28">
        <v>29</v>
      </c>
      <c r="S28" t="s">
        <v>13</v>
      </c>
      <c r="T28">
        <v>0</v>
      </c>
      <c r="U28">
        <v>5.9169999999999998</v>
      </c>
      <c r="V28" s="3">
        <v>249491</v>
      </c>
      <c r="W28">
        <v>56.691000000000003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46238.876759259256</v>
      </c>
      <c r="AF28">
        <v>29</v>
      </c>
      <c r="AG28" t="s">
        <v>13</v>
      </c>
      <c r="AH28">
        <v>0</v>
      </c>
      <c r="AI28">
        <v>12.202999999999999</v>
      </c>
      <c r="AJ28" s="3">
        <v>101645</v>
      </c>
      <c r="AK28">
        <v>17.45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8">
        <v>64</v>
      </c>
      <c r="AT28" s="16">
        <f t="shared" si="0"/>
        <v>56668.863866910819</v>
      </c>
      <c r="AU28" s="17">
        <f t="shared" si="1"/>
        <v>18252.37925168447</v>
      </c>
      <c r="AW28" s="9">
        <f t="shared" si="16"/>
        <v>61717.526318379998</v>
      </c>
      <c r="AX28" s="10">
        <f t="shared" si="17"/>
        <v>22977.899723577499</v>
      </c>
      <c r="AZ28" s="11">
        <f t="shared" si="18"/>
        <v>66494.837568489005</v>
      </c>
      <c r="BA28" s="12">
        <f t="shared" si="19"/>
        <v>20170.392604219247</v>
      </c>
      <c r="BC28" s="14">
        <f t="shared" si="20"/>
        <v>60743.904502918653</v>
      </c>
      <c r="BD28" s="15">
        <f t="shared" si="21"/>
        <v>22304.058782014497</v>
      </c>
      <c r="BF28" s="16">
        <f t="shared" si="8"/>
        <v>56668.863866910819</v>
      </c>
      <c r="BG28" s="17">
        <f t="shared" si="9"/>
        <v>18252.37925168447</v>
      </c>
      <c r="BI28">
        <v>64</v>
      </c>
      <c r="BJ28" t="s">
        <v>54</v>
      </c>
      <c r="BK28" s="2">
        <v>46238.876759259256</v>
      </c>
      <c r="BL28">
        <v>29</v>
      </c>
      <c r="BM28" t="s">
        <v>13</v>
      </c>
      <c r="BN28">
        <v>0</v>
      </c>
      <c r="BO28">
        <v>2.88</v>
      </c>
      <c r="BP28" s="3">
        <v>717975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55</v>
      </c>
      <c r="C29" s="2">
        <v>46238.898020833331</v>
      </c>
      <c r="D29">
        <v>358</v>
      </c>
      <c r="E29" t="s">
        <v>13</v>
      </c>
      <c r="F29">
        <v>0</v>
      </c>
      <c r="G29">
        <v>6.0510000000000002</v>
      </c>
      <c r="H29" s="3">
        <v>19331</v>
      </c>
      <c r="I29">
        <v>3.9E-2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46238.898020833331</v>
      </c>
      <c r="R29">
        <v>358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46238.898020833331</v>
      </c>
      <c r="AF29">
        <v>358</v>
      </c>
      <c r="AG29" t="s">
        <v>13</v>
      </c>
      <c r="AH29">
        <v>0</v>
      </c>
      <c r="AI29">
        <v>12.313000000000001</v>
      </c>
      <c r="AJ29" s="3">
        <v>7145</v>
      </c>
      <c r="AK29" s="13">
        <v>1.3129999999999999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8">
        <v>65</v>
      </c>
      <c r="AT29" s="16">
        <f t="shared" si="0"/>
        <v>45.158924002039605</v>
      </c>
      <c r="AU29" s="17">
        <f t="shared" si="1"/>
        <v>1373.40361618475</v>
      </c>
      <c r="AW29" s="9">
        <f t="shared" si="16"/>
        <v>47.814927716302996</v>
      </c>
      <c r="AX29" s="10">
        <f t="shared" si="17"/>
        <v>1698.3756274974999</v>
      </c>
      <c r="AZ29" s="11">
        <f t="shared" si="18"/>
        <v>51.611648032383208</v>
      </c>
      <c r="BA29" s="12">
        <f t="shared" si="19"/>
        <v>1495.7721487049998</v>
      </c>
      <c r="BC29" s="14">
        <f t="shared" si="20"/>
        <v>54.926462171457004</v>
      </c>
      <c r="BD29" s="15">
        <f t="shared" si="21"/>
        <v>1490.4114262032501</v>
      </c>
      <c r="BF29" s="16">
        <f t="shared" si="8"/>
        <v>45.158924002039605</v>
      </c>
      <c r="BG29" s="17">
        <f t="shared" si="9"/>
        <v>1373.40361618475</v>
      </c>
      <c r="BI29">
        <v>65</v>
      </c>
      <c r="BJ29" t="s">
        <v>55</v>
      </c>
      <c r="BK29" s="2">
        <v>46238.898020833331</v>
      </c>
      <c r="BL29">
        <v>358</v>
      </c>
      <c r="BM29" t="s">
        <v>13</v>
      </c>
      <c r="BN29">
        <v>0</v>
      </c>
      <c r="BO29">
        <v>2.8740000000000001</v>
      </c>
      <c r="BP29" s="3">
        <v>913605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A30">
        <v>66</v>
      </c>
      <c r="B30" t="s">
        <v>56</v>
      </c>
      <c r="C30" s="2">
        <v>46238.919282407405</v>
      </c>
      <c r="D30">
        <v>348</v>
      </c>
      <c r="E30" t="s">
        <v>13</v>
      </c>
      <c r="F30">
        <v>0</v>
      </c>
      <c r="G30">
        <v>6.0519999999999996</v>
      </c>
      <c r="H30" s="3">
        <v>16935</v>
      </c>
      <c r="I30">
        <v>3.4000000000000002E-2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56</v>
      </c>
      <c r="Q30" s="2">
        <v>46238.919282407405</v>
      </c>
      <c r="R30">
        <v>348</v>
      </c>
      <c r="S30" t="s">
        <v>13</v>
      </c>
      <c r="T30">
        <v>0</v>
      </c>
      <c r="U30" t="s">
        <v>14</v>
      </c>
      <c r="V30" t="s">
        <v>14</v>
      </c>
      <c r="W30" t="s">
        <v>14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56</v>
      </c>
      <c r="AE30" s="2">
        <v>46238.919282407405</v>
      </c>
      <c r="AF30">
        <v>348</v>
      </c>
      <c r="AG30" t="s">
        <v>13</v>
      </c>
      <c r="AH30">
        <v>0</v>
      </c>
      <c r="AI30">
        <v>12.311</v>
      </c>
      <c r="AJ30" s="3">
        <v>8136</v>
      </c>
      <c r="AK30">
        <v>1.482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8">
        <v>66</v>
      </c>
      <c r="AT30" s="16">
        <f t="shared" si="0"/>
        <v>39.968350653710004</v>
      </c>
      <c r="AU30" s="17">
        <f t="shared" si="1"/>
        <v>1557.97430101184</v>
      </c>
      <c r="AW30" s="9">
        <f t="shared" si="16"/>
        <v>40.660930507175003</v>
      </c>
      <c r="AX30" s="10">
        <f t="shared" si="17"/>
        <v>1933.2726903743999</v>
      </c>
      <c r="AZ30" s="11">
        <f t="shared" si="18"/>
        <v>44.690738827820006</v>
      </c>
      <c r="BA30" s="12">
        <f t="shared" si="19"/>
        <v>1698.0215691391998</v>
      </c>
      <c r="BC30" s="14">
        <f t="shared" si="20"/>
        <v>48.523243118825</v>
      </c>
      <c r="BD30" s="15">
        <f t="shared" si="21"/>
        <v>1715.3190360812803</v>
      </c>
      <c r="BF30" s="16">
        <f t="shared" si="8"/>
        <v>39.968350653710004</v>
      </c>
      <c r="BG30" s="17">
        <f t="shared" si="9"/>
        <v>1557.97430101184</v>
      </c>
      <c r="BI30">
        <v>66</v>
      </c>
      <c r="BJ30" t="s">
        <v>56</v>
      </c>
      <c r="BK30" s="2">
        <v>46238.919282407405</v>
      </c>
      <c r="BL30">
        <v>348</v>
      </c>
      <c r="BM30" t="s">
        <v>13</v>
      </c>
      <c r="BN30">
        <v>0</v>
      </c>
      <c r="BO30">
        <v>2.8719999999999999</v>
      </c>
      <c r="BP30" s="3">
        <v>928138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35">
      <c r="A31">
        <v>67</v>
      </c>
      <c r="B31" t="s">
        <v>57</v>
      </c>
      <c r="C31" s="2">
        <v>46238.940532407411</v>
      </c>
      <c r="D31">
        <v>346</v>
      </c>
      <c r="E31" t="s">
        <v>13</v>
      </c>
      <c r="F31">
        <v>0</v>
      </c>
      <c r="G31">
        <v>6.0449999999999999</v>
      </c>
      <c r="H31" s="3">
        <v>900339</v>
      </c>
      <c r="I31">
        <v>1.831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57</v>
      </c>
      <c r="Q31" s="2">
        <v>46238.940532407411</v>
      </c>
      <c r="R31">
        <v>346</v>
      </c>
      <c r="S31" t="s">
        <v>13</v>
      </c>
      <c r="T31">
        <v>0</v>
      </c>
      <c r="U31">
        <v>5.9960000000000004</v>
      </c>
      <c r="V31" s="3">
        <v>8210</v>
      </c>
      <c r="W31">
        <v>2.0209999999999999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57</v>
      </c>
      <c r="AE31" s="2">
        <v>46238.940532407411</v>
      </c>
      <c r="AF31">
        <v>346</v>
      </c>
      <c r="AG31" t="s">
        <v>13</v>
      </c>
      <c r="AH31">
        <v>0</v>
      </c>
      <c r="AI31">
        <v>12.252000000000001</v>
      </c>
      <c r="AJ31" s="3">
        <v>46106</v>
      </c>
      <c r="AK31">
        <v>7.968</v>
      </c>
      <c r="AL31" t="s">
        <v>14</v>
      </c>
      <c r="AM31" t="s">
        <v>14</v>
      </c>
      <c r="AN31" t="s">
        <v>14</v>
      </c>
      <c r="AO31" t="s">
        <v>14</v>
      </c>
      <c r="AQ31">
        <v>1</v>
      </c>
      <c r="AS31" s="8">
        <v>67</v>
      </c>
      <c r="AT31" s="16">
        <f t="shared" si="0"/>
        <v>1777.2903539238876</v>
      </c>
      <c r="AU31" s="17">
        <f t="shared" si="1"/>
        <v>9158.5733048914626</v>
      </c>
      <c r="AW31" s="9">
        <f t="shared" si="16"/>
        <v>1885.6803081424694</v>
      </c>
      <c r="AX31" s="10">
        <f t="shared" si="17"/>
        <v>9556.5124836476007</v>
      </c>
      <c r="AZ31" s="11">
        <f t="shared" si="18"/>
        <v>2081.4006930474898</v>
      </c>
      <c r="BA31" s="12">
        <f t="shared" si="19"/>
        <v>8909.8857094389205</v>
      </c>
      <c r="BC31" s="14">
        <f t="shared" si="20"/>
        <v>2019.9630040042177</v>
      </c>
      <c r="BD31" s="15">
        <f t="shared" si="21"/>
        <v>10466.982594433681</v>
      </c>
      <c r="BF31" s="16">
        <f t="shared" si="8"/>
        <v>1777.2903539238876</v>
      </c>
      <c r="BG31" s="17">
        <f t="shared" si="9"/>
        <v>9158.5733048914626</v>
      </c>
      <c r="BI31">
        <v>67</v>
      </c>
      <c r="BJ31" t="s">
        <v>57</v>
      </c>
      <c r="BK31" s="2">
        <v>46238.940532407411</v>
      </c>
      <c r="BL31">
        <v>346</v>
      </c>
      <c r="BM31" t="s">
        <v>13</v>
      </c>
      <c r="BN31">
        <v>0</v>
      </c>
      <c r="BO31">
        <v>2.8809999999999998</v>
      </c>
      <c r="BP31" s="3">
        <v>708998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35">
      <c r="A32">
        <v>68</v>
      </c>
      <c r="B32" t="s">
        <v>58</v>
      </c>
      <c r="C32" s="2">
        <v>46238.961805555555</v>
      </c>
      <c r="D32">
        <v>276</v>
      </c>
      <c r="E32" t="s">
        <v>13</v>
      </c>
      <c r="F32">
        <v>0</v>
      </c>
      <c r="G32">
        <v>5.9550000000000001</v>
      </c>
      <c r="H32" s="3">
        <v>27467731</v>
      </c>
      <c r="I32">
        <v>59.976999999999997</v>
      </c>
      <c r="J32" t="s">
        <v>14</v>
      </c>
      <c r="K32" t="s">
        <v>14</v>
      </c>
      <c r="L32" t="s">
        <v>14</v>
      </c>
      <c r="M32" t="s">
        <v>14</v>
      </c>
      <c r="O32">
        <v>68</v>
      </c>
      <c r="P32" t="s">
        <v>58</v>
      </c>
      <c r="Q32" s="2">
        <v>46238.961805555555</v>
      </c>
      <c r="R32">
        <v>276</v>
      </c>
      <c r="S32" t="s">
        <v>13</v>
      </c>
      <c r="T32">
        <v>0</v>
      </c>
      <c r="U32">
        <v>5.92</v>
      </c>
      <c r="V32" s="3">
        <v>251264</v>
      </c>
      <c r="W32">
        <v>57.091999999999999</v>
      </c>
      <c r="X32" t="s">
        <v>14</v>
      </c>
      <c r="Y32" t="s">
        <v>14</v>
      </c>
      <c r="Z32" t="s">
        <v>14</v>
      </c>
      <c r="AA32" t="s">
        <v>14</v>
      </c>
      <c r="AC32">
        <v>68</v>
      </c>
      <c r="AD32" t="s">
        <v>58</v>
      </c>
      <c r="AE32" s="2">
        <v>46238.961805555555</v>
      </c>
      <c r="AF32">
        <v>276</v>
      </c>
      <c r="AG32" t="s">
        <v>13</v>
      </c>
      <c r="AH32">
        <v>0</v>
      </c>
      <c r="AI32">
        <v>12.237</v>
      </c>
      <c r="AJ32" s="3">
        <v>69623</v>
      </c>
      <c r="AK32">
        <v>11.984</v>
      </c>
      <c r="AL32" t="s">
        <v>14</v>
      </c>
      <c r="AM32" t="s">
        <v>14</v>
      </c>
      <c r="AN32" t="s">
        <v>14</v>
      </c>
      <c r="AO32" t="s">
        <v>14</v>
      </c>
      <c r="AQ32">
        <v>1</v>
      </c>
      <c r="AS32" s="8">
        <v>68</v>
      </c>
      <c r="AT32" s="16">
        <f t="shared" si="0"/>
        <v>57056.425614860287</v>
      </c>
      <c r="AU32" s="17">
        <f t="shared" si="1"/>
        <v>13007.464243004293</v>
      </c>
      <c r="AW32" s="9">
        <f t="shared" si="16"/>
        <v>62154.544046080002</v>
      </c>
      <c r="AX32" s="10">
        <f t="shared" si="17"/>
        <v>15270.359988923901</v>
      </c>
      <c r="AZ32" s="11">
        <f t="shared" si="18"/>
        <v>66958.612871424004</v>
      </c>
      <c r="BA32" s="12">
        <f t="shared" si="19"/>
        <v>13696.042788040131</v>
      </c>
      <c r="BC32" s="14">
        <f t="shared" si="20"/>
        <v>61163.081319362558</v>
      </c>
      <c r="BD32" s="15">
        <f t="shared" si="21"/>
        <v>15487.179114190021</v>
      </c>
      <c r="BF32" s="16">
        <f t="shared" si="8"/>
        <v>57056.425614860287</v>
      </c>
      <c r="BG32" s="17">
        <f t="shared" si="9"/>
        <v>13007.464243004293</v>
      </c>
      <c r="BI32">
        <v>68</v>
      </c>
      <c r="BJ32" t="s">
        <v>58</v>
      </c>
      <c r="BK32" s="2">
        <v>46238.961805555555</v>
      </c>
      <c r="BL32">
        <v>276</v>
      </c>
      <c r="BM32" t="s">
        <v>13</v>
      </c>
      <c r="BN32">
        <v>0</v>
      </c>
      <c r="BO32">
        <v>2.8940000000000001</v>
      </c>
      <c r="BP32" s="3">
        <v>546728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  <row r="33" spans="1:73" x14ac:dyDescent="0.35">
      <c r="A33">
        <v>69</v>
      </c>
      <c r="B33" t="s">
        <v>59</v>
      </c>
      <c r="C33" s="2">
        <v>46238.983043981483</v>
      </c>
      <c r="D33">
        <v>265</v>
      </c>
      <c r="E33" t="s">
        <v>13</v>
      </c>
      <c r="F33">
        <v>0</v>
      </c>
      <c r="G33">
        <v>6.0609999999999999</v>
      </c>
      <c r="H33" s="3">
        <v>9166</v>
      </c>
      <c r="I33">
        <v>1.9E-2</v>
      </c>
      <c r="J33" t="s">
        <v>14</v>
      </c>
      <c r="K33" t="s">
        <v>14</v>
      </c>
      <c r="L33" t="s">
        <v>14</v>
      </c>
      <c r="M33" t="s">
        <v>14</v>
      </c>
      <c r="O33">
        <v>69</v>
      </c>
      <c r="P33" t="s">
        <v>59</v>
      </c>
      <c r="Q33" s="2">
        <v>46238.983043981483</v>
      </c>
      <c r="R33">
        <v>265</v>
      </c>
      <c r="S33" t="s">
        <v>13</v>
      </c>
      <c r="T33">
        <v>0</v>
      </c>
      <c r="U33" t="s">
        <v>14</v>
      </c>
      <c r="V33" s="3" t="s">
        <v>14</v>
      </c>
      <c r="W33" t="s">
        <v>14</v>
      </c>
      <c r="X33" t="s">
        <v>14</v>
      </c>
      <c r="Y33" t="s">
        <v>14</v>
      </c>
      <c r="Z33" t="s">
        <v>14</v>
      </c>
      <c r="AA33" t="s">
        <v>14</v>
      </c>
      <c r="AC33">
        <v>69</v>
      </c>
      <c r="AD33" t="s">
        <v>59</v>
      </c>
      <c r="AE33" s="2">
        <v>46238.983043981483</v>
      </c>
      <c r="AF33">
        <v>265</v>
      </c>
      <c r="AG33" t="s">
        <v>13</v>
      </c>
      <c r="AH33">
        <v>0</v>
      </c>
      <c r="AI33">
        <v>12.316000000000001</v>
      </c>
      <c r="AJ33" s="3">
        <v>8546</v>
      </c>
      <c r="AK33">
        <v>1.552</v>
      </c>
      <c r="AL33" t="s">
        <v>14</v>
      </c>
      <c r="AM33" t="s">
        <v>14</v>
      </c>
      <c r="AN33" t="s">
        <v>14</v>
      </c>
      <c r="AO33" t="s">
        <v>14</v>
      </c>
      <c r="AQ33">
        <v>1</v>
      </c>
      <c r="AS33" s="8">
        <v>69</v>
      </c>
      <c r="AT33" s="16">
        <f t="shared" si="0"/>
        <v>24.954396225016001</v>
      </c>
      <c r="AU33" s="17">
        <f t="shared" si="1"/>
        <v>1634.35609101164</v>
      </c>
      <c r="AW33" s="9">
        <f t="shared" si="16"/>
        <v>14.412410240000002</v>
      </c>
      <c r="AX33" s="10">
        <f t="shared" si="17"/>
        <v>2030.1931396924003</v>
      </c>
      <c r="AZ33" s="11">
        <f t="shared" si="18"/>
        <v>23.473846869839999</v>
      </c>
      <c r="BA33" s="12">
        <f t="shared" si="19"/>
        <v>1781.6625598631997</v>
      </c>
      <c r="BC33" s="14">
        <f t="shared" si="20"/>
        <v>29.360556117107997</v>
      </c>
      <c r="BD33" s="15">
        <f t="shared" si="21"/>
        <v>1808.3404159278803</v>
      </c>
      <c r="BF33" s="16">
        <f t="shared" si="8"/>
        <v>24.954396225016001</v>
      </c>
      <c r="BG33" s="17">
        <f t="shared" si="9"/>
        <v>1634.35609101164</v>
      </c>
      <c r="BI33">
        <v>69</v>
      </c>
      <c r="BJ33" t="s">
        <v>59</v>
      </c>
      <c r="BK33" s="2">
        <v>46238.983043981483</v>
      </c>
      <c r="BL33">
        <v>265</v>
      </c>
      <c r="BM33" t="s">
        <v>13</v>
      </c>
      <c r="BN33">
        <v>0</v>
      </c>
      <c r="BO33">
        <v>2.8639999999999999</v>
      </c>
      <c r="BP33" s="3">
        <v>1220761</v>
      </c>
      <c r="BQ33">
        <v>0</v>
      </c>
      <c r="BR33" t="s">
        <v>14</v>
      </c>
      <c r="BS33" t="s">
        <v>14</v>
      </c>
      <c r="BT33" t="s">
        <v>14</v>
      </c>
      <c r="BU33" t="s">
        <v>14</v>
      </c>
    </row>
    <row r="34" spans="1:73" x14ac:dyDescent="0.35">
      <c r="A34">
        <v>70</v>
      </c>
      <c r="B34" t="s">
        <v>60</v>
      </c>
      <c r="C34" s="2">
        <v>46239.004270833335</v>
      </c>
      <c r="D34">
        <v>213</v>
      </c>
      <c r="E34" t="s">
        <v>13</v>
      </c>
      <c r="F34">
        <v>0</v>
      </c>
      <c r="G34">
        <v>6.077</v>
      </c>
      <c r="H34" s="3">
        <v>1239</v>
      </c>
      <c r="I34">
        <v>3.0000000000000001E-3</v>
      </c>
      <c r="J34" t="s">
        <v>14</v>
      </c>
      <c r="K34" t="s">
        <v>14</v>
      </c>
      <c r="L34" t="s">
        <v>14</v>
      </c>
      <c r="M34" t="s">
        <v>14</v>
      </c>
      <c r="O34">
        <v>70</v>
      </c>
      <c r="P34" t="s">
        <v>60</v>
      </c>
      <c r="Q34" s="2">
        <v>46239.004270833335</v>
      </c>
      <c r="R34">
        <v>213</v>
      </c>
      <c r="S34" t="s">
        <v>13</v>
      </c>
      <c r="T34">
        <v>0</v>
      </c>
      <c r="U34" t="s">
        <v>14</v>
      </c>
      <c r="V34" t="s">
        <v>14</v>
      </c>
      <c r="W34" t="s">
        <v>14</v>
      </c>
      <c r="X34" t="s">
        <v>14</v>
      </c>
      <c r="Y34" t="s">
        <v>14</v>
      </c>
      <c r="Z34" t="s">
        <v>14</v>
      </c>
      <c r="AA34" t="s">
        <v>14</v>
      </c>
      <c r="AC34">
        <v>70</v>
      </c>
      <c r="AD34" t="s">
        <v>60</v>
      </c>
      <c r="AE34" s="2">
        <v>46239.004270833335</v>
      </c>
      <c r="AF34">
        <v>213</v>
      </c>
      <c r="AG34" t="s">
        <v>13</v>
      </c>
      <c r="AH34">
        <v>0</v>
      </c>
      <c r="AI34">
        <v>12.145</v>
      </c>
      <c r="AJ34" s="3">
        <v>161629</v>
      </c>
      <c r="AK34">
        <v>27.684000000000001</v>
      </c>
      <c r="AL34" t="s">
        <v>14</v>
      </c>
      <c r="AM34" t="s">
        <v>14</v>
      </c>
      <c r="AN34" t="s">
        <v>14</v>
      </c>
      <c r="AO34" t="s">
        <v>14</v>
      </c>
      <c r="AQ34">
        <v>1</v>
      </c>
      <c r="AS34" s="8">
        <v>70</v>
      </c>
      <c r="AT34" s="16">
        <f t="shared" si="0"/>
        <v>4.6108935606059998</v>
      </c>
      <c r="AU34" s="17">
        <f t="shared" si="1"/>
        <v>28089.816928109038</v>
      </c>
      <c r="AW34" s="9">
        <f t="shared" si="16"/>
        <v>7.6451303400000006</v>
      </c>
      <c r="AX34" s="10">
        <f t="shared" si="17"/>
        <v>37190.0344140831</v>
      </c>
      <c r="AZ34" s="11">
        <f t="shared" si="18"/>
        <v>-0.68401618606000003</v>
      </c>
      <c r="BA34" s="12">
        <f t="shared" si="19"/>
        <v>32165.604574606772</v>
      </c>
      <c r="BC34" s="14">
        <f t="shared" si="20"/>
        <v>1.058235782653</v>
      </c>
      <c r="BD34" s="15">
        <f t="shared" si="21"/>
        <v>35014.910124732574</v>
      </c>
      <c r="BF34" s="16">
        <f t="shared" si="8"/>
        <v>4.6108935606059998</v>
      </c>
      <c r="BG34" s="17">
        <f t="shared" si="9"/>
        <v>28089.816928109038</v>
      </c>
      <c r="BI34">
        <v>70</v>
      </c>
      <c r="BJ34" t="s">
        <v>60</v>
      </c>
      <c r="BK34" s="2">
        <v>46239.004270833335</v>
      </c>
      <c r="BL34">
        <v>213</v>
      </c>
      <c r="BM34" t="s">
        <v>13</v>
      </c>
      <c r="BN34">
        <v>0</v>
      </c>
      <c r="BO34">
        <v>2.8650000000000002</v>
      </c>
      <c r="BP34" s="3">
        <v>1054407</v>
      </c>
      <c r="BQ34">
        <v>0</v>
      </c>
      <c r="BR34" t="s">
        <v>14</v>
      </c>
      <c r="BS34" t="s">
        <v>14</v>
      </c>
      <c r="BT34" t="s">
        <v>14</v>
      </c>
      <c r="BU34" t="s">
        <v>14</v>
      </c>
    </row>
    <row r="35" spans="1:73" x14ac:dyDescent="0.35">
      <c r="C35" s="2"/>
      <c r="H35" s="3"/>
      <c r="Q35" s="2"/>
      <c r="AE35" s="2"/>
      <c r="AS35" s="8"/>
      <c r="AT35" s="14"/>
      <c r="AU35" s="15"/>
      <c r="AW35" s="9"/>
      <c r="AX35" s="10"/>
      <c r="AZ35" s="11"/>
      <c r="BA35" s="12"/>
      <c r="BC35" s="14"/>
      <c r="BD35" s="15"/>
      <c r="BF35" s="14"/>
      <c r="BG35" s="15"/>
      <c r="BK35" s="2"/>
      <c r="BP35" s="3"/>
    </row>
    <row r="36" spans="1:73" x14ac:dyDescent="0.35">
      <c r="C36" s="2"/>
      <c r="H36" s="3"/>
      <c r="Q36" s="2"/>
      <c r="AE36" s="2"/>
      <c r="AS36" s="8"/>
      <c r="AT36" s="14"/>
      <c r="AU36" s="15"/>
      <c r="AW36" s="9"/>
      <c r="AX36" s="10"/>
      <c r="AZ36" s="11"/>
      <c r="BA36" s="12"/>
      <c r="BC36" s="14"/>
      <c r="BD36" s="15"/>
      <c r="BF36" s="14"/>
      <c r="BG36" s="15"/>
      <c r="BK36" s="2"/>
      <c r="BP36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2026-08-07T16:57:49Z</dcterms:modified>
</cp:coreProperties>
</file>