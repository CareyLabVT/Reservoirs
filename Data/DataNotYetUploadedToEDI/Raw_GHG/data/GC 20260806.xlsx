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Shared drives\StreamTeam Analytical Lab\Projects\Carey Misc\2026 season misc analyses\GC 2026\"/>
    </mc:Choice>
  </mc:AlternateContent>
  <xr:revisionPtr revIDLastSave="0" documentId="13_ncr:1_{D4517F19-437D-4652-9EC2-833DE119C2A0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erum CH4 CO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T9" i="1" l="1"/>
  <c r="AU9" i="1"/>
  <c r="AW9" i="1"/>
  <c r="AX9" i="1"/>
  <c r="AZ9" i="1"/>
  <c r="BA9" i="1"/>
  <c r="BC9" i="1"/>
  <c r="BD9" i="1"/>
  <c r="BF9" i="1"/>
  <c r="BG9" i="1"/>
  <c r="AT10" i="1"/>
  <c r="AU10" i="1"/>
  <c r="AW10" i="1"/>
  <c r="AX10" i="1"/>
  <c r="AZ10" i="1"/>
  <c r="BA10" i="1"/>
  <c r="BC10" i="1"/>
  <c r="BD10" i="1"/>
  <c r="BF10" i="1"/>
  <c r="BG10" i="1"/>
  <c r="AT11" i="1"/>
  <c r="AU11" i="1"/>
  <c r="AW11" i="1"/>
  <c r="AX11" i="1"/>
  <c r="AZ11" i="1"/>
  <c r="BA11" i="1"/>
  <c r="BC11" i="1"/>
  <c r="BD11" i="1"/>
  <c r="BF11" i="1"/>
  <c r="BG11" i="1"/>
  <c r="AT12" i="1"/>
  <c r="AU12" i="1"/>
  <c r="AW12" i="1"/>
  <c r="AX12" i="1"/>
  <c r="AZ12" i="1"/>
  <c r="BA12" i="1"/>
  <c r="BC12" i="1"/>
  <c r="BD12" i="1"/>
  <c r="BF12" i="1"/>
  <c r="BG12" i="1"/>
  <c r="AT13" i="1"/>
  <c r="AU13" i="1"/>
  <c r="AW13" i="1"/>
  <c r="AX13" i="1"/>
  <c r="AZ13" i="1"/>
  <c r="BA13" i="1"/>
  <c r="BC13" i="1"/>
  <c r="BD13" i="1"/>
  <c r="BF13" i="1"/>
  <c r="BG13" i="1"/>
  <c r="AT14" i="1"/>
  <c r="AU14" i="1"/>
  <c r="AW14" i="1"/>
  <c r="AX14" i="1"/>
  <c r="AZ14" i="1"/>
  <c r="BA14" i="1"/>
  <c r="BC14" i="1"/>
  <c r="BD14" i="1"/>
  <c r="BF14" i="1"/>
  <c r="BG14" i="1"/>
  <c r="AT15" i="1"/>
  <c r="AU15" i="1"/>
  <c r="AW15" i="1"/>
  <c r="AX15" i="1"/>
  <c r="AZ15" i="1"/>
  <c r="BA15" i="1"/>
  <c r="BC15" i="1"/>
  <c r="BD15" i="1"/>
  <c r="BF15" i="1"/>
  <c r="BG15" i="1"/>
  <c r="AT16" i="1"/>
  <c r="AU16" i="1"/>
  <c r="AW16" i="1"/>
  <c r="AX16" i="1"/>
  <c r="AZ16" i="1"/>
  <c r="BA16" i="1"/>
  <c r="BC16" i="1"/>
  <c r="BD16" i="1"/>
  <c r="BF16" i="1"/>
  <c r="BG16" i="1"/>
  <c r="AT17" i="1"/>
  <c r="AU17" i="1"/>
  <c r="AW17" i="1"/>
  <c r="AX17" i="1"/>
  <c r="AZ17" i="1"/>
  <c r="BA17" i="1"/>
  <c r="BC17" i="1"/>
  <c r="BD17" i="1"/>
  <c r="BF17" i="1"/>
  <c r="BG17" i="1"/>
  <c r="AT18" i="1"/>
  <c r="AU18" i="1"/>
  <c r="AW18" i="1"/>
  <c r="AX18" i="1"/>
  <c r="AZ18" i="1"/>
  <c r="BA18" i="1"/>
  <c r="BC18" i="1"/>
  <c r="BD18" i="1"/>
  <c r="BF18" i="1"/>
  <c r="BG18" i="1"/>
  <c r="AT19" i="1"/>
  <c r="AU19" i="1"/>
  <c r="AW19" i="1"/>
  <c r="AX19" i="1"/>
  <c r="AZ19" i="1"/>
  <c r="BA19" i="1"/>
  <c r="BC19" i="1"/>
  <c r="BD19" i="1"/>
  <c r="BF19" i="1"/>
  <c r="BG19" i="1"/>
  <c r="AT20" i="1"/>
  <c r="AU20" i="1"/>
  <c r="AW20" i="1"/>
  <c r="AX20" i="1"/>
  <c r="AZ20" i="1"/>
  <c r="BA20" i="1"/>
  <c r="BC20" i="1"/>
  <c r="BD20" i="1"/>
  <c r="BF20" i="1"/>
  <c r="BG20" i="1"/>
  <c r="AT21" i="1"/>
  <c r="AU21" i="1"/>
  <c r="AW21" i="1"/>
  <c r="AX21" i="1"/>
  <c r="AZ21" i="1"/>
  <c r="BA21" i="1"/>
  <c r="BC21" i="1"/>
  <c r="BD21" i="1"/>
  <c r="BF21" i="1"/>
  <c r="BG21" i="1"/>
</calcChain>
</file>

<file path=xl/sharedStrings.xml><?xml version="1.0" encoding="utf-8"?>
<sst xmlns="http://schemas.openxmlformats.org/spreadsheetml/2006/main" count="433" uniqueCount="49">
  <si>
    <t>Data#</t>
  </si>
  <si>
    <t>Data Filename</t>
  </si>
  <si>
    <t>Date Acquired</t>
  </si>
  <si>
    <t>Sample Name</t>
  </si>
  <si>
    <t>Sample Type</t>
  </si>
  <si>
    <t>Level#</t>
  </si>
  <si>
    <t>Ret. Time</t>
  </si>
  <si>
    <t>Area</t>
  </si>
  <si>
    <t>Conc. (ppt)</t>
  </si>
  <si>
    <t>Std. Conc.</t>
  </si>
  <si>
    <t>Cal. Point</t>
  </si>
  <si>
    <t>Accuracy[%]</t>
  </si>
  <si>
    <t>Deviation</t>
  </si>
  <si>
    <t>Unknown</t>
  </si>
  <si>
    <t>-----</t>
  </si>
  <si>
    <t>CH4 by FID</t>
  </si>
  <si>
    <t>CH4 by TCD</t>
  </si>
  <si>
    <t>CO2 by TCD</t>
  </si>
  <si>
    <t>Note</t>
  </si>
  <si>
    <t>Order</t>
  </si>
  <si>
    <t>Season specific CAL Measured headspace CO2 in ppm from GC in ppm</t>
  </si>
  <si>
    <t>AIR</t>
  </si>
  <si>
    <t>2023 ranged CAL Measured headspace CH4  in ppm from GC in ppm</t>
  </si>
  <si>
    <t>2023 CAL Measured headspace CO2 in ppm from GC in ppm</t>
  </si>
  <si>
    <t>Season specific ranged CAL Measured headspace CH4  in ppm from GC in ppm</t>
  </si>
  <si>
    <t>2024 ranged CAL Measured headspace CH4  in ppm from GC in ppm</t>
  </si>
  <si>
    <t>QC reference tank</t>
  </si>
  <si>
    <t>Analyst Data Quality Code (1=no problems, 2=note, 3=fatal flaws)</t>
  </si>
  <si>
    <t>2025 ranged CAL Measured headspace CH4  in ppm from GC in ppm</t>
  </si>
  <si>
    <t>2025 CAL Measured headspace CO2 in ppm from GC in ppm</t>
  </si>
  <si>
    <t>2024 CAL Measured headspace CO2 in ppm from GC in ppm</t>
  </si>
  <si>
    <t>QC outside air</t>
  </si>
  <si>
    <t>QC spiked air</t>
  </si>
  <si>
    <t>2026 ranged CAL Measured headspace CH4  in ppm from GC in ppm</t>
  </si>
  <si>
    <t>2026 CAL Measured headspace CO2 in ppm from GC in ppm</t>
  </si>
  <si>
    <t>FMI20260806_009.gcd</t>
  </si>
  <si>
    <t>FMI20260806_010.gcd</t>
  </si>
  <si>
    <t>FMI20260806_011.gcd</t>
  </si>
  <si>
    <t>FMI20260806_012.gcd</t>
  </si>
  <si>
    <t>FMI20260806_013.gcd</t>
  </si>
  <si>
    <t>FMI20260806_014.gcd</t>
  </si>
  <si>
    <t>FMI20260806_015.gcd</t>
  </si>
  <si>
    <t>FMI20260806_016.gcd</t>
  </si>
  <si>
    <t>FMI20260806_017.gcd</t>
  </si>
  <si>
    <t>FMI20260806_018.gcd</t>
  </si>
  <si>
    <t>FMI20260806_019.gcd</t>
  </si>
  <si>
    <t>FMI20260806_020.gcd</t>
  </si>
  <si>
    <t>FMI20260806_021.gcd</t>
  </si>
  <si>
    <t>CO2 interference. Do not use CO2. Use CH4.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</si>
</sst>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999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14" fontId="0" fillId="0" borderId="0" xfId="0" applyNumberFormat="1"/>
    <xf numFmtId="22" fontId="0" fillId="0" borderId="0" xfId="0" applyNumberFormat="1"/>
    <xf numFmtId="3" fontId="0" fillId="0" borderId="0" xfId="0" applyNumberFormat="1"/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0" fontId="18" fillId="0" borderId="0" xfId="0" applyFont="1" applyFill="1" applyAlignment="1">
      <alignment wrapText="1"/>
    </xf>
    <xf numFmtId="0" fontId="0" fillId="0" borderId="0" xfId="0" applyFill="1"/>
    <xf numFmtId="0" fontId="0" fillId="0" borderId="0" xfId="0" applyAlignment="1"/>
    <xf numFmtId="2" fontId="0" fillId="33" borderId="0" xfId="0" applyNumberFormat="1" applyFill="1"/>
    <xf numFmtId="3" fontId="0" fillId="33" borderId="0" xfId="0" applyNumberFormat="1" applyFill="1"/>
    <xf numFmtId="2" fontId="0" fillId="34" borderId="0" xfId="0" applyNumberFormat="1" applyFill="1"/>
    <xf numFmtId="3" fontId="0" fillId="34" borderId="0" xfId="0" applyNumberFormat="1" applyFill="1"/>
    <xf numFmtId="4" fontId="0" fillId="0" borderId="0" xfId="0" applyNumberFormat="1"/>
    <xf numFmtId="2" fontId="0" fillId="35" borderId="0" xfId="0" applyNumberFormat="1" applyFill="1"/>
    <xf numFmtId="3" fontId="0" fillId="35" borderId="0" xfId="0" applyNumberFormat="1" applyFill="1"/>
    <xf numFmtId="2" fontId="0" fillId="36" borderId="0" xfId="0" applyNumberFormat="1" applyFill="1"/>
    <xf numFmtId="3" fontId="0" fillId="36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9999FF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BU35"/>
  <sheetViews>
    <sheetView tabSelected="1" topLeftCell="V1" workbookViewId="0">
      <selection activeCell="AI24" sqref="AI24"/>
    </sheetView>
  </sheetViews>
  <sheetFormatPr defaultRowHeight="14.5" x14ac:dyDescent="0.35"/>
  <cols>
    <col min="2" max="2" width="23.54296875" customWidth="1"/>
    <col min="3" max="3" width="17.81640625" customWidth="1"/>
    <col min="31" max="31" width="21.453125" customWidth="1"/>
    <col min="32" max="32" width="15.90625" bestFit="1" customWidth="1"/>
    <col min="43" max="43" width="9.7265625" customWidth="1"/>
    <col min="46" max="47" width="10.1796875" customWidth="1"/>
    <col min="49" max="50" width="10.1796875" customWidth="1"/>
    <col min="52" max="53" width="10.1796875" customWidth="1"/>
    <col min="54" max="54" width="8.7265625" style="7"/>
    <col min="55" max="56" width="10.1796875" customWidth="1"/>
    <col min="58" max="59" width="10.1796875" customWidth="1"/>
  </cols>
  <sheetData>
    <row r="7" spans="1:73" x14ac:dyDescent="0.35">
      <c r="A7" t="s">
        <v>15</v>
      </c>
      <c r="O7" t="s">
        <v>16</v>
      </c>
      <c r="AC7" t="s">
        <v>17</v>
      </c>
      <c r="BI7" t="s">
        <v>21</v>
      </c>
    </row>
    <row r="8" spans="1:73" ht="130.5" x14ac:dyDescent="0.35">
      <c r="A8" s="1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12</v>
      </c>
      <c r="O8" s="2" t="s">
        <v>0</v>
      </c>
      <c r="P8" t="s">
        <v>1</v>
      </c>
      <c r="Q8" t="s">
        <v>2</v>
      </c>
      <c r="R8" t="s">
        <v>3</v>
      </c>
      <c r="S8" t="s">
        <v>4</v>
      </c>
      <c r="T8" t="s">
        <v>5</v>
      </c>
      <c r="U8" t="s">
        <v>6</v>
      </c>
      <c r="V8" t="s">
        <v>7</v>
      </c>
      <c r="W8" t="s">
        <v>8</v>
      </c>
      <c r="X8" t="s">
        <v>9</v>
      </c>
      <c r="Y8" t="s">
        <v>10</v>
      </c>
      <c r="Z8" t="s">
        <v>11</v>
      </c>
      <c r="AA8" t="s">
        <v>12</v>
      </c>
      <c r="AC8" t="s">
        <v>0</v>
      </c>
      <c r="AD8" t="s">
        <v>1</v>
      </c>
      <c r="AE8" t="s">
        <v>2</v>
      </c>
      <c r="AF8" t="s">
        <v>3</v>
      </c>
      <c r="AG8" t="s">
        <v>4</v>
      </c>
      <c r="AH8" t="s">
        <v>5</v>
      </c>
      <c r="AI8" t="s">
        <v>6</v>
      </c>
      <c r="AJ8" t="s">
        <v>7</v>
      </c>
      <c r="AK8" t="s">
        <v>8</v>
      </c>
      <c r="AL8" t="s">
        <v>9</v>
      </c>
      <c r="AM8" t="s">
        <v>10</v>
      </c>
      <c r="AN8" t="s">
        <v>11</v>
      </c>
      <c r="AO8" t="s">
        <v>12</v>
      </c>
      <c r="AQ8" s="4" t="s">
        <v>27</v>
      </c>
      <c r="AR8" s="4" t="s">
        <v>18</v>
      </c>
      <c r="AS8" t="s">
        <v>19</v>
      </c>
      <c r="AT8" s="5" t="s">
        <v>24</v>
      </c>
      <c r="AU8" s="5" t="s">
        <v>20</v>
      </c>
      <c r="AV8" s="5"/>
      <c r="AW8" s="5" t="s">
        <v>22</v>
      </c>
      <c r="AX8" s="5" t="s">
        <v>23</v>
      </c>
      <c r="AZ8" s="5" t="s">
        <v>25</v>
      </c>
      <c r="BA8" s="5" t="s">
        <v>30</v>
      </c>
      <c r="BB8" s="6"/>
      <c r="BC8" s="5" t="s">
        <v>28</v>
      </c>
      <c r="BD8" s="5" t="s">
        <v>29</v>
      </c>
      <c r="BE8" s="5"/>
      <c r="BF8" s="5" t="s">
        <v>33</v>
      </c>
      <c r="BG8" s="5" t="s">
        <v>34</v>
      </c>
      <c r="BH8" s="5"/>
      <c r="BI8" s="6" t="s">
        <v>0</v>
      </c>
      <c r="BJ8" t="s">
        <v>1</v>
      </c>
      <c r="BK8" t="s">
        <v>2</v>
      </c>
      <c r="BL8" t="s">
        <v>3</v>
      </c>
      <c r="BM8" t="s">
        <v>4</v>
      </c>
      <c r="BN8" t="s">
        <v>5</v>
      </c>
      <c r="BO8" t="s">
        <v>6</v>
      </c>
      <c r="BP8" t="s">
        <v>7</v>
      </c>
      <c r="BQ8" t="s">
        <v>8</v>
      </c>
      <c r="BR8" t="s">
        <v>9</v>
      </c>
      <c r="BS8" t="s">
        <v>10</v>
      </c>
      <c r="BT8" t="s">
        <v>11</v>
      </c>
      <c r="BU8" t="s">
        <v>12</v>
      </c>
    </row>
    <row r="9" spans="1:73" x14ac:dyDescent="0.35">
      <c r="A9">
        <v>53</v>
      </c>
      <c r="B9" t="s">
        <v>35</v>
      </c>
      <c r="C9" s="2">
        <v>46240.669074074074</v>
      </c>
      <c r="D9" t="s">
        <v>31</v>
      </c>
      <c r="E9" t="s">
        <v>13</v>
      </c>
      <c r="F9">
        <v>0</v>
      </c>
      <c r="G9">
        <v>6.109</v>
      </c>
      <c r="H9" s="3">
        <v>1324</v>
      </c>
      <c r="I9">
        <v>3.0000000000000001E-3</v>
      </c>
      <c r="J9" t="s">
        <v>14</v>
      </c>
      <c r="K9" t="s">
        <v>14</v>
      </c>
      <c r="L9" t="s">
        <v>14</v>
      </c>
      <c r="M9" t="s">
        <v>14</v>
      </c>
      <c r="O9">
        <v>53</v>
      </c>
      <c r="P9" t="s">
        <v>35</v>
      </c>
      <c r="Q9" s="2">
        <v>46240.669074074074</v>
      </c>
      <c r="R9" t="s">
        <v>31</v>
      </c>
      <c r="S9" t="s">
        <v>13</v>
      </c>
      <c r="T9">
        <v>0</v>
      </c>
      <c r="U9" t="s">
        <v>14</v>
      </c>
      <c r="V9" s="3" t="s">
        <v>14</v>
      </c>
      <c r="W9" t="s">
        <v>14</v>
      </c>
      <c r="X9" t="s">
        <v>14</v>
      </c>
      <c r="Y9" t="s">
        <v>14</v>
      </c>
      <c r="Z9" t="s">
        <v>14</v>
      </c>
      <c r="AA9" t="s">
        <v>14</v>
      </c>
      <c r="AC9">
        <v>53</v>
      </c>
      <c r="AD9" t="s">
        <v>35</v>
      </c>
      <c r="AE9" s="2">
        <v>46240.669074074074</v>
      </c>
      <c r="AF9" t="s">
        <v>31</v>
      </c>
      <c r="AG9" t="s">
        <v>13</v>
      </c>
      <c r="AH9">
        <v>0</v>
      </c>
      <c r="AI9">
        <v>12.366</v>
      </c>
      <c r="AJ9" s="3">
        <v>2171</v>
      </c>
      <c r="AK9">
        <v>0.46300000000000002</v>
      </c>
      <c r="AL9" t="s">
        <v>14</v>
      </c>
      <c r="AM9" t="s">
        <v>14</v>
      </c>
      <c r="AN9" t="s">
        <v>14</v>
      </c>
      <c r="AO9" t="s">
        <v>14</v>
      </c>
      <c r="AQ9">
        <v>1</v>
      </c>
      <c r="AS9" s="8">
        <v>53</v>
      </c>
      <c r="AT9" s="16">
        <f t="shared" ref="AT9:AT21" si="0">IF($H9&lt;10000,(($H9^2*-0.000000003714)+($H9*0.002605)+(1.389)),(IF($H9&lt;200000,(($H9^2*-0.0000000003764)+($H9*0.00218)+(3.158)),(IF($H9&lt;8000000,(($H9^2*-0.000000000004719)+($H9*0.001816)+(146.1)),(($V9^2*0.000000002578)+($V9*0.2173)+(2294)))))))</f>
        <v>4.8315094471359998</v>
      </c>
      <c r="AU9" s="17">
        <f t="shared" ref="AU9:AU21" si="1">IF($AJ9&lt;45000,((0.00000003579*$AJ9^2)+(0.1857*$AJ9)+(44.75)),((0.0000000022829*$AJ9^2)+(0.1634*$AJ9)+(1620)))</f>
        <v>448.07338689539</v>
      </c>
      <c r="AW9" s="9">
        <f t="shared" ref="AW9:AW21" si="2">IF(H9&lt;10000,((H9^2*0.00000054)+(H9*-0.004765)+(12.72)),(IF(H9&lt;200000,((H9^2*-0.000000001577)+(H9*0.003043)+(-10.42)),(IF(H9&lt;8000000,((H9^2*-0.0000000000186)+(H9*0.00194)+(154.1)),((V9^2*-0.00000002)+(V9*0.2565)+(-1032)))))))</f>
        <v>7.3577470400000005</v>
      </c>
      <c r="AX9" s="10">
        <f t="shared" ref="AX9:AX21" si="3">IF(AJ9&lt;45000,((-0.0000004561*AJ9^2)+(0.244*AJ9)+(-21.72)),((-0.0000000409*AJ9^2)+(0.2477*AJ9)+(-1777)))</f>
        <v>505.85429077989988</v>
      </c>
      <c r="AZ9" s="11">
        <f t="shared" ref="AZ9:AZ21" si="4">IF(H9&lt;10000,((H9^2*0.00000005714)+(H9*0.002453)+(-3.811)),(IF(H9&lt;200000,((H9^2*-0.0000000002888)+(H9*0.002899)+(-4.321)),(IF(H9&lt;8000000,((H9^2*-0.0000000000062)+(H9*0.002143)+(157)),((V9^2*-0.000000031)+(V9*0.2771)+(-709.5)))))))</f>
        <v>-0.46306295135999997</v>
      </c>
      <c r="BA9" s="12">
        <f t="shared" ref="BA9:BA21" si="5">IF(AJ9&lt;45000,((-0.0000000598*AJ9^2)+(0.205*AJ9)+(34.1)),((-0.00000002403*AJ9^2)+(0.2063*AJ9)+(-550.7)))</f>
        <v>478.87314818819999</v>
      </c>
      <c r="BC9" s="14">
        <f t="shared" ref="BC9:BC21" si="6">IF(H9&lt;10000,((H9^2*0.000000008493)+(H9*0.003482)+(-3.269)),(IF(H9&lt;200000,((H9^2*-0.000000000263)+(H9*0.002682)+(3.179)),(IF(H9&lt;8000000,((H9^2*-0.000000000005099)+(H9*0.002054)+(174.8)),((V9^2*-0.00000001014)+(V9*0.2415)+(1123)))))))</f>
        <v>1.3560560251679998</v>
      </c>
      <c r="BD9" s="15">
        <f t="shared" ref="BD9:BD21" si="7">IF(AJ9&lt;45000,((-0.00000004907*AJ9^2)+(0.2277*AJ9)+(-134)),((-0.00000001062*AJ9^2)+(0.2147*AJ9)+(590.6)))</f>
        <v>360.10542126413003</v>
      </c>
      <c r="BF9" s="16">
        <f t="shared" ref="BF9:BF21" si="8">IF($H9&lt;10000,(($H9^2*-0.000000003714)+($H9*0.002605)+(1.389)),(IF($H9&lt;200000,(($H9^2*-0.0000000003764)+($H9*0.00218)+(3.158)),(IF($H9&lt;8000000,(($H9^2*-0.000000000004719)+($H9*0.001816)+(146.1)),(($V9^2*0.000000002578)+($V9*0.2173)+(2294)))))))</f>
        <v>4.8315094471359998</v>
      </c>
      <c r="BG9" s="17">
        <f t="shared" ref="BG9:BG21" si="9">IF($AJ9&lt;45000,((0.00000003579*$AJ9^2)+(0.1857*$AJ9)+(44.75)),((0.0000000022829*$AJ9^2)+(0.1634*$AJ9)+(1620)))</f>
        <v>448.07338689539</v>
      </c>
      <c r="BI9">
        <v>53</v>
      </c>
      <c r="BJ9" t="s">
        <v>35</v>
      </c>
      <c r="BK9" s="2">
        <v>46240.669074074074</v>
      </c>
      <c r="BL9" t="s">
        <v>31</v>
      </c>
      <c r="BM9" t="s">
        <v>13</v>
      </c>
      <c r="BN9">
        <v>0</v>
      </c>
      <c r="BO9">
        <v>2.7210000000000001</v>
      </c>
      <c r="BP9" s="3">
        <v>5186914</v>
      </c>
      <c r="BQ9">
        <v>0</v>
      </c>
      <c r="BR9" t="s">
        <v>14</v>
      </c>
      <c r="BS9" t="s">
        <v>14</v>
      </c>
      <c r="BT9" t="s">
        <v>14</v>
      </c>
      <c r="BU9" t="s">
        <v>14</v>
      </c>
    </row>
    <row r="10" spans="1:73" x14ac:dyDescent="0.35">
      <c r="A10">
        <v>54</v>
      </c>
      <c r="B10" t="s">
        <v>36</v>
      </c>
      <c r="C10" s="2">
        <v>46240.690335648149</v>
      </c>
      <c r="D10" t="s">
        <v>32</v>
      </c>
      <c r="E10" t="s">
        <v>13</v>
      </c>
      <c r="F10">
        <v>0</v>
      </c>
      <c r="G10">
        <v>6.0439999999999996</v>
      </c>
      <c r="H10" s="3">
        <v>801192</v>
      </c>
      <c r="I10">
        <v>1.629</v>
      </c>
      <c r="J10" t="s">
        <v>14</v>
      </c>
      <c r="K10" t="s">
        <v>14</v>
      </c>
      <c r="L10" t="s">
        <v>14</v>
      </c>
      <c r="M10" t="s">
        <v>14</v>
      </c>
      <c r="O10">
        <v>54</v>
      </c>
      <c r="P10" t="s">
        <v>36</v>
      </c>
      <c r="Q10" s="2">
        <v>46240.690335648149</v>
      </c>
      <c r="R10" t="s">
        <v>32</v>
      </c>
      <c r="S10" t="s">
        <v>13</v>
      </c>
      <c r="T10">
        <v>0</v>
      </c>
      <c r="U10">
        <v>5.9980000000000002</v>
      </c>
      <c r="V10" s="3">
        <v>7545</v>
      </c>
      <c r="W10">
        <v>1.87</v>
      </c>
      <c r="X10" t="s">
        <v>14</v>
      </c>
      <c r="Y10" t="s">
        <v>14</v>
      </c>
      <c r="Z10" t="s">
        <v>14</v>
      </c>
      <c r="AA10" t="s">
        <v>14</v>
      </c>
      <c r="AC10">
        <v>54</v>
      </c>
      <c r="AD10" t="s">
        <v>36</v>
      </c>
      <c r="AE10" s="2">
        <v>46240.690335648149</v>
      </c>
      <c r="AF10" t="s">
        <v>32</v>
      </c>
      <c r="AG10" t="s">
        <v>13</v>
      </c>
      <c r="AH10">
        <v>0</v>
      </c>
      <c r="AI10">
        <v>12.323</v>
      </c>
      <c r="AJ10" s="3">
        <v>6801</v>
      </c>
      <c r="AK10">
        <v>1.254</v>
      </c>
      <c r="AL10" t="s">
        <v>14</v>
      </c>
      <c r="AM10" t="s">
        <v>14</v>
      </c>
      <c r="AN10" t="s">
        <v>14</v>
      </c>
      <c r="AO10" t="s">
        <v>14</v>
      </c>
      <c r="AQ10">
        <v>1</v>
      </c>
      <c r="AS10" s="8">
        <v>54</v>
      </c>
      <c r="AT10" s="16">
        <f t="shared" si="0"/>
        <v>1598.0355052181426</v>
      </c>
      <c r="AU10" s="17">
        <f t="shared" si="1"/>
        <v>1309.35111637979</v>
      </c>
      <c r="AW10" s="9">
        <f t="shared" si="2"/>
        <v>1696.4729796519296</v>
      </c>
      <c r="AX10" s="10">
        <f t="shared" si="3"/>
        <v>1616.6277325838998</v>
      </c>
      <c r="AZ10" s="11">
        <f t="shared" si="4"/>
        <v>1869.9746225506431</v>
      </c>
      <c r="BA10" s="12">
        <f t="shared" si="5"/>
        <v>1425.5390346601998</v>
      </c>
      <c r="BC10" s="14">
        <f t="shared" si="6"/>
        <v>1817.1752759422143</v>
      </c>
      <c r="BD10" s="15">
        <f t="shared" si="7"/>
        <v>1412.3180357989299</v>
      </c>
      <c r="BF10" s="16">
        <f t="shared" si="8"/>
        <v>1598.0355052181426</v>
      </c>
      <c r="BG10" s="17">
        <f t="shared" si="9"/>
        <v>1309.35111637979</v>
      </c>
      <c r="BI10">
        <v>54</v>
      </c>
      <c r="BJ10" t="s">
        <v>36</v>
      </c>
      <c r="BK10" s="2">
        <v>46240.690335648149</v>
      </c>
      <c r="BL10" t="s">
        <v>32</v>
      </c>
      <c r="BM10" t="s">
        <v>13</v>
      </c>
      <c r="BN10">
        <v>0</v>
      </c>
      <c r="BO10">
        <v>2.7240000000000002</v>
      </c>
      <c r="BP10" s="3">
        <v>5037538</v>
      </c>
      <c r="BQ10">
        <v>0</v>
      </c>
      <c r="BR10" t="s">
        <v>14</v>
      </c>
      <c r="BS10" t="s">
        <v>14</v>
      </c>
      <c r="BT10" t="s">
        <v>14</v>
      </c>
      <c r="BU10" t="s">
        <v>14</v>
      </c>
    </row>
    <row r="11" spans="1:73" x14ac:dyDescent="0.35">
      <c r="A11">
        <v>55</v>
      </c>
      <c r="B11" t="s">
        <v>37</v>
      </c>
      <c r="C11" s="2">
        <v>46240.711585648147</v>
      </c>
      <c r="D11" t="s">
        <v>26</v>
      </c>
      <c r="E11" t="s">
        <v>13</v>
      </c>
      <c r="F11">
        <v>0</v>
      </c>
      <c r="G11">
        <v>6.0679999999999996</v>
      </c>
      <c r="H11" s="3">
        <v>2262</v>
      </c>
      <c r="I11">
        <v>5.0000000000000001E-3</v>
      </c>
      <c r="J11" t="s">
        <v>14</v>
      </c>
      <c r="K11" t="s">
        <v>14</v>
      </c>
      <c r="L11" t="s">
        <v>14</v>
      </c>
      <c r="M11" t="s">
        <v>14</v>
      </c>
      <c r="O11">
        <v>55</v>
      </c>
      <c r="P11" t="s">
        <v>37</v>
      </c>
      <c r="Q11" s="2">
        <v>46240.711585648147</v>
      </c>
      <c r="R11" t="s">
        <v>26</v>
      </c>
      <c r="S11" t="s">
        <v>13</v>
      </c>
      <c r="T11">
        <v>0</v>
      </c>
      <c r="U11" t="s">
        <v>14</v>
      </c>
      <c r="V11" s="3" t="s">
        <v>14</v>
      </c>
      <c r="W11" t="s">
        <v>14</v>
      </c>
      <c r="X11" t="s">
        <v>14</v>
      </c>
      <c r="Y11" t="s">
        <v>14</v>
      </c>
      <c r="Z11" t="s">
        <v>14</v>
      </c>
      <c r="AA11" t="s">
        <v>14</v>
      </c>
      <c r="AC11">
        <v>55</v>
      </c>
      <c r="AD11" t="s">
        <v>37</v>
      </c>
      <c r="AE11" s="2">
        <v>46240.711585648147</v>
      </c>
      <c r="AF11" t="s">
        <v>26</v>
      </c>
      <c r="AG11" t="s">
        <v>13</v>
      </c>
      <c r="AH11">
        <v>0</v>
      </c>
      <c r="AI11">
        <v>12.334</v>
      </c>
      <c r="AJ11" s="3">
        <v>1669</v>
      </c>
      <c r="AK11">
        <v>0.377</v>
      </c>
      <c r="AL11" t="s">
        <v>14</v>
      </c>
      <c r="AM11" t="s">
        <v>14</v>
      </c>
      <c r="AN11" t="s">
        <v>14</v>
      </c>
      <c r="AO11" t="s">
        <v>14</v>
      </c>
      <c r="AQ11">
        <v>1</v>
      </c>
      <c r="AS11" s="8">
        <v>55</v>
      </c>
      <c r="AT11" s="16">
        <f t="shared" si="0"/>
        <v>7.2625067841840005</v>
      </c>
      <c r="AU11" s="17">
        <f t="shared" si="1"/>
        <v>354.78299522819003</v>
      </c>
      <c r="AW11" s="9">
        <f t="shared" si="2"/>
        <v>4.7045577600000001</v>
      </c>
      <c r="AX11" s="10">
        <f t="shared" si="3"/>
        <v>384.2455056279</v>
      </c>
      <c r="AZ11" s="11">
        <f t="shared" si="4"/>
        <v>2.0300510381599999</v>
      </c>
      <c r="BA11" s="12">
        <f t="shared" si="5"/>
        <v>376.07842345220001</v>
      </c>
      <c r="BC11" s="14">
        <f t="shared" si="6"/>
        <v>4.6507396574920001</v>
      </c>
      <c r="BD11" s="15">
        <f t="shared" si="7"/>
        <v>245.89461252173004</v>
      </c>
      <c r="BF11" s="16">
        <f t="shared" si="8"/>
        <v>7.2625067841840005</v>
      </c>
      <c r="BG11" s="17">
        <f t="shared" si="9"/>
        <v>354.78299522819003</v>
      </c>
      <c r="BI11">
        <v>55</v>
      </c>
      <c r="BJ11" t="s">
        <v>37</v>
      </c>
      <c r="BK11" s="2">
        <v>46240.711585648147</v>
      </c>
      <c r="BL11" t="s">
        <v>26</v>
      </c>
      <c r="BM11" t="s">
        <v>13</v>
      </c>
      <c r="BN11">
        <v>0</v>
      </c>
      <c r="BO11">
        <v>2.7160000000000002</v>
      </c>
      <c r="BP11" s="3">
        <v>5384005</v>
      </c>
      <c r="BQ11">
        <v>0</v>
      </c>
      <c r="BR11" t="s">
        <v>14</v>
      </c>
      <c r="BS11" t="s">
        <v>14</v>
      </c>
      <c r="BT11" t="s">
        <v>14</v>
      </c>
      <c r="BU11" t="s">
        <v>14</v>
      </c>
    </row>
    <row r="12" spans="1:73" x14ac:dyDescent="0.35">
      <c r="A12">
        <v>56</v>
      </c>
      <c r="B12" t="s">
        <v>38</v>
      </c>
      <c r="C12" s="2">
        <v>46240.732835648145</v>
      </c>
      <c r="D12">
        <v>330</v>
      </c>
      <c r="E12" t="s">
        <v>13</v>
      </c>
      <c r="F12">
        <v>0</v>
      </c>
      <c r="G12">
        <v>6.05</v>
      </c>
      <c r="H12" s="3">
        <v>14450</v>
      </c>
      <c r="I12">
        <v>2.9000000000000001E-2</v>
      </c>
      <c r="J12" t="s">
        <v>14</v>
      </c>
      <c r="K12" t="s">
        <v>14</v>
      </c>
      <c r="L12" t="s">
        <v>14</v>
      </c>
      <c r="M12" t="s">
        <v>14</v>
      </c>
      <c r="O12">
        <v>56</v>
      </c>
      <c r="P12" t="s">
        <v>38</v>
      </c>
      <c r="Q12" s="2">
        <v>46240.732835648145</v>
      </c>
      <c r="R12">
        <v>330</v>
      </c>
      <c r="S12" t="s">
        <v>13</v>
      </c>
      <c r="T12">
        <v>0</v>
      </c>
      <c r="U12" t="s">
        <v>14</v>
      </c>
      <c r="V12" s="3" t="s">
        <v>14</v>
      </c>
      <c r="W12" t="s">
        <v>14</v>
      </c>
      <c r="X12" t="s">
        <v>14</v>
      </c>
      <c r="Y12" t="s">
        <v>14</v>
      </c>
      <c r="Z12" t="s">
        <v>14</v>
      </c>
      <c r="AA12" t="s">
        <v>14</v>
      </c>
      <c r="AC12">
        <v>56</v>
      </c>
      <c r="AD12" t="s">
        <v>38</v>
      </c>
      <c r="AE12" s="2">
        <v>46240.732835648145</v>
      </c>
      <c r="AF12">
        <v>330</v>
      </c>
      <c r="AG12" t="s">
        <v>13</v>
      </c>
      <c r="AH12">
        <v>0</v>
      </c>
      <c r="AI12">
        <v>12.314</v>
      </c>
      <c r="AJ12" s="3">
        <v>2444</v>
      </c>
      <c r="AK12">
        <v>0.51</v>
      </c>
      <c r="AL12" t="s">
        <v>14</v>
      </c>
      <c r="AM12" t="s">
        <v>14</v>
      </c>
      <c r="AN12" t="s">
        <v>14</v>
      </c>
      <c r="AO12" t="s">
        <v>14</v>
      </c>
      <c r="AQ12">
        <v>1</v>
      </c>
      <c r="AS12" s="8">
        <v>56</v>
      </c>
      <c r="AT12" s="16">
        <f t="shared" si="0"/>
        <v>34.580406738999997</v>
      </c>
      <c r="AU12" s="17">
        <f t="shared" si="1"/>
        <v>498.81457853744001</v>
      </c>
      <c r="AW12" s="9">
        <f t="shared" si="2"/>
        <v>33.222068457500001</v>
      </c>
      <c r="AX12" s="10">
        <f t="shared" si="3"/>
        <v>571.89165267039994</v>
      </c>
      <c r="AZ12" s="11">
        <f t="shared" si="4"/>
        <v>37.509247838000007</v>
      </c>
      <c r="BA12" s="12">
        <f t="shared" si="5"/>
        <v>534.76280646719999</v>
      </c>
      <c r="BC12" s="14">
        <f t="shared" si="6"/>
        <v>41.878984942500004</v>
      </c>
      <c r="BD12" s="15">
        <f t="shared" si="7"/>
        <v>422.20569821648007</v>
      </c>
      <c r="BF12" s="16">
        <f t="shared" si="8"/>
        <v>34.580406738999997</v>
      </c>
      <c r="BG12" s="17">
        <f t="shared" si="9"/>
        <v>498.81457853744001</v>
      </c>
      <c r="BI12">
        <v>56</v>
      </c>
      <c r="BJ12" t="s">
        <v>38</v>
      </c>
      <c r="BK12" s="2">
        <v>46240.732835648145</v>
      </c>
      <c r="BL12">
        <v>330</v>
      </c>
      <c r="BM12" t="s">
        <v>13</v>
      </c>
      <c r="BN12">
        <v>0</v>
      </c>
      <c r="BO12">
        <v>2.879</v>
      </c>
      <c r="BP12" s="3">
        <v>809915</v>
      </c>
      <c r="BQ12">
        <v>0</v>
      </c>
      <c r="BR12" t="s">
        <v>14</v>
      </c>
      <c r="BS12" t="s">
        <v>14</v>
      </c>
      <c r="BT12" t="s">
        <v>14</v>
      </c>
      <c r="BU12" t="s">
        <v>14</v>
      </c>
    </row>
    <row r="13" spans="1:73" x14ac:dyDescent="0.35">
      <c r="A13">
        <v>57</v>
      </c>
      <c r="B13" t="s">
        <v>39</v>
      </c>
      <c r="C13" s="2">
        <v>46240.754027777781</v>
      </c>
      <c r="D13">
        <v>259</v>
      </c>
      <c r="E13" t="s">
        <v>13</v>
      </c>
      <c r="F13">
        <v>0</v>
      </c>
      <c r="G13">
        <v>6.056</v>
      </c>
      <c r="H13" s="3">
        <v>14016</v>
      </c>
      <c r="I13">
        <v>2.9000000000000001E-2</v>
      </c>
      <c r="J13" t="s">
        <v>14</v>
      </c>
      <c r="K13" t="s">
        <v>14</v>
      </c>
      <c r="L13" t="s">
        <v>14</v>
      </c>
      <c r="M13" t="s">
        <v>14</v>
      </c>
      <c r="O13">
        <v>57</v>
      </c>
      <c r="P13" t="s">
        <v>39</v>
      </c>
      <c r="Q13" s="2">
        <v>46240.754027777781</v>
      </c>
      <c r="R13">
        <v>259</v>
      </c>
      <c r="S13" t="s">
        <v>13</v>
      </c>
      <c r="T13">
        <v>0</v>
      </c>
      <c r="U13" t="s">
        <v>14</v>
      </c>
      <c r="V13" t="s">
        <v>14</v>
      </c>
      <c r="W13" t="s">
        <v>14</v>
      </c>
      <c r="X13" t="s">
        <v>14</v>
      </c>
      <c r="Y13" t="s">
        <v>14</v>
      </c>
      <c r="Z13" t="s">
        <v>14</v>
      </c>
      <c r="AA13" t="s">
        <v>14</v>
      </c>
      <c r="AC13">
        <v>57</v>
      </c>
      <c r="AD13" t="s">
        <v>39</v>
      </c>
      <c r="AE13" s="2">
        <v>46240.754027777781</v>
      </c>
      <c r="AF13">
        <v>259</v>
      </c>
      <c r="AG13" t="s">
        <v>13</v>
      </c>
      <c r="AH13">
        <v>0</v>
      </c>
      <c r="AI13">
        <v>12.314</v>
      </c>
      <c r="AJ13" s="3">
        <v>1872</v>
      </c>
      <c r="AK13">
        <v>0.41199999999999998</v>
      </c>
      <c r="AL13" t="s">
        <v>14</v>
      </c>
      <c r="AM13" t="s">
        <v>14</v>
      </c>
      <c r="AN13" t="s">
        <v>14</v>
      </c>
      <c r="AO13" t="s">
        <v>14</v>
      </c>
      <c r="AQ13">
        <v>1</v>
      </c>
      <c r="AS13" s="8">
        <v>57</v>
      </c>
      <c r="AT13" s="16">
        <f t="shared" si="0"/>
        <v>33.638936876441598</v>
      </c>
      <c r="AU13" s="17">
        <f t="shared" si="1"/>
        <v>392.50582190336002</v>
      </c>
      <c r="AW13" s="9">
        <f t="shared" si="2"/>
        <v>31.920889100288001</v>
      </c>
      <c r="AX13" s="10">
        <f t="shared" si="3"/>
        <v>433.4496504576</v>
      </c>
      <c r="AZ13" s="11">
        <f t="shared" si="4"/>
        <v>36.254649743667201</v>
      </c>
      <c r="BA13" s="12">
        <f t="shared" si="5"/>
        <v>417.65043783679999</v>
      </c>
      <c r="BC13" s="14">
        <f t="shared" si="6"/>
        <v>40.718246108671998</v>
      </c>
      <c r="BD13" s="15">
        <f t="shared" si="7"/>
        <v>292.08243987712001</v>
      </c>
      <c r="BF13" s="16">
        <f t="shared" si="8"/>
        <v>33.638936876441598</v>
      </c>
      <c r="BG13" s="17">
        <f t="shared" si="9"/>
        <v>392.50582190336002</v>
      </c>
      <c r="BI13">
        <v>57</v>
      </c>
      <c r="BJ13" t="s">
        <v>39</v>
      </c>
      <c r="BK13" s="2">
        <v>46240.754027777781</v>
      </c>
      <c r="BL13">
        <v>259</v>
      </c>
      <c r="BM13" t="s">
        <v>13</v>
      </c>
      <c r="BN13">
        <v>0</v>
      </c>
      <c r="BO13">
        <v>2.8839999999999999</v>
      </c>
      <c r="BP13" s="3">
        <v>839887</v>
      </c>
      <c r="BQ13">
        <v>0</v>
      </c>
      <c r="BR13" t="s">
        <v>14</v>
      </c>
      <c r="BS13" t="s">
        <v>14</v>
      </c>
      <c r="BT13" t="s">
        <v>14</v>
      </c>
      <c r="BU13" t="s">
        <v>14</v>
      </c>
    </row>
    <row r="14" spans="1:73" x14ac:dyDescent="0.35">
      <c r="A14">
        <v>58</v>
      </c>
      <c r="B14" t="s">
        <v>40</v>
      </c>
      <c r="C14" s="2">
        <v>46240.775266203702</v>
      </c>
      <c r="D14">
        <v>185</v>
      </c>
      <c r="E14" t="s">
        <v>13</v>
      </c>
      <c r="F14">
        <v>0</v>
      </c>
      <c r="G14">
        <v>6.0460000000000003</v>
      </c>
      <c r="H14" s="3">
        <v>80971</v>
      </c>
      <c r="I14">
        <v>0.16400000000000001</v>
      </c>
      <c r="J14" t="s">
        <v>14</v>
      </c>
      <c r="K14" t="s">
        <v>14</v>
      </c>
      <c r="L14" t="s">
        <v>14</v>
      </c>
      <c r="M14" t="s">
        <v>14</v>
      </c>
      <c r="O14">
        <v>58</v>
      </c>
      <c r="P14" t="s">
        <v>40</v>
      </c>
      <c r="Q14" s="2">
        <v>46240.775266203702</v>
      </c>
      <c r="R14">
        <v>185</v>
      </c>
      <c r="S14" t="s">
        <v>13</v>
      </c>
      <c r="T14">
        <v>0</v>
      </c>
      <c r="U14" t="s">
        <v>14</v>
      </c>
      <c r="V14" s="3" t="s">
        <v>14</v>
      </c>
      <c r="W14" t="s">
        <v>14</v>
      </c>
      <c r="X14" t="s">
        <v>14</v>
      </c>
      <c r="Y14" t="s">
        <v>14</v>
      </c>
      <c r="Z14" t="s">
        <v>14</v>
      </c>
      <c r="AA14" t="s">
        <v>14</v>
      </c>
      <c r="AC14">
        <v>58</v>
      </c>
      <c r="AD14" t="s">
        <v>40</v>
      </c>
      <c r="AE14" s="2">
        <v>46240.775266203702</v>
      </c>
      <c r="AF14">
        <v>185</v>
      </c>
      <c r="AG14" t="s">
        <v>13</v>
      </c>
      <c r="AH14">
        <v>0</v>
      </c>
      <c r="AI14">
        <v>12.183999999999999</v>
      </c>
      <c r="AJ14" s="3">
        <v>92777</v>
      </c>
      <c r="AK14">
        <v>15.936</v>
      </c>
      <c r="AL14" t="s">
        <v>14</v>
      </c>
      <c r="AM14" t="s">
        <v>14</v>
      </c>
      <c r="AN14" t="s">
        <v>14</v>
      </c>
      <c r="AO14" t="s">
        <v>14</v>
      </c>
      <c r="AQ14">
        <v>1</v>
      </c>
      <c r="AS14" s="8">
        <v>58</v>
      </c>
      <c r="AT14" s="16">
        <f t="shared" si="0"/>
        <v>177.20698761064759</v>
      </c>
      <c r="AU14" s="17">
        <f t="shared" si="1"/>
        <v>16799.412025500133</v>
      </c>
      <c r="AW14" s="9">
        <f t="shared" si="2"/>
        <v>225.63546341974302</v>
      </c>
      <c r="AX14" s="10">
        <f t="shared" si="3"/>
        <v>20851.813216283899</v>
      </c>
      <c r="AZ14" s="11">
        <f t="shared" si="4"/>
        <v>228.52046873951923</v>
      </c>
      <c r="BA14" s="12">
        <f t="shared" si="5"/>
        <v>18382.355151352131</v>
      </c>
      <c r="BC14" s="14">
        <f t="shared" si="6"/>
        <v>218.618914352817</v>
      </c>
      <c r="BD14" s="15">
        <f t="shared" si="7"/>
        <v>20418.40948823802</v>
      </c>
      <c r="BF14" s="16">
        <f t="shared" si="8"/>
        <v>177.20698761064759</v>
      </c>
      <c r="BG14" s="17">
        <f t="shared" si="9"/>
        <v>16799.412025500133</v>
      </c>
      <c r="BI14">
        <v>58</v>
      </c>
      <c r="BJ14" t="s">
        <v>40</v>
      </c>
      <c r="BK14" s="2">
        <v>46240.775266203702</v>
      </c>
      <c r="BL14">
        <v>185</v>
      </c>
      <c r="BM14" t="s">
        <v>13</v>
      </c>
      <c r="BN14">
        <v>0</v>
      </c>
      <c r="BO14">
        <v>2.8780000000000001</v>
      </c>
      <c r="BP14" s="3">
        <v>806475</v>
      </c>
      <c r="BQ14">
        <v>0</v>
      </c>
      <c r="BR14" t="s">
        <v>14</v>
      </c>
      <c r="BS14" t="s">
        <v>14</v>
      </c>
      <c r="BT14" t="s">
        <v>14</v>
      </c>
      <c r="BU14" t="s">
        <v>14</v>
      </c>
    </row>
    <row r="15" spans="1:73" x14ac:dyDescent="0.35">
      <c r="A15">
        <v>59</v>
      </c>
      <c r="B15" t="s">
        <v>41</v>
      </c>
      <c r="C15" s="2">
        <v>46240.796493055554</v>
      </c>
      <c r="D15">
        <v>402</v>
      </c>
      <c r="E15" t="s">
        <v>13</v>
      </c>
      <c r="F15">
        <v>0</v>
      </c>
      <c r="G15">
        <v>6.0839999999999996</v>
      </c>
      <c r="H15" s="3">
        <v>2106</v>
      </c>
      <c r="I15">
        <v>4.0000000000000001E-3</v>
      </c>
      <c r="J15" t="s">
        <v>14</v>
      </c>
      <c r="K15" t="s">
        <v>14</v>
      </c>
      <c r="L15" t="s">
        <v>14</v>
      </c>
      <c r="M15" t="s">
        <v>14</v>
      </c>
      <c r="O15">
        <v>59</v>
      </c>
      <c r="P15" t="s">
        <v>41</v>
      </c>
      <c r="Q15" s="2">
        <v>46240.796493055554</v>
      </c>
      <c r="R15">
        <v>402</v>
      </c>
      <c r="S15" t="s">
        <v>13</v>
      </c>
      <c r="T15">
        <v>0</v>
      </c>
      <c r="U15" t="s">
        <v>14</v>
      </c>
      <c r="V15" t="s">
        <v>14</v>
      </c>
      <c r="W15" t="s">
        <v>14</v>
      </c>
      <c r="X15" t="s">
        <v>14</v>
      </c>
      <c r="Y15" t="s">
        <v>14</v>
      </c>
      <c r="Z15" t="s">
        <v>14</v>
      </c>
      <c r="AA15" t="s">
        <v>14</v>
      </c>
      <c r="AC15">
        <v>59</v>
      </c>
      <c r="AD15" t="s">
        <v>41</v>
      </c>
      <c r="AE15" s="2">
        <v>46240.796493055554</v>
      </c>
      <c r="AF15">
        <v>402</v>
      </c>
      <c r="AG15" t="s">
        <v>13</v>
      </c>
      <c r="AH15">
        <v>0</v>
      </c>
      <c r="AI15">
        <v>12.234</v>
      </c>
      <c r="AJ15" s="3">
        <v>72891</v>
      </c>
      <c r="AK15">
        <v>12.542</v>
      </c>
      <c r="AL15" t="s">
        <v>14</v>
      </c>
      <c r="AM15" t="s">
        <v>14</v>
      </c>
      <c r="AN15" t="s">
        <v>14</v>
      </c>
      <c r="AO15" t="s">
        <v>14</v>
      </c>
      <c r="AQ15">
        <v>1</v>
      </c>
      <c r="AS15" s="8">
        <v>59</v>
      </c>
      <c r="AT15" s="16">
        <f t="shared" si="0"/>
        <v>6.8586575334960003</v>
      </c>
      <c r="AU15" s="17">
        <f t="shared" si="1"/>
        <v>13542.518671152535</v>
      </c>
      <c r="AW15" s="9">
        <f t="shared" si="2"/>
        <v>5.0799374400000001</v>
      </c>
      <c r="AX15" s="10">
        <f t="shared" si="3"/>
        <v>16060.7949966671</v>
      </c>
      <c r="AZ15" s="11">
        <f t="shared" si="4"/>
        <v>1.6084473850399998</v>
      </c>
      <c r="BA15" s="12">
        <f t="shared" si="5"/>
        <v>14359.03955791957</v>
      </c>
      <c r="BC15" s="14">
        <f t="shared" si="6"/>
        <v>4.1017604593479993</v>
      </c>
      <c r="BD15" s="15">
        <f t="shared" si="7"/>
        <v>16183.872600503781</v>
      </c>
      <c r="BF15" s="16">
        <f t="shared" si="8"/>
        <v>6.8586575334960003</v>
      </c>
      <c r="BG15" s="17">
        <f t="shared" si="9"/>
        <v>13542.518671152535</v>
      </c>
      <c r="BI15">
        <v>59</v>
      </c>
      <c r="BJ15" t="s">
        <v>41</v>
      </c>
      <c r="BK15" s="2">
        <v>46240.796493055554</v>
      </c>
      <c r="BL15">
        <v>402</v>
      </c>
      <c r="BM15" t="s">
        <v>13</v>
      </c>
      <c r="BN15">
        <v>0</v>
      </c>
      <c r="BO15">
        <v>2.8780000000000001</v>
      </c>
      <c r="BP15" s="3">
        <v>942390</v>
      </c>
      <c r="BQ15">
        <v>0</v>
      </c>
      <c r="BR15" t="s">
        <v>14</v>
      </c>
      <c r="BS15" t="s">
        <v>14</v>
      </c>
      <c r="BT15" t="s">
        <v>14</v>
      </c>
      <c r="BU15" t="s">
        <v>14</v>
      </c>
    </row>
    <row r="16" spans="1:73" x14ac:dyDescent="0.35">
      <c r="A16">
        <v>60</v>
      </c>
      <c r="B16" t="s">
        <v>42</v>
      </c>
      <c r="C16" s="2">
        <v>46240.817719907405</v>
      </c>
      <c r="D16">
        <v>102</v>
      </c>
      <c r="E16" t="s">
        <v>13</v>
      </c>
      <c r="F16">
        <v>0</v>
      </c>
      <c r="G16">
        <v>6.056</v>
      </c>
      <c r="H16" s="3">
        <v>4207</v>
      </c>
      <c r="I16">
        <v>8.9999999999999993E-3</v>
      </c>
      <c r="J16" t="s">
        <v>14</v>
      </c>
      <c r="K16" t="s">
        <v>14</v>
      </c>
      <c r="L16" t="s">
        <v>14</v>
      </c>
      <c r="M16" t="s">
        <v>14</v>
      </c>
      <c r="O16">
        <v>60</v>
      </c>
      <c r="P16" t="s">
        <v>42</v>
      </c>
      <c r="Q16" s="2">
        <v>46240.817719907405</v>
      </c>
      <c r="R16">
        <v>102</v>
      </c>
      <c r="S16" t="s">
        <v>13</v>
      </c>
      <c r="T16">
        <v>0</v>
      </c>
      <c r="U16" t="s">
        <v>14</v>
      </c>
      <c r="V16" s="3" t="s">
        <v>14</v>
      </c>
      <c r="W16" t="s">
        <v>14</v>
      </c>
      <c r="X16" t="s">
        <v>14</v>
      </c>
      <c r="Y16" t="s">
        <v>14</v>
      </c>
      <c r="Z16" t="s">
        <v>14</v>
      </c>
      <c r="AA16" t="s">
        <v>14</v>
      </c>
      <c r="AC16">
        <v>60</v>
      </c>
      <c r="AD16" t="s">
        <v>42</v>
      </c>
      <c r="AE16" s="2">
        <v>46240.817719907405</v>
      </c>
      <c r="AF16">
        <v>102</v>
      </c>
      <c r="AG16" t="s">
        <v>13</v>
      </c>
      <c r="AH16">
        <v>0</v>
      </c>
      <c r="AI16">
        <v>12.236000000000001</v>
      </c>
      <c r="AJ16" s="3">
        <v>63281</v>
      </c>
      <c r="AK16">
        <v>10.901</v>
      </c>
      <c r="AL16" t="s">
        <v>14</v>
      </c>
      <c r="AM16" t="s">
        <v>14</v>
      </c>
      <c r="AN16" t="s">
        <v>14</v>
      </c>
      <c r="AO16" t="s">
        <v>14</v>
      </c>
      <c r="AQ16">
        <v>1</v>
      </c>
      <c r="AS16" s="8">
        <v>60</v>
      </c>
      <c r="AT16" s="16">
        <f t="shared" si="0"/>
        <v>12.282501474814</v>
      </c>
      <c r="AU16" s="17">
        <f t="shared" si="1"/>
        <v>11969.257238717466</v>
      </c>
      <c r="AW16" s="9">
        <f t="shared" si="2"/>
        <v>2.2310234599999994</v>
      </c>
      <c r="AX16" s="10">
        <f t="shared" si="3"/>
        <v>13733.920265095099</v>
      </c>
      <c r="AZ16" s="11">
        <f t="shared" si="4"/>
        <v>7.5200832318599993</v>
      </c>
      <c r="BA16" s="12">
        <f t="shared" si="5"/>
        <v>12407.942526387169</v>
      </c>
      <c r="BC16" s="14">
        <f t="shared" si="6"/>
        <v>11.530090324556999</v>
      </c>
      <c r="BD16" s="15">
        <f t="shared" si="7"/>
        <v>14134.503069714181</v>
      </c>
      <c r="BF16" s="16">
        <f t="shared" si="8"/>
        <v>12.282501474814</v>
      </c>
      <c r="BG16" s="17">
        <f t="shared" si="9"/>
        <v>11969.257238717466</v>
      </c>
      <c r="BI16">
        <v>60</v>
      </c>
      <c r="BJ16" t="s">
        <v>42</v>
      </c>
      <c r="BK16" s="2">
        <v>46240.817719907405</v>
      </c>
      <c r="BL16">
        <v>102</v>
      </c>
      <c r="BM16" t="s">
        <v>13</v>
      </c>
      <c r="BN16">
        <v>0</v>
      </c>
      <c r="BO16">
        <v>2.8759999999999999</v>
      </c>
      <c r="BP16" s="3">
        <v>863769</v>
      </c>
      <c r="BQ16">
        <v>0</v>
      </c>
      <c r="BR16" t="s">
        <v>14</v>
      </c>
      <c r="BS16" t="s">
        <v>14</v>
      </c>
      <c r="BT16" t="s">
        <v>14</v>
      </c>
      <c r="BU16" t="s">
        <v>14</v>
      </c>
    </row>
    <row r="17" spans="1:73" x14ac:dyDescent="0.35">
      <c r="A17">
        <v>61</v>
      </c>
      <c r="B17" t="s">
        <v>43</v>
      </c>
      <c r="C17" s="2">
        <v>46240.838935185187</v>
      </c>
      <c r="D17">
        <v>108</v>
      </c>
      <c r="E17" t="s">
        <v>13</v>
      </c>
      <c r="F17">
        <v>0</v>
      </c>
      <c r="G17">
        <v>6.05</v>
      </c>
      <c r="H17" s="3">
        <v>16938</v>
      </c>
      <c r="I17">
        <v>3.4000000000000002E-2</v>
      </c>
      <c r="J17" t="s">
        <v>14</v>
      </c>
      <c r="K17" t="s">
        <v>14</v>
      </c>
      <c r="L17" t="s">
        <v>14</v>
      </c>
      <c r="M17" t="s">
        <v>14</v>
      </c>
      <c r="O17">
        <v>61</v>
      </c>
      <c r="P17" t="s">
        <v>43</v>
      </c>
      <c r="Q17" s="2">
        <v>46240.838935185187</v>
      </c>
      <c r="R17">
        <v>108</v>
      </c>
      <c r="S17" t="s">
        <v>13</v>
      </c>
      <c r="T17">
        <v>0</v>
      </c>
      <c r="U17" t="s">
        <v>14</v>
      </c>
      <c r="V17" t="s">
        <v>14</v>
      </c>
      <c r="W17" t="s">
        <v>14</v>
      </c>
      <c r="X17" t="s">
        <v>14</v>
      </c>
      <c r="Y17" t="s">
        <v>14</v>
      </c>
      <c r="Z17" t="s">
        <v>14</v>
      </c>
      <c r="AA17" t="s">
        <v>14</v>
      </c>
      <c r="AC17">
        <v>61</v>
      </c>
      <c r="AD17" t="s">
        <v>43</v>
      </c>
      <c r="AE17" s="2">
        <v>46240.838935185187</v>
      </c>
      <c r="AF17">
        <v>108</v>
      </c>
      <c r="AG17" t="s">
        <v>13</v>
      </c>
      <c r="AH17">
        <v>0</v>
      </c>
      <c r="AI17">
        <v>12.298</v>
      </c>
      <c r="AJ17" s="3">
        <v>2703</v>
      </c>
      <c r="AK17">
        <v>0.55400000000000005</v>
      </c>
      <c r="AL17" t="s">
        <v>14</v>
      </c>
      <c r="AM17" t="s">
        <v>14</v>
      </c>
      <c r="AN17" t="s">
        <v>14</v>
      </c>
      <c r="AO17" t="s">
        <v>14</v>
      </c>
      <c r="AQ17">
        <v>1</v>
      </c>
      <c r="AS17" s="8">
        <v>61</v>
      </c>
      <c r="AT17" s="16">
        <f t="shared" si="0"/>
        <v>39.974852404318405</v>
      </c>
      <c r="AU17" s="17">
        <f t="shared" si="1"/>
        <v>546.95858922011007</v>
      </c>
      <c r="AW17" s="9">
        <f t="shared" si="2"/>
        <v>40.669899254012002</v>
      </c>
      <c r="AX17" s="10">
        <f t="shared" si="3"/>
        <v>634.47963807509996</v>
      </c>
      <c r="AZ17" s="11">
        <f t="shared" si="4"/>
        <v>44.699406480252804</v>
      </c>
      <c r="BA17" s="12">
        <f t="shared" si="5"/>
        <v>587.77808870180002</v>
      </c>
      <c r="BC17" s="14">
        <f t="shared" si="6"/>
        <v>48.531262393028001</v>
      </c>
      <c r="BD17" s="15">
        <f t="shared" si="7"/>
        <v>481.11458432437007</v>
      </c>
      <c r="BF17" s="16">
        <f t="shared" si="8"/>
        <v>39.974852404318405</v>
      </c>
      <c r="BG17" s="17">
        <f t="shared" si="9"/>
        <v>546.95858922011007</v>
      </c>
      <c r="BI17">
        <v>61</v>
      </c>
      <c r="BJ17" t="s">
        <v>43</v>
      </c>
      <c r="BK17" s="2">
        <v>46240.838935185187</v>
      </c>
      <c r="BL17">
        <v>108</v>
      </c>
      <c r="BM17" t="s">
        <v>13</v>
      </c>
      <c r="BN17">
        <v>0</v>
      </c>
      <c r="BO17">
        <v>2.8690000000000002</v>
      </c>
      <c r="BP17" s="3">
        <v>1005938</v>
      </c>
      <c r="BQ17">
        <v>0</v>
      </c>
      <c r="BR17" t="s">
        <v>14</v>
      </c>
      <c r="BS17" t="s">
        <v>14</v>
      </c>
      <c r="BT17" t="s">
        <v>14</v>
      </c>
      <c r="BU17" t="s">
        <v>14</v>
      </c>
    </row>
    <row r="18" spans="1:73" x14ac:dyDescent="0.35">
      <c r="A18">
        <v>62</v>
      </c>
      <c r="B18" t="s">
        <v>44</v>
      </c>
      <c r="C18" s="2">
        <v>46240.860173611109</v>
      </c>
      <c r="D18">
        <v>355</v>
      </c>
      <c r="E18" t="s">
        <v>13</v>
      </c>
      <c r="F18">
        <v>0</v>
      </c>
      <c r="G18">
        <v>6.0510000000000002</v>
      </c>
      <c r="H18" s="3">
        <v>61038</v>
      </c>
      <c r="I18">
        <v>0.124</v>
      </c>
      <c r="J18" t="s">
        <v>14</v>
      </c>
      <c r="K18" t="s">
        <v>14</v>
      </c>
      <c r="L18" t="s">
        <v>14</v>
      </c>
      <c r="M18" t="s">
        <v>14</v>
      </c>
      <c r="O18">
        <v>62</v>
      </c>
      <c r="P18" t="s">
        <v>44</v>
      </c>
      <c r="Q18" s="2">
        <v>46240.860173611109</v>
      </c>
      <c r="R18">
        <v>355</v>
      </c>
      <c r="S18" t="s">
        <v>13</v>
      </c>
      <c r="T18">
        <v>0</v>
      </c>
      <c r="U18" t="s">
        <v>14</v>
      </c>
      <c r="V18" s="3" t="s">
        <v>14</v>
      </c>
      <c r="W18" t="s">
        <v>14</v>
      </c>
      <c r="X18" t="s">
        <v>14</v>
      </c>
      <c r="Y18" t="s">
        <v>14</v>
      </c>
      <c r="Z18" t="s">
        <v>14</v>
      </c>
      <c r="AA18" t="s">
        <v>14</v>
      </c>
      <c r="AC18">
        <v>62</v>
      </c>
      <c r="AD18" t="s">
        <v>44</v>
      </c>
      <c r="AE18" s="2">
        <v>46240.860173611109</v>
      </c>
      <c r="AF18">
        <v>355</v>
      </c>
      <c r="AG18" t="s">
        <v>13</v>
      </c>
      <c r="AH18">
        <v>0</v>
      </c>
      <c r="AI18">
        <v>12.18</v>
      </c>
      <c r="AJ18" s="3">
        <v>96116</v>
      </c>
      <c r="AK18">
        <v>16.506</v>
      </c>
      <c r="AL18" t="s">
        <v>14</v>
      </c>
      <c r="AM18" t="s">
        <v>14</v>
      </c>
      <c r="AN18" t="s">
        <v>14</v>
      </c>
      <c r="AO18" t="s">
        <v>14</v>
      </c>
      <c r="AQ18">
        <v>1</v>
      </c>
      <c r="AS18" s="8">
        <v>62</v>
      </c>
      <c r="AT18" s="16">
        <f t="shared" si="0"/>
        <v>134.81851006607837</v>
      </c>
      <c r="AU18" s="17">
        <f t="shared" si="1"/>
        <v>17346.4444818675</v>
      </c>
      <c r="AW18" s="9">
        <f t="shared" si="2"/>
        <v>169.44330375081202</v>
      </c>
      <c r="AX18" s="10">
        <f t="shared" si="3"/>
        <v>21653.087324849599</v>
      </c>
      <c r="AZ18" s="11">
        <f t="shared" si="4"/>
        <v>171.55219790617281</v>
      </c>
      <c r="BA18" s="12">
        <f t="shared" si="5"/>
        <v>19056.034800492322</v>
      </c>
      <c r="BC18" s="14">
        <f t="shared" si="6"/>
        <v>165.90307335222801</v>
      </c>
      <c r="BD18" s="15">
        <f t="shared" si="7"/>
        <v>21128.594608457279</v>
      </c>
      <c r="BF18" s="16">
        <f t="shared" si="8"/>
        <v>134.81851006607837</v>
      </c>
      <c r="BG18" s="17">
        <f t="shared" si="9"/>
        <v>17346.4444818675</v>
      </c>
      <c r="BI18">
        <v>62</v>
      </c>
      <c r="BJ18" t="s">
        <v>44</v>
      </c>
      <c r="BK18" s="2">
        <v>46240.860173611109</v>
      </c>
      <c r="BL18">
        <v>355</v>
      </c>
      <c r="BM18" t="s">
        <v>13</v>
      </c>
      <c r="BN18">
        <v>0</v>
      </c>
      <c r="BO18">
        <v>2.8879999999999999</v>
      </c>
      <c r="BP18" s="3">
        <v>714232</v>
      </c>
      <c r="BQ18">
        <v>0</v>
      </c>
      <c r="BR18" t="s">
        <v>14</v>
      </c>
      <c r="BS18" t="s">
        <v>14</v>
      </c>
      <c r="BT18" t="s">
        <v>14</v>
      </c>
      <c r="BU18" t="s">
        <v>14</v>
      </c>
    </row>
    <row r="19" spans="1:73" x14ac:dyDescent="0.35">
      <c r="A19">
        <v>63</v>
      </c>
      <c r="B19" t="s">
        <v>45</v>
      </c>
      <c r="C19" s="2">
        <v>46240.88140046296</v>
      </c>
      <c r="D19">
        <v>395</v>
      </c>
      <c r="E19" t="s">
        <v>13</v>
      </c>
      <c r="F19">
        <v>0</v>
      </c>
      <c r="G19">
        <v>6.0620000000000003</v>
      </c>
      <c r="H19" s="3">
        <v>3643</v>
      </c>
      <c r="I19">
        <v>7.0000000000000001E-3</v>
      </c>
      <c r="J19" t="s">
        <v>14</v>
      </c>
      <c r="K19" t="s">
        <v>14</v>
      </c>
      <c r="L19" t="s">
        <v>14</v>
      </c>
      <c r="M19" t="s">
        <v>14</v>
      </c>
      <c r="O19">
        <v>63</v>
      </c>
      <c r="P19" t="s">
        <v>45</v>
      </c>
      <c r="Q19" s="2">
        <v>46240.88140046296</v>
      </c>
      <c r="R19">
        <v>395</v>
      </c>
      <c r="S19" t="s">
        <v>13</v>
      </c>
      <c r="T19">
        <v>0</v>
      </c>
      <c r="U19" t="s">
        <v>14</v>
      </c>
      <c r="V19" t="s">
        <v>14</v>
      </c>
      <c r="W19" t="s">
        <v>14</v>
      </c>
      <c r="X19" t="s">
        <v>14</v>
      </c>
      <c r="Y19" t="s">
        <v>14</v>
      </c>
      <c r="Z19" t="s">
        <v>14</v>
      </c>
      <c r="AA19" t="s">
        <v>14</v>
      </c>
      <c r="AC19">
        <v>63</v>
      </c>
      <c r="AD19" t="s">
        <v>45</v>
      </c>
      <c r="AE19" s="2">
        <v>46240.88140046296</v>
      </c>
      <c r="AF19">
        <v>395</v>
      </c>
      <c r="AG19" t="s">
        <v>13</v>
      </c>
      <c r="AH19">
        <v>0</v>
      </c>
      <c r="AI19" t="s">
        <v>14</v>
      </c>
      <c r="AJ19" s="3" t="s">
        <v>14</v>
      </c>
      <c r="AK19" t="s">
        <v>14</v>
      </c>
      <c r="AL19" t="s">
        <v>14</v>
      </c>
      <c r="AM19" t="s">
        <v>14</v>
      </c>
      <c r="AN19" t="s">
        <v>14</v>
      </c>
      <c r="AO19" t="s">
        <v>14</v>
      </c>
      <c r="AQ19">
        <v>2</v>
      </c>
      <c r="AR19" t="s">
        <v>48</v>
      </c>
      <c r="AS19" s="8">
        <v>63</v>
      </c>
      <c r="AT19" s="16">
        <f t="shared" si="0"/>
        <v>10.829724838413998</v>
      </c>
      <c r="AU19" s="17" t="e">
        <f t="shared" si="1"/>
        <v>#VALUE!</v>
      </c>
      <c r="AW19" s="9">
        <f t="shared" si="2"/>
        <v>2.527687460000001</v>
      </c>
      <c r="AX19" s="10" t="e">
        <f t="shared" si="3"/>
        <v>#VALUE!</v>
      </c>
      <c r="AZ19" s="11">
        <f t="shared" si="4"/>
        <v>5.8836095958599994</v>
      </c>
      <c r="BA19" s="12" t="e">
        <f t="shared" si="5"/>
        <v>#VALUE!</v>
      </c>
      <c r="BC19" s="14">
        <f t="shared" si="6"/>
        <v>9.5286404163569998</v>
      </c>
      <c r="BD19" s="15" t="e">
        <f t="shared" si="7"/>
        <v>#VALUE!</v>
      </c>
      <c r="BF19" s="16">
        <f t="shared" si="8"/>
        <v>10.829724838413998</v>
      </c>
      <c r="BG19" s="17" t="e">
        <f t="shared" si="9"/>
        <v>#VALUE!</v>
      </c>
      <c r="BI19">
        <v>63</v>
      </c>
      <c r="BJ19" t="s">
        <v>45</v>
      </c>
      <c r="BK19" s="2">
        <v>46240.88140046296</v>
      </c>
      <c r="BL19">
        <v>395</v>
      </c>
      <c r="BM19" t="s">
        <v>13</v>
      </c>
      <c r="BN19">
        <v>0</v>
      </c>
      <c r="BO19">
        <v>2.8860000000000001</v>
      </c>
      <c r="BP19" s="3">
        <v>778422</v>
      </c>
      <c r="BQ19">
        <v>0</v>
      </c>
      <c r="BR19" t="s">
        <v>14</v>
      </c>
      <c r="BS19" t="s">
        <v>14</v>
      </c>
      <c r="BT19" t="s">
        <v>14</v>
      </c>
      <c r="BU19" t="s">
        <v>14</v>
      </c>
    </row>
    <row r="20" spans="1:73" x14ac:dyDescent="0.35">
      <c r="A20">
        <v>64</v>
      </c>
      <c r="B20" t="s">
        <v>46</v>
      </c>
      <c r="C20" s="2">
        <v>46240.902638888889</v>
      </c>
      <c r="D20">
        <v>39</v>
      </c>
      <c r="E20" t="s">
        <v>13</v>
      </c>
      <c r="F20">
        <v>0</v>
      </c>
      <c r="G20">
        <v>6.056</v>
      </c>
      <c r="H20" s="3">
        <v>4244</v>
      </c>
      <c r="I20">
        <v>8.9999999999999993E-3</v>
      </c>
      <c r="J20" t="s">
        <v>14</v>
      </c>
      <c r="K20" t="s">
        <v>14</v>
      </c>
      <c r="L20" t="s">
        <v>14</v>
      </c>
      <c r="M20" t="s">
        <v>14</v>
      </c>
      <c r="O20">
        <v>64</v>
      </c>
      <c r="P20" t="s">
        <v>46</v>
      </c>
      <c r="Q20" s="2">
        <v>46240.902638888889</v>
      </c>
      <c r="R20">
        <v>39</v>
      </c>
      <c r="S20" t="s">
        <v>13</v>
      </c>
      <c r="T20">
        <v>0</v>
      </c>
      <c r="U20" t="s">
        <v>14</v>
      </c>
      <c r="V20" t="s">
        <v>14</v>
      </c>
      <c r="W20" t="s">
        <v>14</v>
      </c>
      <c r="X20" t="s">
        <v>14</v>
      </c>
      <c r="Y20" t="s">
        <v>14</v>
      </c>
      <c r="Z20" t="s">
        <v>14</v>
      </c>
      <c r="AA20" t="s">
        <v>14</v>
      </c>
      <c r="AC20">
        <v>64</v>
      </c>
      <c r="AD20" t="s">
        <v>46</v>
      </c>
      <c r="AE20" s="2">
        <v>46240.902638888889</v>
      </c>
      <c r="AF20">
        <v>39</v>
      </c>
      <c r="AG20" t="s">
        <v>13</v>
      </c>
      <c r="AH20">
        <v>0</v>
      </c>
      <c r="AI20">
        <v>12.222</v>
      </c>
      <c r="AJ20" s="3">
        <v>75292</v>
      </c>
      <c r="AK20">
        <v>12.952</v>
      </c>
      <c r="AL20" t="s">
        <v>14</v>
      </c>
      <c r="AM20" t="s">
        <v>14</v>
      </c>
      <c r="AN20" t="s">
        <v>14</v>
      </c>
      <c r="AO20" t="s">
        <v>14</v>
      </c>
      <c r="AQ20">
        <v>1</v>
      </c>
      <c r="AS20" s="8">
        <v>64</v>
      </c>
      <c r="AT20" s="16">
        <f t="shared" si="0"/>
        <v>12.377725155296</v>
      </c>
      <c r="AU20" s="17">
        <f t="shared" si="1"/>
        <v>13935.654298169185</v>
      </c>
      <c r="AW20" s="9">
        <f t="shared" si="2"/>
        <v>2.2235694400000003</v>
      </c>
      <c r="AX20" s="10">
        <f t="shared" si="3"/>
        <v>16640.970992702398</v>
      </c>
      <c r="AZ20" s="11">
        <f t="shared" si="4"/>
        <v>7.6287111670400005</v>
      </c>
      <c r="BA20" s="12">
        <f t="shared" si="5"/>
        <v>14845.816287106079</v>
      </c>
      <c r="BC20" s="14">
        <f t="shared" si="6"/>
        <v>11.661579975247999</v>
      </c>
      <c r="BD20" s="15">
        <f t="shared" si="7"/>
        <v>16695.588838496318</v>
      </c>
      <c r="BF20" s="16">
        <f t="shared" si="8"/>
        <v>12.377725155296</v>
      </c>
      <c r="BG20" s="17">
        <f t="shared" si="9"/>
        <v>13935.654298169185</v>
      </c>
      <c r="BI20">
        <v>64</v>
      </c>
      <c r="BJ20" t="s">
        <v>46</v>
      </c>
      <c r="BK20" s="2">
        <v>46240.902638888889</v>
      </c>
      <c r="BL20">
        <v>39</v>
      </c>
      <c r="BM20" t="s">
        <v>13</v>
      </c>
      <c r="BN20">
        <v>0</v>
      </c>
      <c r="BO20">
        <v>2.8759999999999999</v>
      </c>
      <c r="BP20" s="3">
        <v>863183</v>
      </c>
      <c r="BQ20">
        <v>0</v>
      </c>
      <c r="BR20" t="s">
        <v>14</v>
      </c>
      <c r="BS20" t="s">
        <v>14</v>
      </c>
      <c r="BT20" t="s">
        <v>14</v>
      </c>
      <c r="BU20" t="s">
        <v>14</v>
      </c>
    </row>
    <row r="21" spans="1:73" x14ac:dyDescent="0.35">
      <c r="A21">
        <v>65</v>
      </c>
      <c r="B21" t="s">
        <v>47</v>
      </c>
      <c r="C21" s="2">
        <v>46240.923877314817</v>
      </c>
      <c r="D21">
        <v>245</v>
      </c>
      <c r="E21" t="s">
        <v>13</v>
      </c>
      <c r="F21">
        <v>0</v>
      </c>
      <c r="G21">
        <v>6.048</v>
      </c>
      <c r="H21" s="3">
        <v>16328</v>
      </c>
      <c r="I21">
        <v>3.3000000000000002E-2</v>
      </c>
      <c r="J21" t="s">
        <v>14</v>
      </c>
      <c r="K21" t="s">
        <v>14</v>
      </c>
      <c r="L21" t="s">
        <v>14</v>
      </c>
      <c r="M21" t="s">
        <v>14</v>
      </c>
      <c r="O21">
        <v>65</v>
      </c>
      <c r="P21" t="s">
        <v>47</v>
      </c>
      <c r="Q21" s="2">
        <v>46240.923877314817</v>
      </c>
      <c r="R21">
        <v>245</v>
      </c>
      <c r="S21" t="s">
        <v>13</v>
      </c>
      <c r="T21">
        <v>0</v>
      </c>
      <c r="U21" t="s">
        <v>14</v>
      </c>
      <c r="V21" s="3" t="s">
        <v>14</v>
      </c>
      <c r="W21" t="s">
        <v>14</v>
      </c>
      <c r="X21" t="s">
        <v>14</v>
      </c>
      <c r="Y21" t="s">
        <v>14</v>
      </c>
      <c r="Z21" t="s">
        <v>14</v>
      </c>
      <c r="AA21" t="s">
        <v>14</v>
      </c>
      <c r="AC21">
        <v>65</v>
      </c>
      <c r="AD21" t="s">
        <v>47</v>
      </c>
      <c r="AE21" s="2">
        <v>46240.923877314817</v>
      </c>
      <c r="AF21">
        <v>245</v>
      </c>
      <c r="AG21" t="s">
        <v>13</v>
      </c>
      <c r="AH21">
        <v>0</v>
      </c>
      <c r="AI21">
        <v>12.279</v>
      </c>
      <c r="AJ21" s="3">
        <v>2155</v>
      </c>
      <c r="AK21" s="13">
        <v>0.46</v>
      </c>
      <c r="AL21" t="s">
        <v>14</v>
      </c>
      <c r="AM21" t="s">
        <v>14</v>
      </c>
      <c r="AN21" t="s">
        <v>14</v>
      </c>
      <c r="AO21" t="s">
        <v>14</v>
      </c>
      <c r="AQ21">
        <v>1</v>
      </c>
      <c r="AS21" s="8">
        <v>65</v>
      </c>
      <c r="AT21" s="16">
        <f t="shared" si="0"/>
        <v>38.652690410982409</v>
      </c>
      <c r="AU21" s="17">
        <f t="shared" si="1"/>
        <v>445.09970965474997</v>
      </c>
      <c r="AW21" s="9">
        <f t="shared" si="2"/>
        <v>38.845670148031999</v>
      </c>
      <c r="AX21" s="10">
        <f t="shared" si="3"/>
        <v>501.98186019749994</v>
      </c>
      <c r="AZ21" s="11">
        <f t="shared" si="4"/>
        <v>42.936876884940808</v>
      </c>
      <c r="BA21" s="12">
        <f t="shared" si="5"/>
        <v>475.59728730500001</v>
      </c>
      <c r="BC21" s="14">
        <f t="shared" si="6"/>
        <v>46.900579257408005</v>
      </c>
      <c r="BD21" s="15">
        <f t="shared" si="7"/>
        <v>356.46561769325001</v>
      </c>
      <c r="BF21" s="16">
        <f t="shared" si="8"/>
        <v>38.652690410982409</v>
      </c>
      <c r="BG21" s="17">
        <f t="shared" si="9"/>
        <v>445.09970965474997</v>
      </c>
      <c r="BI21">
        <v>65</v>
      </c>
      <c r="BJ21" t="s">
        <v>47</v>
      </c>
      <c r="BK21" s="2">
        <v>46240.923877314817</v>
      </c>
      <c r="BL21">
        <v>245</v>
      </c>
      <c r="BM21" t="s">
        <v>13</v>
      </c>
      <c r="BN21">
        <v>0</v>
      </c>
      <c r="BO21">
        <v>2.8719999999999999</v>
      </c>
      <c r="BP21" s="3">
        <v>933649</v>
      </c>
      <c r="BQ21">
        <v>0</v>
      </c>
      <c r="BR21" t="s">
        <v>14</v>
      </c>
      <c r="BS21" t="s">
        <v>14</v>
      </c>
      <c r="BT21" t="s">
        <v>14</v>
      </c>
      <c r="BU21" t="s">
        <v>14</v>
      </c>
    </row>
    <row r="22" spans="1:73" x14ac:dyDescent="0.35">
      <c r="C22" s="2"/>
      <c r="H22" s="3"/>
      <c r="Q22" s="2"/>
      <c r="AE22" s="2"/>
      <c r="AJ22" s="3"/>
      <c r="AS22" s="8"/>
      <c r="AT22" s="14"/>
      <c r="AU22" s="15"/>
      <c r="AW22" s="9"/>
      <c r="AX22" s="10"/>
      <c r="AZ22" s="11"/>
      <c r="BA22" s="12"/>
      <c r="BC22" s="14"/>
      <c r="BD22" s="15"/>
      <c r="BF22" s="14"/>
      <c r="BG22" s="15"/>
      <c r="BK22" s="2"/>
      <c r="BP22" s="3"/>
    </row>
    <row r="23" spans="1:73" x14ac:dyDescent="0.35">
      <c r="C23" s="2"/>
      <c r="H23" s="3"/>
      <c r="Q23" s="2"/>
      <c r="AE23" s="2"/>
      <c r="AJ23" s="3"/>
      <c r="AS23" s="8"/>
      <c r="AT23" s="14"/>
      <c r="AU23" s="15"/>
      <c r="AW23" s="9"/>
      <c r="AX23" s="10"/>
      <c r="AZ23" s="11"/>
      <c r="BA23" s="12"/>
      <c r="BC23" s="14"/>
      <c r="BD23" s="15"/>
      <c r="BF23" s="14"/>
      <c r="BG23" s="15"/>
      <c r="BK23" s="2"/>
      <c r="BP23" s="3"/>
    </row>
    <row r="24" spans="1:73" x14ac:dyDescent="0.35">
      <c r="C24" s="2"/>
      <c r="H24" s="3"/>
      <c r="Q24" s="2"/>
      <c r="V24" s="3"/>
      <c r="AE24" s="2"/>
      <c r="AJ24" s="3"/>
      <c r="AS24" s="8"/>
      <c r="AT24" s="14"/>
      <c r="AU24" s="15"/>
      <c r="AW24" s="9"/>
      <c r="AX24" s="10"/>
      <c r="AZ24" s="11"/>
      <c r="BA24" s="12"/>
      <c r="BC24" s="14"/>
      <c r="BD24" s="15"/>
      <c r="BF24" s="14"/>
      <c r="BG24" s="15"/>
      <c r="BK24" s="2"/>
      <c r="BP24" s="3"/>
    </row>
    <row r="25" spans="1:73" x14ac:dyDescent="0.35">
      <c r="C25" s="2"/>
      <c r="H25" s="3"/>
      <c r="Q25" s="2"/>
      <c r="V25" s="3"/>
      <c r="AE25" s="2"/>
      <c r="AJ25" s="3"/>
      <c r="AS25" s="8"/>
      <c r="AT25" s="14"/>
      <c r="AU25" s="15"/>
      <c r="AW25" s="9"/>
      <c r="AX25" s="10"/>
      <c r="AZ25" s="11"/>
      <c r="BA25" s="12"/>
      <c r="BC25" s="14"/>
      <c r="BD25" s="15"/>
      <c r="BF25" s="14"/>
      <c r="BG25" s="15"/>
      <c r="BK25" s="2"/>
      <c r="BP25" s="3"/>
    </row>
    <row r="26" spans="1:73" x14ac:dyDescent="0.35">
      <c r="C26" s="2"/>
      <c r="H26" s="3"/>
      <c r="Q26" s="2"/>
      <c r="AE26" s="2"/>
      <c r="AJ26" s="3"/>
      <c r="AS26" s="8"/>
      <c r="AT26" s="14"/>
      <c r="AU26" s="15"/>
      <c r="AW26" s="9"/>
      <c r="AX26" s="10"/>
      <c r="AZ26" s="11"/>
      <c r="BA26" s="12"/>
      <c r="BC26" s="14"/>
      <c r="BD26" s="15"/>
      <c r="BF26" s="14"/>
      <c r="BG26" s="15"/>
      <c r="BK26" s="2"/>
      <c r="BP26" s="3"/>
    </row>
    <row r="27" spans="1:73" x14ac:dyDescent="0.35">
      <c r="C27" s="2"/>
      <c r="H27" s="3"/>
      <c r="Q27" s="2"/>
      <c r="AE27" s="2"/>
      <c r="AS27" s="8"/>
      <c r="AT27" s="14"/>
      <c r="AU27" s="15"/>
      <c r="AW27" s="9"/>
      <c r="AX27" s="10"/>
      <c r="AZ27" s="11"/>
      <c r="BA27" s="12"/>
      <c r="BC27" s="14"/>
      <c r="BD27" s="15"/>
      <c r="BF27" s="14"/>
      <c r="BG27" s="15"/>
      <c r="BK27" s="2"/>
      <c r="BP27" s="3"/>
    </row>
    <row r="28" spans="1:73" x14ac:dyDescent="0.35">
      <c r="C28" s="2"/>
      <c r="H28" s="3"/>
      <c r="Q28" s="2"/>
      <c r="V28" s="3"/>
      <c r="AE28" s="2"/>
      <c r="AJ28" s="3"/>
      <c r="AS28" s="8"/>
      <c r="AT28" s="14"/>
      <c r="AU28" s="15"/>
      <c r="AW28" s="9"/>
      <c r="AX28" s="10"/>
      <c r="AZ28" s="11"/>
      <c r="BA28" s="12"/>
      <c r="BC28" s="14"/>
      <c r="BD28" s="15"/>
      <c r="BF28" s="14"/>
      <c r="BG28" s="15"/>
      <c r="BK28" s="2"/>
      <c r="BP28" s="3"/>
    </row>
    <row r="29" spans="1:73" x14ac:dyDescent="0.35">
      <c r="C29" s="2"/>
      <c r="H29" s="3"/>
      <c r="Q29" s="2"/>
      <c r="V29" s="3"/>
      <c r="AE29" s="2"/>
      <c r="AJ29" s="3"/>
      <c r="AS29" s="8"/>
      <c r="AT29" s="14"/>
      <c r="AU29" s="15"/>
      <c r="AW29" s="9"/>
      <c r="AX29" s="10"/>
      <c r="AZ29" s="11"/>
      <c r="BA29" s="12"/>
      <c r="BC29" s="14"/>
      <c r="BD29" s="15"/>
      <c r="BF29" s="14"/>
      <c r="BG29" s="15"/>
      <c r="BK29" s="2"/>
      <c r="BP29" s="3"/>
    </row>
    <row r="30" spans="1:73" x14ac:dyDescent="0.35">
      <c r="C30" s="2"/>
      <c r="H30" s="3"/>
      <c r="Q30" s="2"/>
      <c r="AE30" s="2"/>
      <c r="AJ30" s="3"/>
      <c r="AS30" s="8"/>
      <c r="AT30" s="14"/>
      <c r="AU30" s="15"/>
      <c r="AW30" s="9"/>
      <c r="AX30" s="10"/>
      <c r="AZ30" s="11"/>
      <c r="BA30" s="12"/>
      <c r="BC30" s="14"/>
      <c r="BD30" s="15"/>
      <c r="BF30" s="14"/>
      <c r="BG30" s="15"/>
      <c r="BK30" s="2"/>
      <c r="BP30" s="3"/>
    </row>
    <row r="31" spans="1:73" x14ac:dyDescent="0.35">
      <c r="C31" s="2"/>
      <c r="H31" s="3"/>
      <c r="Q31" s="2"/>
      <c r="V31" s="3"/>
      <c r="AE31" s="2"/>
      <c r="AJ31" s="3"/>
      <c r="AS31" s="8"/>
      <c r="AT31" s="14"/>
      <c r="AU31" s="15"/>
      <c r="AW31" s="9"/>
      <c r="AX31" s="10"/>
      <c r="AZ31" s="11"/>
      <c r="BA31" s="12"/>
      <c r="BC31" s="14"/>
      <c r="BD31" s="15"/>
      <c r="BF31" s="14"/>
      <c r="BG31" s="15"/>
      <c r="BK31" s="2"/>
      <c r="BP31" s="3"/>
    </row>
    <row r="32" spans="1:73" x14ac:dyDescent="0.35">
      <c r="C32" s="2"/>
      <c r="H32" s="3"/>
      <c r="Q32" s="2"/>
      <c r="AE32" s="2"/>
      <c r="AJ32" s="3"/>
      <c r="AS32" s="8"/>
      <c r="AT32" s="14"/>
      <c r="AU32" s="15"/>
      <c r="AW32" s="9"/>
      <c r="AX32" s="10"/>
      <c r="AZ32" s="11"/>
      <c r="BA32" s="12"/>
      <c r="BC32" s="14"/>
      <c r="BD32" s="15"/>
      <c r="BF32" s="14"/>
      <c r="BG32" s="15"/>
      <c r="BK32" s="2"/>
      <c r="BP32" s="3"/>
    </row>
    <row r="33" spans="3:68" x14ac:dyDescent="0.35">
      <c r="C33" s="2"/>
      <c r="H33" s="3"/>
      <c r="Q33" s="2"/>
      <c r="AE33" s="2"/>
      <c r="AJ33" s="3"/>
      <c r="AS33" s="8"/>
      <c r="AT33" s="14"/>
      <c r="AU33" s="15"/>
      <c r="AW33" s="9"/>
      <c r="AX33" s="10"/>
      <c r="AZ33" s="11"/>
      <c r="BA33" s="12"/>
      <c r="BC33" s="14"/>
      <c r="BD33" s="15"/>
      <c r="BF33" s="14"/>
      <c r="BG33" s="15"/>
      <c r="BK33" s="2"/>
      <c r="BP33" s="3"/>
    </row>
    <row r="34" spans="3:68" x14ac:dyDescent="0.35">
      <c r="C34" s="2"/>
      <c r="H34" s="3"/>
      <c r="Q34" s="2"/>
      <c r="AE34" s="2"/>
      <c r="AS34" s="8"/>
      <c r="AT34" s="14"/>
      <c r="AU34" s="15"/>
      <c r="AW34" s="9"/>
      <c r="AX34" s="10"/>
      <c r="AZ34" s="11"/>
      <c r="BA34" s="12"/>
      <c r="BC34" s="14"/>
      <c r="BD34" s="15"/>
      <c r="BF34" s="14"/>
      <c r="BG34" s="15"/>
      <c r="BK34" s="2"/>
      <c r="BP34" s="3"/>
    </row>
    <row r="35" spans="3:68" x14ac:dyDescent="0.35">
      <c r="C35" s="2"/>
      <c r="H35" s="3"/>
      <c r="Q35" s="2"/>
      <c r="AE35" s="2"/>
      <c r="AS35" s="8"/>
      <c r="AT35" s="14"/>
      <c r="AU35" s="15"/>
      <c r="AW35" s="9"/>
      <c r="AX35" s="10"/>
      <c r="AZ35" s="11"/>
      <c r="BA35" s="12"/>
      <c r="BC35" s="14"/>
      <c r="BD35" s="15"/>
      <c r="BF35" s="14"/>
      <c r="BG35" s="15"/>
      <c r="BK35" s="2"/>
      <c r="BP35" s="3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serum CH4 CO2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Analytical Lab</dc:creator>
  <cp:lastModifiedBy>Iannucci, Frances</cp:lastModifiedBy>
  <dcterms:created xsi:type="dcterms:W3CDTF">2020-10-28T13:32:09Z</dcterms:created>
  <dcterms:modified xsi:type="dcterms:W3CDTF">2026-08-12T19:17:02Z</dcterms:modified>
</cp:coreProperties>
</file>