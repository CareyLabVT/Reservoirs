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0D0B9D40-3A30-4EA3-B061-B103C3A66EE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AT35" i="1"/>
  <c r="AU35" i="1"/>
  <c r="AW35" i="1"/>
  <c r="AX35" i="1"/>
  <c r="AZ35" i="1"/>
  <c r="BA35" i="1"/>
  <c r="BC35" i="1"/>
  <c r="BD35" i="1"/>
  <c r="BF35" i="1"/>
  <c r="BG35" i="1"/>
  <c r="AT36" i="1"/>
  <c r="AU36" i="1"/>
  <c r="AW36" i="1"/>
  <c r="AX36" i="1"/>
  <c r="AZ36" i="1"/>
  <c r="BA36" i="1"/>
  <c r="BC36" i="1"/>
  <c r="BD36" i="1"/>
  <c r="BF36" i="1"/>
  <c r="BG36" i="1"/>
  <c r="AT37" i="1"/>
  <c r="AU37" i="1"/>
  <c r="AW37" i="1"/>
  <c r="AX37" i="1"/>
  <c r="AZ37" i="1"/>
  <c r="BA37" i="1"/>
  <c r="BC37" i="1"/>
  <c r="BD37" i="1"/>
  <c r="BF37" i="1"/>
  <c r="BG37" i="1"/>
  <c r="AT38" i="1"/>
  <c r="AU38" i="1"/>
  <c r="AW38" i="1"/>
  <c r="AX38" i="1"/>
  <c r="AZ38" i="1"/>
  <c r="BA38" i="1"/>
  <c r="BC38" i="1"/>
  <c r="BD38" i="1"/>
  <c r="BF38" i="1"/>
  <c r="BG38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<sst xmlns="http://schemas.openxmlformats.org/spreadsheetml/2006/main" count="885" uniqueCount="68">
  <si>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</si>
  <si>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</si>
  <si>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</si>
  <si>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</si>
  <si>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</si>
  <si>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</si>
  <si>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</si>
  <si>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</si>
  <si>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</si>
  <si>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</si>
  <si>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</si>
  <si>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</si>
  <si>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</si>
  <si>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</si>
  <si>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</si>
  <si>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</si>
  <si>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</si>
  <si>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</si>
  <si>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</si>
  <si>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</si>
  <si>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</si>
  <si>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</si>
  <si>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</si>
  <si>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</si>
  <si>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</si>
  <si>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</si>
  <si>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</si>
  <si>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</si>
  <si>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</si>
  <si>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</si>
  <si>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</si>
  <si>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</si>
  <si>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</si>
  <si>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</si>
  <si>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</si>
  <si>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FMI20260811_001.gcd(Read only)</t>
  </si>
  <si>
    <t>FMI20260811_002.gcd</t>
  </si>
  <si>
    <t>FMI20260811_003.gcd</t>
  </si>
  <si>
    <t>FMI20260811_004.gcd</t>
  </si>
  <si>
    <t>QC outside air rs</t>
  </si>
  <si>
    <t>FMI20260811_005.gcd</t>
  </si>
  <si>
    <t>QC spiked air rs</t>
  </si>
  <si>
    <t>FMI20260811_006.gcd</t>
  </si>
  <si>
    <t>QC reference tank rs</t>
  </si>
  <si>
    <t>FMI20260811_007.gcd</t>
  </si>
  <si>
    <t>FMI20260811_008.gcd</t>
  </si>
  <si>
    <t>FMI20260811_009.gcd</t>
  </si>
  <si>
    <t>FMI20260811_010.gcd</t>
  </si>
  <si>
    <t>FMI20260811_011.gcd</t>
  </si>
  <si>
    <t>FMI20260811_012.gcd</t>
  </si>
  <si>
    <t>FMI20260811_013.gcd</t>
  </si>
  <si>
    <t>FMI20260811_014.gcd</t>
  </si>
  <si>
    <t>FMI20260811_015.gcd</t>
  </si>
  <si>
    <t>FMI20260811_016.gcd</t>
  </si>
  <si>
    <t>FMI20260811_017.gcd</t>
  </si>
  <si>
    <t>FMI20260811_018.gcd</t>
  </si>
  <si>
    <t>FMI20260811_019.gcd</t>
  </si>
  <si>
    <t>FMI20260811_020.gcd</t>
  </si>
  <si>
    <t>FMI20260811_021.gcd</t>
  </si>
  <si>
    <t>FMI20260811_022.gcd</t>
  </si>
  <si>
    <t>FMI20260811_023.gcd</t>
  </si>
  <si>
    <t>FMI20260811_024.gcd</t>
  </si>
  <si>
    <t>FMI20260811_025.gcd</t>
  </si>
  <si>
    <t>FMI20260811_026.gcd</t>
  </si>
  <si>
    <t>FMI20260811_027.gcd</t>
  </si>
  <si>
    <t>FMI20260811_028.gcd</t>
  </si>
  <si>
    <t>FMI20260811_029.gcd</t>
  </si>
  <si>
    <t>FMI20260811_030.gcd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</si>
</sst>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C1" workbookViewId="0">
      <selection activeCell="AC11" sqref="A11:XFD11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46245.546296296299</v>
      </c>
      <c r="D9" t="s">
        <v>31</v>
      </c>
      <c r="E9" t="s">
        <v>13</v>
      </c>
      <c r="F9">
        <v>0</v>
      </c>
      <c r="G9">
        <v>6.0979999999999999</v>
      </c>
      <c r="H9" s="3">
        <v>863</v>
      </c>
      <c r="I9">
        <v>2E-3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46245.546296296299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46245.546296296299</v>
      </c>
      <c r="AF9" t="s">
        <v>31</v>
      </c>
      <c r="AG9" t="s">
        <v>13</v>
      </c>
      <c r="AH9">
        <v>0</v>
      </c>
      <c r="AI9">
        <v>12.364000000000001</v>
      </c>
      <c r="AJ9" s="3">
        <v>1965</v>
      </c>
      <c r="AK9">
        <v>0.42799999999999999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38" si="0">IF($H9&lt;10000,(($H9^2*-0.000000003714)+($H9*0.002605)+(1.389)),(IF($H9&lt;200000,(($H9^2*-0.0000000003764)+($H9*0.00218)+(3.158)),(IF($H9&lt;8000000,(($H9^2*-0.000000000004719)+($H9*0.001816)+(146.1)),(($V9^2*0.000000002578)+($V9*0.2173)+(2294)))))))</f>
        <v>3.634348927934</v>
      </c>
      <c r="AU9" s="17">
        <f t="shared" ref="AU9:AU38" si="1">IF($AJ9&lt;45000,((0.00000003579*$AJ9^2)+(0.1857*$AJ9)+(44.75)),((0.0000000022829*$AJ9^2)+(0.1634*$AJ9)+(1620)))</f>
        <v>409.78869324275001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9.0099802600000007</v>
      </c>
      <c r="AX9" s="10">
        <f t="shared" ref="AX9:AX14" si="3">IF(AJ9&lt;45000,((-0.0000004561*AJ9^2)+(0.244*AJ9)+(-21.72)),((-0.0000000409*AJ9^2)+(0.2477*AJ9)+(-1777)))</f>
        <v>455.97889527749999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-1.6515048993399999</v>
      </c>
      <c r="BA9" s="12">
        <f t="shared" ref="BA9:BA14" si="5">IF(AJ9&lt;45000,((-0.0000000598*AJ9^2)+(0.205*AJ9)+(34.1)),((-0.00000002403*AJ9^2)+(0.2063*AJ9)+(-550.7)))</f>
        <v>436.69409874500002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-0.25770867688299992</v>
      </c>
      <c r="BD9" s="15">
        <f t="shared" ref="BD9:BD14" si="7">IF(AJ9&lt;45000,((-0.00000004907*AJ9^2)+(0.2277*AJ9)+(-134)),((-0.00000001062*AJ9^2)+(0.2147*AJ9)+(590.6)))</f>
        <v>313.24102968925007</v>
      </c>
      <c r="BF9" s="16">
        <f t="shared" ref="BF9:BF38" si="8">IF($H9&lt;10000,(($H9^2*-0.000000003714)+($H9*0.002605)+(1.389)),(IF($H9&lt;200000,(($H9^2*-0.0000000003764)+($H9*0.00218)+(3.158)),(IF($H9&lt;8000000,(($H9^2*-0.000000000004719)+($H9*0.001816)+(146.1)),(($V9^2*0.000000002578)+($V9*0.2173)+(2294)))))))</f>
        <v>3.634348927934</v>
      </c>
      <c r="BG9" s="17">
        <f t="shared" ref="BG9:BG38" si="9">IF($AJ9&lt;45000,((0.00000003579*$AJ9^2)+(0.1857*$AJ9)+(44.75)),((0.0000000022829*$AJ9^2)+(0.1634*$AJ9)+(1620)))</f>
        <v>409.78869324275001</v>
      </c>
      <c r="BI9">
        <v>45</v>
      </c>
      <c r="BJ9" t="s">
        <v>35</v>
      </c>
      <c r="BK9" s="2">
        <v>46245.546296296299</v>
      </c>
      <c r="BL9" t="s">
        <v>31</v>
      </c>
      <c r="BM9" t="s">
        <v>13</v>
      </c>
      <c r="BN9">
        <v>0</v>
      </c>
      <c r="BO9">
        <v>2.7280000000000002</v>
      </c>
      <c r="BP9" s="3">
        <v>4981497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46245.567523148151</v>
      </c>
      <c r="D10" t="s">
        <v>32</v>
      </c>
      <c r="E10" t="s">
        <v>13</v>
      </c>
      <c r="F10">
        <v>0</v>
      </c>
      <c r="G10">
        <v>6.0469999999999997</v>
      </c>
      <c r="H10" s="3">
        <v>925916</v>
      </c>
      <c r="I10">
        <v>1.883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46245.567523148151</v>
      </c>
      <c r="R10" t="s">
        <v>32</v>
      </c>
      <c r="S10" t="s">
        <v>13</v>
      </c>
      <c r="T10">
        <v>0</v>
      </c>
      <c r="U10">
        <v>6</v>
      </c>
      <c r="V10" s="3">
        <v>7827</v>
      </c>
      <c r="W10">
        <v>1.9339999999999999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46245.567523148151</v>
      </c>
      <c r="AF10" t="s">
        <v>32</v>
      </c>
      <c r="AG10" t="s">
        <v>13</v>
      </c>
      <c r="AH10">
        <v>0</v>
      </c>
      <c r="AI10">
        <v>12.324999999999999</v>
      </c>
      <c r="AJ10" s="3">
        <v>8303</v>
      </c>
      <c r="AK10">
        <v>1.5109999999999999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1823.5177608480947</v>
      </c>
      <c r="AU10" s="17">
        <f t="shared" si="1"/>
        <v>1589.0844557641099</v>
      </c>
      <c r="AW10" s="9">
        <f t="shared" si="2"/>
        <v>1934.4308798335585</v>
      </c>
      <c r="AX10" s="10">
        <f t="shared" si="3"/>
        <v>1972.7685531151001</v>
      </c>
      <c r="AZ10" s="11">
        <f t="shared" si="4"/>
        <v>2135.9226012778527</v>
      </c>
      <c r="BA10" s="12">
        <f t="shared" si="5"/>
        <v>1732.0923994217999</v>
      </c>
      <c r="BC10" s="14">
        <f t="shared" si="6"/>
        <v>2072.2599870812533</v>
      </c>
      <c r="BD10" s="15">
        <f t="shared" si="7"/>
        <v>1753.2102235723701</v>
      </c>
      <c r="BF10" s="16">
        <f t="shared" si="8"/>
        <v>1823.5177608480947</v>
      </c>
      <c r="BG10" s="17">
        <f t="shared" si="9"/>
        <v>1589.0844557641099</v>
      </c>
      <c r="BI10">
        <v>46</v>
      </c>
      <c r="BJ10" t="s">
        <v>36</v>
      </c>
      <c r="BK10" s="2">
        <v>46245.567523148151</v>
      </c>
      <c r="BL10" t="s">
        <v>32</v>
      </c>
      <c r="BM10" t="s">
        <v>13</v>
      </c>
      <c r="BN10">
        <v>0</v>
      </c>
      <c r="BO10">
        <v>2.7229999999999999</v>
      </c>
      <c r="BP10" s="3">
        <v>5121359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46245.588761574072</v>
      </c>
      <c r="D11" t="s">
        <v>26</v>
      </c>
      <c r="E11" t="s">
        <v>13</v>
      </c>
      <c r="F11">
        <v>0</v>
      </c>
      <c r="G11">
        <v>6.0620000000000003</v>
      </c>
      <c r="H11" s="3">
        <v>1810</v>
      </c>
      <c r="I11">
        <v>4.0000000000000001E-3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46245.588761574072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46245.588761574072</v>
      </c>
      <c r="AF11" t="s">
        <v>26</v>
      </c>
      <c r="AG11" t="s">
        <v>13</v>
      </c>
      <c r="AH11">
        <v>0</v>
      </c>
      <c r="AI11">
        <v>12.33</v>
      </c>
      <c r="AJ11" s="3">
        <v>1974</v>
      </c>
      <c r="AK11">
        <v>0.43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6.0918825646000005</v>
      </c>
      <c r="AU11" s="17">
        <f t="shared" si="1"/>
        <v>411.46126203403998</v>
      </c>
      <c r="AW11" s="9">
        <f t="shared" si="2"/>
        <v>5.8644439999999998</v>
      </c>
      <c r="AX11" s="10">
        <f t="shared" si="3"/>
        <v>458.15872607640006</v>
      </c>
      <c r="AZ11" s="11">
        <f t="shared" si="4"/>
        <v>0.81612635399999967</v>
      </c>
      <c r="BA11" s="12">
        <f t="shared" si="5"/>
        <v>438.5369787752</v>
      </c>
      <c r="BC11" s="14">
        <f t="shared" si="6"/>
        <v>3.0612439172999997</v>
      </c>
      <c r="BD11" s="15">
        <f t="shared" si="7"/>
        <v>315.28859010868001</v>
      </c>
      <c r="BF11" s="16">
        <f t="shared" si="8"/>
        <v>6.0918825646000005</v>
      </c>
      <c r="BG11" s="17">
        <f t="shared" si="9"/>
        <v>411.46126203403998</v>
      </c>
      <c r="BI11">
        <v>47</v>
      </c>
      <c r="BJ11" t="s">
        <v>37</v>
      </c>
      <c r="BK11" s="2">
        <v>46245.588761574072</v>
      </c>
      <c r="BL11" t="s">
        <v>26</v>
      </c>
      <c r="BM11" t="s">
        <v>13</v>
      </c>
      <c r="BN11">
        <v>0</v>
      </c>
      <c r="BO11">
        <v>2.7229999999999999</v>
      </c>
      <c r="BP11" s="3">
        <v>5132946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46245.63690972222</v>
      </c>
      <c r="D12" t="s">
        <v>39</v>
      </c>
      <c r="E12" t="s">
        <v>13</v>
      </c>
      <c r="F12">
        <v>0</v>
      </c>
      <c r="G12">
        <v>6.0739999999999998</v>
      </c>
      <c r="H12" s="3">
        <v>947</v>
      </c>
      <c r="I12">
        <v>2E-3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46245.63690972222</v>
      </c>
      <c r="R12" t="s">
        <v>39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46245.63690972222</v>
      </c>
      <c r="AF12" t="s">
        <v>39</v>
      </c>
      <c r="AG12" t="s">
        <v>13</v>
      </c>
      <c r="AH12">
        <v>0</v>
      </c>
      <c r="AI12">
        <v>12.37</v>
      </c>
      <c r="AJ12" s="3">
        <v>2042</v>
      </c>
      <c r="AK12">
        <v>0.441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3.8526042513740002</v>
      </c>
      <c r="AU12" s="17">
        <f t="shared" si="1"/>
        <v>424.09863585356004</v>
      </c>
      <c r="AW12" s="9">
        <f t="shared" si="2"/>
        <v>8.691821860000001</v>
      </c>
      <c r="AX12" s="10">
        <f t="shared" si="3"/>
        <v>474.62617063959999</v>
      </c>
      <c r="AZ12" s="11">
        <f t="shared" si="4"/>
        <v>-1.4367653337399999</v>
      </c>
      <c r="BA12" s="12">
        <f t="shared" si="5"/>
        <v>452.46064811279996</v>
      </c>
      <c r="BC12" s="14">
        <f t="shared" si="6"/>
        <v>3.607059883699959E-2</v>
      </c>
      <c r="BD12" s="15">
        <f t="shared" si="7"/>
        <v>330.75878968052001</v>
      </c>
      <c r="BF12" s="16">
        <f t="shared" si="8"/>
        <v>3.8526042513740002</v>
      </c>
      <c r="BG12" s="17">
        <f t="shared" si="9"/>
        <v>424.09863585356004</v>
      </c>
      <c r="BI12">
        <v>48</v>
      </c>
      <c r="BJ12" t="s">
        <v>38</v>
      </c>
      <c r="BK12" s="2">
        <v>46245.63690972222</v>
      </c>
      <c r="BL12" t="s">
        <v>39</v>
      </c>
      <c r="BM12" t="s">
        <v>13</v>
      </c>
      <c r="BN12">
        <v>0</v>
      </c>
      <c r="BO12">
        <v>2.7290000000000001</v>
      </c>
      <c r="BP12" s="3">
        <v>4980941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40</v>
      </c>
      <c r="C13" s="2">
        <v>46245.658136574071</v>
      </c>
      <c r="D13" t="s">
        <v>41</v>
      </c>
      <c r="E13" t="s">
        <v>13</v>
      </c>
      <c r="F13">
        <v>0</v>
      </c>
      <c r="G13">
        <v>6.0439999999999996</v>
      </c>
      <c r="H13" s="3">
        <v>917625</v>
      </c>
      <c r="I13">
        <v>1.8660000000000001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40</v>
      </c>
      <c r="Q13" s="2">
        <v>46245.658136574071</v>
      </c>
      <c r="R13" t="s">
        <v>41</v>
      </c>
      <c r="S13" t="s">
        <v>13</v>
      </c>
      <c r="T13">
        <v>0</v>
      </c>
      <c r="U13">
        <v>5.9969999999999999</v>
      </c>
      <c r="V13" s="3">
        <v>8724</v>
      </c>
      <c r="W13">
        <v>2.137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40</v>
      </c>
      <c r="AE13" s="2">
        <v>46245.658136574071</v>
      </c>
      <c r="AF13" t="s">
        <v>41</v>
      </c>
      <c r="AG13" t="s">
        <v>13</v>
      </c>
      <c r="AH13">
        <v>0</v>
      </c>
      <c r="AI13">
        <v>12.324999999999999</v>
      </c>
      <c r="AJ13" s="3">
        <v>8585</v>
      </c>
      <c r="AK13">
        <v>1.5589999999999999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1808.5334338118905</v>
      </c>
      <c r="AU13" s="17">
        <f t="shared" si="1"/>
        <v>1641.62230263275</v>
      </c>
      <c r="AW13" s="9">
        <f t="shared" si="2"/>
        <v>1918.6306370843749</v>
      </c>
      <c r="AX13" s="10">
        <f t="shared" si="3"/>
        <v>2039.4044151774999</v>
      </c>
      <c r="AZ13" s="11">
        <f t="shared" si="4"/>
        <v>2118.2497540281247</v>
      </c>
      <c r="BA13" s="12">
        <f t="shared" si="5"/>
        <v>1789.6176069449998</v>
      </c>
      <c r="BC13" s="14">
        <f t="shared" si="6"/>
        <v>2055.308210268453</v>
      </c>
      <c r="BD13" s="15">
        <f t="shared" si="7"/>
        <v>1817.1879318192503</v>
      </c>
      <c r="BF13" s="16">
        <f t="shared" si="8"/>
        <v>1808.5334338118905</v>
      </c>
      <c r="BG13" s="17">
        <f t="shared" si="9"/>
        <v>1641.62230263275</v>
      </c>
      <c r="BI13">
        <v>49</v>
      </c>
      <c r="BJ13" t="s">
        <v>40</v>
      </c>
      <c r="BK13" s="2">
        <v>46245.658136574071</v>
      </c>
      <c r="BL13" t="s">
        <v>41</v>
      </c>
      <c r="BM13" t="s">
        <v>13</v>
      </c>
      <c r="BN13">
        <v>0</v>
      </c>
      <c r="BO13">
        <v>2.722</v>
      </c>
      <c r="BP13" s="3">
        <v>5097263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42</v>
      </c>
      <c r="C14" s="2">
        <v>46245.679351851853</v>
      </c>
      <c r="D14" t="s">
        <v>43</v>
      </c>
      <c r="E14" t="s">
        <v>13</v>
      </c>
      <c r="F14">
        <v>0</v>
      </c>
      <c r="G14">
        <v>6.056</v>
      </c>
      <c r="H14" s="3">
        <v>1934</v>
      </c>
      <c r="I14">
        <v>4.0000000000000001E-3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42</v>
      </c>
      <c r="Q14" s="2">
        <v>46245.679351851853</v>
      </c>
      <c r="R14" t="s">
        <v>43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42</v>
      </c>
      <c r="AE14" s="2">
        <v>46245.679351851853</v>
      </c>
      <c r="AF14" t="s">
        <v>43</v>
      </c>
      <c r="AG14" t="s">
        <v>13</v>
      </c>
      <c r="AH14">
        <v>0</v>
      </c>
      <c r="AI14">
        <v>12.339</v>
      </c>
      <c r="AJ14" s="3">
        <v>1908</v>
      </c>
      <c r="AK14">
        <v>0.41799999999999998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6.4131783178160005</v>
      </c>
      <c r="AU14" s="17">
        <f t="shared" si="1"/>
        <v>399.19589220656002</v>
      </c>
      <c r="AW14" s="9">
        <f t="shared" si="2"/>
        <v>5.5242822400000007</v>
      </c>
      <c r="AX14" s="10">
        <f t="shared" si="3"/>
        <v>442.17158436959994</v>
      </c>
      <c r="AZ14" s="11">
        <f t="shared" si="4"/>
        <v>1.1468259418399995</v>
      </c>
      <c r="BA14" s="12">
        <f t="shared" si="5"/>
        <v>425.02230025279999</v>
      </c>
      <c r="BC14" s="14">
        <f t="shared" si="6"/>
        <v>3.4969548435079991</v>
      </c>
      <c r="BD14" s="15">
        <f t="shared" si="7"/>
        <v>300.27296243152006</v>
      </c>
      <c r="BF14" s="16">
        <f t="shared" si="8"/>
        <v>6.4131783178160005</v>
      </c>
      <c r="BG14" s="17">
        <f t="shared" si="9"/>
        <v>399.19589220656002</v>
      </c>
      <c r="BI14">
        <v>50</v>
      </c>
      <c r="BJ14" t="s">
        <v>42</v>
      </c>
      <c r="BK14" s="2">
        <v>46245.679351851853</v>
      </c>
      <c r="BL14" t="s">
        <v>43</v>
      </c>
      <c r="BM14" t="s">
        <v>13</v>
      </c>
      <c r="BN14">
        <v>0</v>
      </c>
      <c r="BO14">
        <v>2.7240000000000002</v>
      </c>
      <c r="BP14" s="3">
        <v>5114576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44</v>
      </c>
      <c r="C15" s="2">
        <v>46245.700567129628</v>
      </c>
      <c r="D15">
        <v>372</v>
      </c>
      <c r="E15" t="s">
        <v>13</v>
      </c>
      <c r="F15">
        <v>0</v>
      </c>
      <c r="G15">
        <v>5.9610000000000003</v>
      </c>
      <c r="H15" s="3">
        <v>26839538</v>
      </c>
      <c r="I15">
        <v>58.494999999999997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44</v>
      </c>
      <c r="Q15" s="2">
        <v>46245.700567129628</v>
      </c>
      <c r="R15">
        <v>372</v>
      </c>
      <c r="S15" t="s">
        <v>13</v>
      </c>
      <c r="T15">
        <v>0</v>
      </c>
      <c r="U15">
        <v>5.9210000000000003</v>
      </c>
      <c r="V15" s="3">
        <v>233239</v>
      </c>
      <c r="W15">
        <v>53.015999999999998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44</v>
      </c>
      <c r="AE15" s="2">
        <v>46245.700567129628</v>
      </c>
      <c r="AF15">
        <v>372</v>
      </c>
      <c r="AG15" t="s">
        <v>13</v>
      </c>
      <c r="AH15">
        <v>0</v>
      </c>
      <c r="AI15">
        <v>12.185</v>
      </c>
      <c r="AJ15" s="3">
        <v>105556</v>
      </c>
      <c r="AK15">
        <v>18.117999999999999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53117.079011429938</v>
      </c>
      <c r="AU15" s="17">
        <f t="shared" si="1"/>
        <v>18893.286629630573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57705.794877580003</v>
      </c>
      <c r="AX15" s="10">
        <f t="shared" ref="AX15:AX16" si="11">IF(AJ15&lt;45000,((-0.0000004561*AJ15^2)+(0.244*AJ15)+(-21.72)),((-0.0000000409*AJ15^2)+(0.2477*AJ15)+(-1777)))</f>
        <v>23913.5105723376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62234.613535249002</v>
      </c>
      <c r="BA15" s="12">
        <f t="shared" ref="BA15:BA16" si="13">IF(AJ15&lt;45000,((-0.0000000598*AJ15^2)+(0.205*AJ15)+(34.1)),((-0.00000002403*AJ15^2)+(0.2063*AJ15)+(-550.7)))</f>
        <v>20957.758878661924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56898.598128433056</v>
      </c>
      <c r="BD15" s="15">
        <f t="shared" ref="BD15:BD16" si="15">IF(AJ15&lt;45000,((-0.00000004907*AJ15^2)+(0.2277*AJ15)+(-134)),((-0.00000001062*AJ15^2)+(0.2147*AJ15)+(590.6)))</f>
        <v>23135.144425775681</v>
      </c>
      <c r="BF15" s="16">
        <f t="shared" si="8"/>
        <v>53117.079011429938</v>
      </c>
      <c r="BG15" s="17">
        <f t="shared" si="9"/>
        <v>18893.286629630573</v>
      </c>
      <c r="BI15">
        <v>51</v>
      </c>
      <c r="BJ15" t="s">
        <v>44</v>
      </c>
      <c r="BK15" s="2">
        <v>46245.700567129628</v>
      </c>
      <c r="BL15">
        <v>372</v>
      </c>
      <c r="BM15" t="s">
        <v>13</v>
      </c>
      <c r="BN15">
        <v>0</v>
      </c>
      <c r="BO15">
        <v>2.8959999999999999</v>
      </c>
      <c r="BP15" s="3">
        <v>477707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45</v>
      </c>
      <c r="C16" s="2">
        <v>46245.72179398148</v>
      </c>
      <c r="D16">
        <v>275</v>
      </c>
      <c r="E16" t="s">
        <v>13</v>
      </c>
      <c r="F16">
        <v>0</v>
      </c>
      <c r="G16">
        <v>6.05</v>
      </c>
      <c r="H16" s="3">
        <v>1846</v>
      </c>
      <c r="I16">
        <v>4.0000000000000001E-3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45</v>
      </c>
      <c r="Q16" s="2">
        <v>46245.72179398148</v>
      </c>
      <c r="R16">
        <v>275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45</v>
      </c>
      <c r="AE16" s="2">
        <v>46245.72179398148</v>
      </c>
      <c r="AF16">
        <v>275</v>
      </c>
      <c r="AG16" t="s">
        <v>13</v>
      </c>
      <c r="AH16">
        <v>0</v>
      </c>
      <c r="AI16">
        <v>12.186999999999999</v>
      </c>
      <c r="AJ16" s="3">
        <v>110422</v>
      </c>
      <c r="AK16">
        <v>18.948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6.1851737427760005</v>
      </c>
      <c r="AU16" s="17">
        <f t="shared" si="1"/>
        <v>19690.790240983963</v>
      </c>
      <c r="AW16" s="9">
        <f t="shared" si="10"/>
        <v>5.7639766399999992</v>
      </c>
      <c r="AX16" s="10">
        <f t="shared" si="11"/>
        <v>25075.834960364398</v>
      </c>
      <c r="AZ16" s="11">
        <f t="shared" si="12"/>
        <v>0.91195489223999981</v>
      </c>
      <c r="BA16" s="12">
        <f t="shared" si="13"/>
        <v>21936.36037544148</v>
      </c>
      <c r="BC16" s="14">
        <f t="shared" si="14"/>
        <v>3.1877137319879996</v>
      </c>
      <c r="BD16" s="15">
        <f t="shared" si="15"/>
        <v>24168.713547947918</v>
      </c>
      <c r="BF16" s="16">
        <f t="shared" si="8"/>
        <v>6.1851737427760005</v>
      </c>
      <c r="BG16" s="17">
        <f t="shared" si="9"/>
        <v>19690.790240983963</v>
      </c>
      <c r="BI16">
        <v>52</v>
      </c>
      <c r="BJ16" t="s">
        <v>45</v>
      </c>
      <c r="BK16" s="2">
        <v>46245.72179398148</v>
      </c>
      <c r="BL16">
        <v>275</v>
      </c>
      <c r="BM16" t="s">
        <v>13</v>
      </c>
      <c r="BN16">
        <v>0</v>
      </c>
      <c r="BO16">
        <v>2.8879999999999999</v>
      </c>
      <c r="BP16" s="3">
        <v>651062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46</v>
      </c>
      <c r="C17" s="2">
        <v>46245.743009259262</v>
      </c>
      <c r="D17">
        <v>85</v>
      </c>
      <c r="E17" t="s">
        <v>13</v>
      </c>
      <c r="F17">
        <v>0</v>
      </c>
      <c r="G17">
        <v>6.056</v>
      </c>
      <c r="H17" s="3">
        <v>3640</v>
      </c>
      <c r="I17">
        <v>7.0000000000000001E-3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46</v>
      </c>
      <c r="Q17" s="2">
        <v>46245.743009259262</v>
      </c>
      <c r="R17">
        <v>85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46</v>
      </c>
      <c r="AE17" s="2">
        <v>46245.743009259262</v>
      </c>
      <c r="AF17">
        <v>85</v>
      </c>
      <c r="AG17" t="s">
        <v>13</v>
      </c>
      <c r="AH17">
        <v>0</v>
      </c>
      <c r="AI17">
        <v>12.244999999999999</v>
      </c>
      <c r="AJ17" s="3">
        <v>50966</v>
      </c>
      <c r="AK17">
        <v>8.798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10.821990985599999</v>
      </c>
      <c r="AU17" s="17">
        <f t="shared" si="1"/>
        <v>9953.7743084418325</v>
      </c>
      <c r="AW17" s="9">
        <f t="shared" ref="AW17:AW38" si="16">IF(H17&lt;10000,((H17^2*0.00000054)+(H17*-0.004765)+(12.72)),(IF(H17&lt;200000,((H17^2*-0.000000001577)+(H17*0.003043)+(-10.42)),(IF(H17&lt;8000000,((H17^2*-0.0000000000186)+(H17*0.00194)+(154.1)),((V17^2*-0.00000002)+(V17*0.2565)+(-1032)))))))</f>
        <v>2.5301840000000002</v>
      </c>
      <c r="AX17" s="10">
        <f t="shared" ref="AX17:AX38" si="17">IF(AJ17&lt;45000,((-0.0000004561*AJ17^2)+(0.244*AJ17)+(-21.72)),((-0.0000000409*AJ17^2)+(0.2477*AJ17)+(-1777)))</f>
        <v>10741.0390939196</v>
      </c>
      <c r="AZ17" s="11">
        <f t="shared" ref="AZ17:AZ38" si="18">IF(H17&lt;10000,((H17^2*0.00000005714)+(H17*0.002453)+(-3.811)),(IF(H17&lt;200000,((H17^2*-0.0000000002888)+(H17*0.002899)+(-4.321)),(IF(H17&lt;8000000,((H17^2*-0.0000000000062)+(H17*0.002143)+(157)),((V17^2*-0.000000031)+(V17*0.2771)+(-709.5)))))))</f>
        <v>5.8750021439999998</v>
      </c>
      <c r="BA17" s="12">
        <f t="shared" ref="BA17:BA38" si="19">IF(AJ17&lt;45000,((-0.0000000598*AJ17^2)+(0.205*AJ17)+(34.1)),((-0.00000002403*AJ17^2)+(0.2063*AJ17)+(-550.7)))</f>
        <v>9901.1670782613201</v>
      </c>
      <c r="BC17" s="14">
        <f t="shared" ref="BC17:BC38" si="20">IF(H17&lt;10000,((H17^2*0.000000008493)+(H17*0.003482)+(-3.269)),(IF(H17&lt;200000,((H17^2*-0.000000000263)+(H17*0.002682)+(3.179)),(IF(H17&lt;8000000,((H17^2*-0.000000000005099)+(H17*0.002054)+(174.8)),((V17^2*-0.00000001014)+(V17*0.2415)+(1123)))))))</f>
        <v>9.5180088527999995</v>
      </c>
      <c r="BD17" s="15">
        <f t="shared" ref="BD17:BD38" si="21">IF(AJ17&lt;45000,((-0.00000004907*AJ17^2)+(0.2277*AJ17)+(-134)),((-0.00000001062*AJ17^2)+(0.2147*AJ17)+(590.6)))</f>
        <v>11505.41439788328</v>
      </c>
      <c r="BF17" s="16">
        <f t="shared" si="8"/>
        <v>10.821990985599999</v>
      </c>
      <c r="BG17" s="17">
        <f t="shared" si="9"/>
        <v>9953.7743084418325</v>
      </c>
      <c r="BI17">
        <v>53</v>
      </c>
      <c r="BJ17" t="s">
        <v>46</v>
      </c>
      <c r="BK17" s="2">
        <v>46245.743009259262</v>
      </c>
      <c r="BL17">
        <v>85</v>
      </c>
      <c r="BM17" t="s">
        <v>13</v>
      </c>
      <c r="BN17">
        <v>0</v>
      </c>
      <c r="BO17">
        <v>2.887</v>
      </c>
      <c r="BP17" s="3">
        <v>665207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47</v>
      </c>
      <c r="C18" s="2">
        <v>46245.764236111114</v>
      </c>
      <c r="D18">
        <v>405</v>
      </c>
      <c r="E18" t="s">
        <v>13</v>
      </c>
      <c r="F18">
        <v>0</v>
      </c>
      <c r="G18">
        <v>6.0830000000000002</v>
      </c>
      <c r="H18" s="3">
        <v>754</v>
      </c>
      <c r="I18">
        <v>2E-3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47</v>
      </c>
      <c r="Q18" s="2">
        <v>46245.764236111114</v>
      </c>
      <c r="R18">
        <v>405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47</v>
      </c>
      <c r="AE18" s="2">
        <v>46245.764236111114</v>
      </c>
      <c r="AF18">
        <v>405</v>
      </c>
      <c r="AG18" t="s">
        <v>13</v>
      </c>
      <c r="AH18">
        <v>0</v>
      </c>
      <c r="AI18">
        <v>12.154999999999999</v>
      </c>
      <c r="AJ18" s="3">
        <v>144994</v>
      </c>
      <c r="AK18">
        <v>24.846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3.3510585315760002</v>
      </c>
      <c r="AU18" s="17">
        <f t="shared" si="1"/>
        <v>25360.013600336184</v>
      </c>
      <c r="AW18" s="9">
        <f t="shared" si="16"/>
        <v>9.4341886400000003</v>
      </c>
      <c r="AX18" s="10">
        <f t="shared" si="17"/>
        <v>33278.162464527602</v>
      </c>
      <c r="AZ18" s="11">
        <f t="shared" si="18"/>
        <v>-1.92895299576</v>
      </c>
      <c r="BA18" s="12">
        <f t="shared" si="19"/>
        <v>28856.37326133492</v>
      </c>
      <c r="BC18" s="14">
        <f t="shared" si="20"/>
        <v>-0.63874359361200028</v>
      </c>
      <c r="BD18" s="15">
        <f t="shared" si="21"/>
        <v>31497.544778417679</v>
      </c>
      <c r="BF18" s="16">
        <f t="shared" si="8"/>
        <v>3.3510585315760002</v>
      </c>
      <c r="BG18" s="17">
        <f t="shared" si="9"/>
        <v>25360.013600336184</v>
      </c>
      <c r="BI18">
        <v>54</v>
      </c>
      <c r="BJ18" t="s">
        <v>47</v>
      </c>
      <c r="BK18" s="2">
        <v>46245.764236111114</v>
      </c>
      <c r="BL18">
        <v>405</v>
      </c>
      <c r="BM18" t="s">
        <v>13</v>
      </c>
      <c r="BN18">
        <v>0</v>
      </c>
      <c r="BO18">
        <v>2.8839999999999999</v>
      </c>
      <c r="BP18" s="3">
        <v>737515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48</v>
      </c>
      <c r="C19" s="2">
        <v>46245.785451388889</v>
      </c>
      <c r="D19">
        <v>198</v>
      </c>
      <c r="E19" t="s">
        <v>13</v>
      </c>
      <c r="F19">
        <v>0</v>
      </c>
      <c r="G19">
        <v>6.0640000000000001</v>
      </c>
      <c r="H19" s="3">
        <v>649</v>
      </c>
      <c r="I19">
        <v>1E-3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48</v>
      </c>
      <c r="Q19" s="2">
        <v>46245.785451388889</v>
      </c>
      <c r="R19">
        <v>198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48</v>
      </c>
      <c r="AE19" s="2">
        <v>46245.785451388889</v>
      </c>
      <c r="AF19">
        <v>198</v>
      </c>
      <c r="AG19" t="s">
        <v>13</v>
      </c>
      <c r="AH19">
        <v>0</v>
      </c>
      <c r="AI19">
        <v>12.143000000000001</v>
      </c>
      <c r="AJ19" s="3">
        <v>155932</v>
      </c>
      <c r="AK19">
        <v>26.712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3.078080659486</v>
      </c>
      <c r="AU19" s="17">
        <f t="shared" si="1"/>
        <v>27154.797030949729</v>
      </c>
      <c r="AW19" s="9">
        <f t="shared" si="16"/>
        <v>9.85496354</v>
      </c>
      <c r="AX19" s="10">
        <f t="shared" si="17"/>
        <v>35852.881545278397</v>
      </c>
      <c r="AZ19" s="11">
        <f t="shared" si="18"/>
        <v>-2.1949355748600001</v>
      </c>
      <c r="BA19" s="12">
        <f t="shared" si="19"/>
        <v>31033.78722936528</v>
      </c>
      <c r="BC19" s="14">
        <f t="shared" si="20"/>
        <v>-1.0056047399070001</v>
      </c>
      <c r="BD19" s="15">
        <f t="shared" si="21"/>
        <v>33810.977344813124</v>
      </c>
      <c r="BF19" s="16">
        <f t="shared" si="8"/>
        <v>3.078080659486</v>
      </c>
      <c r="BG19" s="17">
        <f t="shared" si="9"/>
        <v>27154.797030949729</v>
      </c>
      <c r="BI19">
        <v>55</v>
      </c>
      <c r="BJ19" t="s">
        <v>48</v>
      </c>
      <c r="BK19" s="2">
        <v>46245.785451388889</v>
      </c>
      <c r="BL19">
        <v>198</v>
      </c>
      <c r="BM19" t="s">
        <v>13</v>
      </c>
      <c r="BN19">
        <v>0</v>
      </c>
      <c r="BO19">
        <v>2.8849999999999998</v>
      </c>
      <c r="BP19" s="3">
        <v>709947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49</v>
      </c>
      <c r="C20" s="2">
        <v>46245.80667824074</v>
      </c>
      <c r="D20">
        <v>258</v>
      </c>
      <c r="E20" t="s">
        <v>13</v>
      </c>
      <c r="F20">
        <v>0</v>
      </c>
      <c r="G20">
        <v>6.0590000000000002</v>
      </c>
      <c r="H20" s="3">
        <v>21714</v>
      </c>
      <c r="I20">
        <v>4.3999999999999997E-2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49</v>
      </c>
      <c r="Q20" s="2">
        <v>46245.80667824074</v>
      </c>
      <c r="R20">
        <v>258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49</v>
      </c>
      <c r="AE20" s="2">
        <v>46245.80667824074</v>
      </c>
      <c r="AF20">
        <v>258</v>
      </c>
      <c r="AG20" t="s">
        <v>13</v>
      </c>
      <c r="AH20">
        <v>0</v>
      </c>
      <c r="AI20">
        <v>12.313000000000001</v>
      </c>
      <c r="AJ20" s="3">
        <v>6080</v>
      </c>
      <c r="AK20">
        <v>1.131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50.317048229585602</v>
      </c>
      <c r="AU20" s="17">
        <f t="shared" si="1"/>
        <v>1175.1290274560001</v>
      </c>
      <c r="AW20" s="9">
        <f t="shared" si="16"/>
        <v>54.912149975708004</v>
      </c>
      <c r="AX20" s="10">
        <f t="shared" si="17"/>
        <v>1444.9396249599999</v>
      </c>
      <c r="AZ20" s="11">
        <f t="shared" si="18"/>
        <v>58.491717436515202</v>
      </c>
      <c r="BA20" s="12">
        <f t="shared" si="19"/>
        <v>1278.2894092799997</v>
      </c>
      <c r="BC20" s="14">
        <f t="shared" si="20"/>
        <v>61.291944079651998</v>
      </c>
      <c r="BD20" s="15">
        <f t="shared" si="21"/>
        <v>1248.6020587520002</v>
      </c>
      <c r="BF20" s="16">
        <f t="shared" si="8"/>
        <v>50.317048229585602</v>
      </c>
      <c r="BG20" s="17">
        <f t="shared" si="9"/>
        <v>1175.1290274560001</v>
      </c>
      <c r="BI20">
        <v>56</v>
      </c>
      <c r="BJ20" t="s">
        <v>49</v>
      </c>
      <c r="BK20" s="2">
        <v>46245.80667824074</v>
      </c>
      <c r="BL20">
        <v>258</v>
      </c>
      <c r="BM20" t="s">
        <v>13</v>
      </c>
      <c r="BN20">
        <v>0</v>
      </c>
      <c r="BO20">
        <v>2.89</v>
      </c>
      <c r="BP20" s="3">
        <v>780201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50</v>
      </c>
      <c r="C21" s="2">
        <v>46245.827916666669</v>
      </c>
      <c r="D21">
        <v>370</v>
      </c>
      <c r="E21" t="s">
        <v>13</v>
      </c>
      <c r="F21">
        <v>0</v>
      </c>
      <c r="G21">
        <v>6.0579999999999998</v>
      </c>
      <c r="H21" s="3">
        <v>1135</v>
      </c>
      <c r="I21">
        <v>2E-3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50</v>
      </c>
      <c r="Q21" s="2">
        <v>46245.827916666669</v>
      </c>
      <c r="R21">
        <v>370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50</v>
      </c>
      <c r="AE21" s="2">
        <v>46245.827916666669</v>
      </c>
      <c r="AF21">
        <v>370</v>
      </c>
      <c r="AG21" t="s">
        <v>13</v>
      </c>
      <c r="AH21">
        <v>0</v>
      </c>
      <c r="AI21">
        <v>12.173</v>
      </c>
      <c r="AJ21" s="3">
        <v>123358</v>
      </c>
      <c r="AK21">
        <v>21.155000000000001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4.3408905323500004</v>
      </c>
      <c r="AU21" s="17">
        <f t="shared" si="1"/>
        <v>21811.436537122794</v>
      </c>
      <c r="AW21" s="9">
        <f t="shared" si="16"/>
        <v>8.0073664999999998</v>
      </c>
      <c r="AX21" s="10">
        <f t="shared" si="17"/>
        <v>28156.393276892402</v>
      </c>
      <c r="AZ21" s="11">
        <f t="shared" si="18"/>
        <v>-0.95323582350000002</v>
      </c>
      <c r="BA21" s="12">
        <f t="shared" si="19"/>
        <v>24532.386176179079</v>
      </c>
      <c r="BC21" s="14">
        <f t="shared" si="20"/>
        <v>0.6940108949249999</v>
      </c>
      <c r="BD21" s="15">
        <f t="shared" si="21"/>
        <v>26913.955976738318</v>
      </c>
      <c r="BF21" s="16">
        <f t="shared" si="8"/>
        <v>4.3408905323500004</v>
      </c>
      <c r="BG21" s="17">
        <f t="shared" si="9"/>
        <v>21811.436537122794</v>
      </c>
      <c r="BI21">
        <v>57</v>
      </c>
      <c r="BJ21" t="s">
        <v>50</v>
      </c>
      <c r="BK21" s="2">
        <v>46245.827916666669</v>
      </c>
      <c r="BL21">
        <v>370</v>
      </c>
      <c r="BM21" t="s">
        <v>13</v>
      </c>
      <c r="BN21">
        <v>0</v>
      </c>
      <c r="BO21">
        <v>2.8820000000000001</v>
      </c>
      <c r="BP21" s="3">
        <v>737114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51</v>
      </c>
      <c r="C22" s="2">
        <v>46245.84915509259</v>
      </c>
      <c r="D22">
        <v>316</v>
      </c>
      <c r="E22" t="s">
        <v>13</v>
      </c>
      <c r="F22">
        <v>0</v>
      </c>
      <c r="G22">
        <v>6.0490000000000004</v>
      </c>
      <c r="H22" s="3">
        <v>18687</v>
      </c>
      <c r="I22">
        <v>3.7999999999999999E-2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51</v>
      </c>
      <c r="Q22" s="2">
        <v>46245.84915509259</v>
      </c>
      <c r="R22">
        <v>316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51</v>
      </c>
      <c r="AE22" s="2">
        <v>46245.84915509259</v>
      </c>
      <c r="AF22">
        <v>316</v>
      </c>
      <c r="AG22" t="s">
        <v>13</v>
      </c>
      <c r="AH22">
        <v>0</v>
      </c>
      <c r="AI22">
        <v>12.305999999999999</v>
      </c>
      <c r="AJ22" s="3">
        <v>4348</v>
      </c>
      <c r="AK22">
        <v>0.83499999999999996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58</v>
      </c>
      <c r="AT22" s="16">
        <f t="shared" si="0"/>
        <v>43.764219626068396</v>
      </c>
      <c r="AU22" s="17">
        <f t="shared" si="1"/>
        <v>852.85021367215995</v>
      </c>
      <c r="AW22" s="9">
        <f t="shared" si="16"/>
        <v>45.893846340887002</v>
      </c>
      <c r="AX22" s="10">
        <f t="shared" si="17"/>
        <v>1030.5693820655999</v>
      </c>
      <c r="AZ22" s="11">
        <f t="shared" si="18"/>
        <v>49.751762893752804</v>
      </c>
      <c r="BA22" s="12">
        <f t="shared" si="19"/>
        <v>924.30947478079997</v>
      </c>
      <c r="BC22" s="14">
        <f t="shared" si="20"/>
        <v>53.205693356152999</v>
      </c>
      <c r="BD22" s="15">
        <f t="shared" si="21"/>
        <v>855.11192654672004</v>
      </c>
      <c r="BF22" s="16">
        <f t="shared" si="8"/>
        <v>43.764219626068396</v>
      </c>
      <c r="BG22" s="17">
        <f t="shared" si="9"/>
        <v>852.85021367215995</v>
      </c>
      <c r="BI22">
        <v>58</v>
      </c>
      <c r="BJ22" t="s">
        <v>51</v>
      </c>
      <c r="BK22" s="2">
        <v>46245.84915509259</v>
      </c>
      <c r="BL22">
        <v>316</v>
      </c>
      <c r="BM22" t="s">
        <v>13</v>
      </c>
      <c r="BN22">
        <v>0</v>
      </c>
      <c r="BO22">
        <v>2.8849999999999998</v>
      </c>
      <c r="BP22" s="3">
        <v>716867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52</v>
      </c>
      <c r="C23" s="2">
        <v>46245.870393518519</v>
      </c>
      <c r="D23">
        <v>350</v>
      </c>
      <c r="E23" t="s">
        <v>13</v>
      </c>
      <c r="F23">
        <v>0</v>
      </c>
      <c r="G23">
        <v>6.05</v>
      </c>
      <c r="H23" s="3">
        <v>18762</v>
      </c>
      <c r="I23">
        <v>3.7999999999999999E-2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52</v>
      </c>
      <c r="Q23" s="2">
        <v>46245.870393518519</v>
      </c>
      <c r="R23">
        <v>350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52</v>
      </c>
      <c r="AE23" s="2">
        <v>46245.870393518519</v>
      </c>
      <c r="AF23">
        <v>350</v>
      </c>
      <c r="AG23" t="s">
        <v>13</v>
      </c>
      <c r="AH23">
        <v>0</v>
      </c>
      <c r="AI23">
        <v>12.308</v>
      </c>
      <c r="AJ23" s="3">
        <v>4558</v>
      </c>
      <c r="AK23">
        <v>0.871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59</v>
      </c>
      <c r="AT23" s="16">
        <f t="shared" si="0"/>
        <v>43.926662440798403</v>
      </c>
      <c r="AU23" s="17">
        <f t="shared" si="1"/>
        <v>891.91415027756</v>
      </c>
      <c r="AW23" s="9">
        <f t="shared" si="16"/>
        <v>46.117642060412003</v>
      </c>
      <c r="AX23" s="10">
        <f t="shared" si="17"/>
        <v>1080.9563564796001</v>
      </c>
      <c r="AZ23" s="11">
        <f t="shared" si="18"/>
        <v>49.968376748412801</v>
      </c>
      <c r="BA23" s="12">
        <f t="shared" si="19"/>
        <v>967.24763323280001</v>
      </c>
      <c r="BC23" s="14">
        <f t="shared" si="20"/>
        <v>53.406104674627997</v>
      </c>
      <c r="BD23" s="15">
        <f t="shared" si="21"/>
        <v>902.83715288852</v>
      </c>
      <c r="BF23" s="16">
        <f t="shared" si="8"/>
        <v>43.926662440798403</v>
      </c>
      <c r="BG23" s="17">
        <f t="shared" si="9"/>
        <v>891.91415027756</v>
      </c>
      <c r="BI23">
        <v>59</v>
      </c>
      <c r="BJ23" t="s">
        <v>52</v>
      </c>
      <c r="BK23" s="2">
        <v>46245.870393518519</v>
      </c>
      <c r="BL23">
        <v>350</v>
      </c>
      <c r="BM23" t="s">
        <v>13</v>
      </c>
      <c r="BN23">
        <v>0</v>
      </c>
      <c r="BO23">
        <v>2.8860000000000001</v>
      </c>
      <c r="BP23" s="3">
        <v>706221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53</v>
      </c>
      <c r="C24" s="2">
        <v>46245.891643518517</v>
      </c>
      <c r="D24">
        <v>46</v>
      </c>
      <c r="E24" t="s">
        <v>13</v>
      </c>
      <c r="F24">
        <v>0</v>
      </c>
      <c r="G24">
        <v>6.056</v>
      </c>
      <c r="H24" s="3">
        <v>1324</v>
      </c>
      <c r="I24">
        <v>3.0000000000000001E-3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53</v>
      </c>
      <c r="Q24" s="2">
        <v>46245.891643518517</v>
      </c>
      <c r="R24">
        <v>46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53</v>
      </c>
      <c r="AE24" s="2">
        <v>46245.891643518517</v>
      </c>
      <c r="AF24">
        <v>46</v>
      </c>
      <c r="AG24" t="s">
        <v>13</v>
      </c>
      <c r="AH24">
        <v>0</v>
      </c>
      <c r="AI24">
        <v>12.164999999999999</v>
      </c>
      <c r="AJ24" s="3">
        <v>122806</v>
      </c>
      <c r="AK24">
        <v>21.061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8">
        <v>60</v>
      </c>
      <c r="AT24" s="16">
        <f t="shared" si="0"/>
        <v>4.8315094471359998</v>
      </c>
      <c r="AU24" s="17">
        <f t="shared" si="1"/>
        <v>21720.929530899622</v>
      </c>
      <c r="AW24" s="9">
        <f t="shared" si="16"/>
        <v>7.3577470400000005</v>
      </c>
      <c r="AX24" s="10">
        <f t="shared" si="17"/>
        <v>28025.220472287601</v>
      </c>
      <c r="AZ24" s="11">
        <f t="shared" si="18"/>
        <v>-0.46306295135999997</v>
      </c>
      <c r="BA24" s="12">
        <f t="shared" si="19"/>
        <v>24421.773833326923</v>
      </c>
      <c r="BC24" s="14">
        <f t="shared" si="20"/>
        <v>1.3560560251679998</v>
      </c>
      <c r="BD24" s="15">
        <f t="shared" si="21"/>
        <v>26796.884649185678</v>
      </c>
      <c r="BF24" s="16">
        <f t="shared" si="8"/>
        <v>4.8315094471359998</v>
      </c>
      <c r="BG24" s="17">
        <f t="shared" si="9"/>
        <v>21720.929530899622</v>
      </c>
      <c r="BI24">
        <v>60</v>
      </c>
      <c r="BJ24" t="s">
        <v>53</v>
      </c>
      <c r="BK24" s="2">
        <v>46245.891643518517</v>
      </c>
      <c r="BL24">
        <v>46</v>
      </c>
      <c r="BM24" t="s">
        <v>13</v>
      </c>
      <c r="BN24">
        <v>0</v>
      </c>
      <c r="BO24">
        <v>2.875</v>
      </c>
      <c r="BP24" s="3">
        <v>855767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54</v>
      </c>
      <c r="C25" s="2">
        <v>46245.912858796299</v>
      </c>
      <c r="D25">
        <v>285</v>
      </c>
      <c r="E25" t="s">
        <v>13</v>
      </c>
      <c r="F25">
        <v>0</v>
      </c>
      <c r="G25">
        <v>6.048</v>
      </c>
      <c r="H25" s="3">
        <v>19746</v>
      </c>
      <c r="I25">
        <v>0.04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54</v>
      </c>
      <c r="Q25" s="2">
        <v>46245.912858796299</v>
      </c>
      <c r="R25">
        <v>285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54</v>
      </c>
      <c r="AE25" s="2">
        <v>46245.912858796299</v>
      </c>
      <c r="AF25">
        <v>285</v>
      </c>
      <c r="AG25" t="s">
        <v>13</v>
      </c>
      <c r="AH25">
        <v>0</v>
      </c>
      <c r="AI25">
        <v>12.298999999999999</v>
      </c>
      <c r="AJ25" s="3">
        <v>4576</v>
      </c>
      <c r="AK25">
        <v>0.874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8">
        <v>61</v>
      </c>
      <c r="AT25" s="16">
        <f t="shared" si="0"/>
        <v>46.057519940177606</v>
      </c>
      <c r="AU25" s="17">
        <f t="shared" si="1"/>
        <v>895.26263458304004</v>
      </c>
      <c r="AW25" s="9">
        <f t="shared" si="16"/>
        <v>49.052198578268005</v>
      </c>
      <c r="AX25" s="10">
        <f t="shared" si="17"/>
        <v>1085.2733681663999</v>
      </c>
      <c r="AZ25" s="11">
        <f t="shared" si="18"/>
        <v>52.810049575779203</v>
      </c>
      <c r="BA25" s="12">
        <f t="shared" si="19"/>
        <v>970.92780139519994</v>
      </c>
      <c r="BC25" s="14">
        <f t="shared" si="20"/>
        <v>56.035227112291999</v>
      </c>
      <c r="BD25" s="15">
        <f t="shared" si="21"/>
        <v>906.92768519168021</v>
      </c>
      <c r="BF25" s="16">
        <f t="shared" si="8"/>
        <v>46.057519940177606</v>
      </c>
      <c r="BG25" s="17">
        <f t="shared" si="9"/>
        <v>895.26263458304004</v>
      </c>
      <c r="BI25">
        <v>61</v>
      </c>
      <c r="BJ25" t="s">
        <v>54</v>
      </c>
      <c r="BK25" s="2">
        <v>46245.912858796299</v>
      </c>
      <c r="BL25">
        <v>285</v>
      </c>
      <c r="BM25" t="s">
        <v>13</v>
      </c>
      <c r="BN25">
        <v>0</v>
      </c>
      <c r="BO25">
        <v>2.8809999999999998</v>
      </c>
      <c r="BP25" s="3">
        <v>776412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55</v>
      </c>
      <c r="C26" s="2">
        <v>46245.93409722222</v>
      </c>
      <c r="D26">
        <v>266</v>
      </c>
      <c r="E26" t="s">
        <v>13</v>
      </c>
      <c r="F26">
        <v>0</v>
      </c>
      <c r="G26">
        <v>6.0780000000000003</v>
      </c>
      <c r="H26" s="3">
        <v>873</v>
      </c>
      <c r="I26">
        <v>2E-3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55</v>
      </c>
      <c r="Q26" s="2">
        <v>46245.93409722222</v>
      </c>
      <c r="R26">
        <v>266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55</v>
      </c>
      <c r="AE26" s="2">
        <v>46245.93409722222</v>
      </c>
      <c r="AF26">
        <v>266</v>
      </c>
      <c r="AG26" t="s">
        <v>13</v>
      </c>
      <c r="AH26">
        <v>0</v>
      </c>
      <c r="AI26">
        <v>12.167999999999999</v>
      </c>
      <c r="AJ26" s="3">
        <v>124951</v>
      </c>
      <c r="AK26">
        <v>21.427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8">
        <v>62</v>
      </c>
      <c r="AT26" s="16">
        <f t="shared" si="0"/>
        <v>3.6603344528940003</v>
      </c>
      <c r="AU26" s="17">
        <f t="shared" si="1"/>
        <v>22072.635752456241</v>
      </c>
      <c r="AW26" s="9">
        <f t="shared" si="16"/>
        <v>8.9717046600000003</v>
      </c>
      <c r="AX26" s="10">
        <f t="shared" si="17"/>
        <v>28534.801126799102</v>
      </c>
      <c r="AZ26" s="11">
        <f t="shared" si="18"/>
        <v>-1.62598294894</v>
      </c>
      <c r="BA26" s="12">
        <f t="shared" si="19"/>
        <v>24851.516859803971</v>
      </c>
      <c r="BC26" s="14">
        <f t="shared" si="20"/>
        <v>-0.22274123840300009</v>
      </c>
      <c r="BD26" s="15">
        <f t="shared" si="21"/>
        <v>27251.77226950138</v>
      </c>
      <c r="BF26" s="16">
        <f t="shared" si="8"/>
        <v>3.6603344528940003</v>
      </c>
      <c r="BG26" s="17">
        <f t="shared" si="9"/>
        <v>22072.635752456241</v>
      </c>
      <c r="BI26">
        <v>62</v>
      </c>
      <c r="BJ26" t="s">
        <v>55</v>
      </c>
      <c r="BK26" s="2">
        <v>46245.93409722222</v>
      </c>
      <c r="BL26">
        <v>266</v>
      </c>
      <c r="BM26" t="s">
        <v>13</v>
      </c>
      <c r="BN26">
        <v>0</v>
      </c>
      <c r="BO26">
        <v>2.88</v>
      </c>
      <c r="BP26" s="3">
        <v>784855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56</v>
      </c>
      <c r="C27" s="2">
        <v>46245.955324074072</v>
      </c>
      <c r="D27">
        <v>273</v>
      </c>
      <c r="E27" t="s">
        <v>13</v>
      </c>
      <c r="F27">
        <v>0</v>
      </c>
      <c r="G27">
        <v>6.07</v>
      </c>
      <c r="H27" s="3">
        <v>1273</v>
      </c>
      <c r="I27">
        <v>3.0000000000000001E-3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56</v>
      </c>
      <c r="Q27" s="2">
        <v>46245.955324074072</v>
      </c>
      <c r="R27">
        <v>273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56</v>
      </c>
      <c r="AE27" s="2">
        <v>46245.955324074072</v>
      </c>
      <c r="AF27">
        <v>273</v>
      </c>
      <c r="AG27" t="s">
        <v>13</v>
      </c>
      <c r="AH27">
        <v>0</v>
      </c>
      <c r="AI27">
        <v>12.191000000000001</v>
      </c>
      <c r="AJ27" s="3">
        <v>106138</v>
      </c>
      <c r="AK27">
        <v>18.216999999999999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8">
        <v>63</v>
      </c>
      <c r="AT27" s="16">
        <f t="shared" si="0"/>
        <v>4.6991463552940003</v>
      </c>
      <c r="AU27" s="17">
        <f t="shared" si="1"/>
        <v>18988.666696397948</v>
      </c>
      <c r="AW27" s="9">
        <f t="shared" si="16"/>
        <v>7.5292406600000001</v>
      </c>
      <c r="AX27" s="10">
        <f t="shared" si="17"/>
        <v>24052.6328507004</v>
      </c>
      <c r="AZ27" s="11">
        <f t="shared" si="18"/>
        <v>-0.59573397294000019</v>
      </c>
      <c r="BA27" s="12">
        <f t="shared" si="19"/>
        <v>21074.86484069268</v>
      </c>
      <c r="BC27" s="14">
        <f t="shared" si="20"/>
        <v>1.1773491527969995</v>
      </c>
      <c r="BD27" s="15">
        <f t="shared" si="21"/>
        <v>23258.791379032718</v>
      </c>
      <c r="BF27" s="16">
        <f t="shared" si="8"/>
        <v>4.6991463552940003</v>
      </c>
      <c r="BG27" s="17">
        <f t="shared" si="9"/>
        <v>18988.666696397948</v>
      </c>
      <c r="BI27">
        <v>63</v>
      </c>
      <c r="BJ27" t="s">
        <v>56</v>
      </c>
      <c r="BK27" s="2">
        <v>46245.955324074072</v>
      </c>
      <c r="BL27">
        <v>273</v>
      </c>
      <c r="BM27" t="s">
        <v>13</v>
      </c>
      <c r="BN27">
        <v>0</v>
      </c>
      <c r="BO27">
        <v>2.8820000000000001</v>
      </c>
      <c r="BP27" s="3">
        <v>743538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57</v>
      </c>
      <c r="C28" s="2">
        <v>46245.976539351854</v>
      </c>
      <c r="D28">
        <v>303</v>
      </c>
      <c r="E28" t="s">
        <v>13</v>
      </c>
      <c r="F28">
        <v>0</v>
      </c>
      <c r="G28">
        <v>6.048</v>
      </c>
      <c r="H28" s="3">
        <v>21710</v>
      </c>
      <c r="I28">
        <v>4.3999999999999997E-2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57</v>
      </c>
      <c r="Q28" s="2">
        <v>46245.976539351854</v>
      </c>
      <c r="R28">
        <v>303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57</v>
      </c>
      <c r="AE28" s="2">
        <v>46245.976539351854</v>
      </c>
      <c r="AF28">
        <v>303</v>
      </c>
      <c r="AG28" t="s">
        <v>13</v>
      </c>
      <c r="AH28">
        <v>0</v>
      </c>
      <c r="AI28">
        <v>12.298</v>
      </c>
      <c r="AJ28" s="3">
        <v>4883</v>
      </c>
      <c r="AK28">
        <v>0.92700000000000005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8">
        <v>64</v>
      </c>
      <c r="AT28" s="16">
        <f t="shared" si="0"/>
        <v>50.308393608760007</v>
      </c>
      <c r="AU28" s="17">
        <f t="shared" si="1"/>
        <v>952.37646562931002</v>
      </c>
      <c r="AW28" s="9">
        <f t="shared" si="16"/>
        <v>54.900251894299998</v>
      </c>
      <c r="AX28" s="10">
        <f t="shared" si="17"/>
        <v>1158.8568934471</v>
      </c>
      <c r="AZ28" s="11">
        <f t="shared" si="18"/>
        <v>58.480171599920006</v>
      </c>
      <c r="BA28" s="12">
        <f t="shared" si="19"/>
        <v>1033.6891473977998</v>
      </c>
      <c r="BC28" s="14">
        <f t="shared" si="20"/>
        <v>61.281261761700002</v>
      </c>
      <c r="BD28" s="15">
        <f t="shared" si="21"/>
        <v>976.68909018077011</v>
      </c>
      <c r="BF28" s="16">
        <f t="shared" si="8"/>
        <v>50.308393608760007</v>
      </c>
      <c r="BG28" s="17">
        <f t="shared" si="9"/>
        <v>952.37646562931002</v>
      </c>
      <c r="BI28">
        <v>64</v>
      </c>
      <c r="BJ28" t="s">
        <v>57</v>
      </c>
      <c r="BK28" s="2">
        <v>46245.976539351854</v>
      </c>
      <c r="BL28">
        <v>303</v>
      </c>
      <c r="BM28" t="s">
        <v>13</v>
      </c>
      <c r="BN28">
        <v>0</v>
      </c>
      <c r="BO28">
        <v>2.875</v>
      </c>
      <c r="BP28" s="3">
        <v>896160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58</v>
      </c>
      <c r="C29" s="2">
        <v>46245.997777777775</v>
      </c>
      <c r="D29">
        <v>274</v>
      </c>
      <c r="E29" t="s">
        <v>13</v>
      </c>
      <c r="F29">
        <v>0</v>
      </c>
      <c r="G29">
        <v>5.9219999999999997</v>
      </c>
      <c r="H29" s="3">
        <v>35758523</v>
      </c>
      <c r="I29">
        <v>80.137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58</v>
      </c>
      <c r="Q29" s="2">
        <v>46245.997777777775</v>
      </c>
      <c r="R29">
        <v>274</v>
      </c>
      <c r="S29" t="s">
        <v>13</v>
      </c>
      <c r="T29">
        <v>0</v>
      </c>
      <c r="U29">
        <v>5.8890000000000002</v>
      </c>
      <c r="V29" s="3">
        <v>339071</v>
      </c>
      <c r="W29">
        <v>76.930999999999997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58</v>
      </c>
      <c r="AE29" s="2">
        <v>46245.997777777775</v>
      </c>
      <c r="AF29">
        <v>274</v>
      </c>
      <c r="AG29" t="s">
        <v>13</v>
      </c>
      <c r="AH29">
        <v>0</v>
      </c>
      <c r="AI29">
        <v>12.163</v>
      </c>
      <c r="AJ29" s="3">
        <v>78217</v>
      </c>
      <c r="AK29" s="13">
        <v>13.451000000000001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8">
        <v>65</v>
      </c>
      <c r="AT29" s="16">
        <f t="shared" si="0"/>
        <v>76270.5187507597</v>
      </c>
      <c r="AU29" s="17">
        <f t="shared" si="1"/>
        <v>14414.624351830276</v>
      </c>
      <c r="AW29" s="9">
        <f t="shared" si="16"/>
        <v>83640.328639180007</v>
      </c>
      <c r="AX29" s="10">
        <f t="shared" si="17"/>
        <v>17347.128827259901</v>
      </c>
      <c r="AZ29" s="11">
        <f t="shared" si="18"/>
        <v>89683.030665728991</v>
      </c>
      <c r="BA29" s="12">
        <f t="shared" si="19"/>
        <v>15438.45398489133</v>
      </c>
      <c r="BC29" s="14">
        <f t="shared" si="20"/>
        <v>81842.859389564255</v>
      </c>
      <c r="BD29" s="15">
        <f t="shared" si="21"/>
        <v>17318.81781167482</v>
      </c>
      <c r="BF29" s="16">
        <f t="shared" si="8"/>
        <v>76270.5187507597</v>
      </c>
      <c r="BG29" s="17">
        <f t="shared" si="9"/>
        <v>14414.624351830276</v>
      </c>
      <c r="BI29">
        <v>65</v>
      </c>
      <c r="BJ29" t="s">
        <v>58</v>
      </c>
      <c r="BK29" s="2">
        <v>46245.997777777775</v>
      </c>
      <c r="BL29">
        <v>274</v>
      </c>
      <c r="BM29" t="s">
        <v>13</v>
      </c>
      <c r="BN29">
        <v>0</v>
      </c>
      <c r="BO29">
        <v>2.8929999999999998</v>
      </c>
      <c r="BP29" s="3">
        <v>524076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59</v>
      </c>
      <c r="C30" s="2">
        <v>46246.019016203703</v>
      </c>
      <c r="D30">
        <v>347</v>
      </c>
      <c r="E30" t="s">
        <v>13</v>
      </c>
      <c r="F30">
        <v>0</v>
      </c>
      <c r="G30">
        <v>6.05</v>
      </c>
      <c r="H30" s="3">
        <v>7328</v>
      </c>
      <c r="I30">
        <v>1.4999999999999999E-2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59</v>
      </c>
      <c r="Q30" s="2">
        <v>46246.019016203703</v>
      </c>
      <c r="R30">
        <v>347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59</v>
      </c>
      <c r="AE30" s="2">
        <v>46246.019016203703</v>
      </c>
      <c r="AF30">
        <v>347</v>
      </c>
      <c r="AG30" t="s">
        <v>13</v>
      </c>
      <c r="AH30">
        <v>0</v>
      </c>
      <c r="AI30">
        <v>12.218</v>
      </c>
      <c r="AJ30" s="3">
        <v>55560</v>
      </c>
      <c r="AK30">
        <v>9.5830000000000002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8">
        <v>66</v>
      </c>
      <c r="AT30" s="16">
        <f t="shared" si="0"/>
        <v>20.278999745023999</v>
      </c>
      <c r="AU30" s="17">
        <f t="shared" si="1"/>
        <v>10705.551115057438</v>
      </c>
      <c r="AW30" s="9">
        <f t="shared" si="16"/>
        <v>6.7998553600000005</v>
      </c>
      <c r="AX30" s="10">
        <f t="shared" si="17"/>
        <v>11858.95723376</v>
      </c>
      <c r="AZ30" s="11">
        <f t="shared" si="18"/>
        <v>17.232978229759997</v>
      </c>
      <c r="BA30" s="12">
        <f t="shared" si="19"/>
        <v>10837.149466191999</v>
      </c>
      <c r="BC30" s="14">
        <f t="shared" si="20"/>
        <v>22.703166566911996</v>
      </c>
      <c r="BD30" s="15">
        <f t="shared" si="21"/>
        <v>12486.548977568</v>
      </c>
      <c r="BF30" s="16">
        <f t="shared" si="8"/>
        <v>20.278999745023999</v>
      </c>
      <c r="BG30" s="17">
        <f t="shared" si="9"/>
        <v>10705.551115057438</v>
      </c>
      <c r="BI30">
        <v>66</v>
      </c>
      <c r="BJ30" t="s">
        <v>59</v>
      </c>
      <c r="BK30" s="2">
        <v>46246.019016203703</v>
      </c>
      <c r="BL30">
        <v>347</v>
      </c>
      <c r="BM30" t="s">
        <v>13</v>
      </c>
      <c r="BN30">
        <v>0</v>
      </c>
      <c r="BO30">
        <v>2.8820000000000001</v>
      </c>
      <c r="BP30" s="3">
        <v>737789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67</v>
      </c>
      <c r="B31" t="s">
        <v>60</v>
      </c>
      <c r="C31" s="2">
        <v>46246.040243055555</v>
      </c>
      <c r="D31">
        <v>230</v>
      </c>
      <c r="E31" t="s">
        <v>13</v>
      </c>
      <c r="F31">
        <v>0</v>
      </c>
      <c r="G31">
        <v>6.0469999999999997</v>
      </c>
      <c r="H31" s="3">
        <v>56088</v>
      </c>
      <c r="I31">
        <v>0.114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60</v>
      </c>
      <c r="Q31" s="2">
        <v>46246.040243055555</v>
      </c>
      <c r="R31">
        <v>230</v>
      </c>
      <c r="S31" t="s">
        <v>13</v>
      </c>
      <c r="T31">
        <v>0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60</v>
      </c>
      <c r="AE31" s="2">
        <v>46246.040243055555</v>
      </c>
      <c r="AF31">
        <v>230</v>
      </c>
      <c r="AG31" t="s">
        <v>13</v>
      </c>
      <c r="AH31">
        <v>0</v>
      </c>
      <c r="AI31">
        <v>12.25</v>
      </c>
      <c r="AJ31" s="3">
        <v>5016</v>
      </c>
      <c r="AK31">
        <v>0.94899999999999995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8">
        <v>67</v>
      </c>
      <c r="AT31" s="16">
        <f t="shared" si="0"/>
        <v>124.24573688675839</v>
      </c>
      <c r="AU31" s="17">
        <f t="shared" si="1"/>
        <v>977.12168556224003</v>
      </c>
      <c r="AW31" s="9">
        <f t="shared" si="16"/>
        <v>155.29475687571204</v>
      </c>
      <c r="AX31" s="10">
        <f t="shared" si="17"/>
        <v>1190.7084072384</v>
      </c>
      <c r="AZ31" s="11">
        <f t="shared" si="18"/>
        <v>157.36958655073283</v>
      </c>
      <c r="BA31" s="12">
        <f t="shared" si="19"/>
        <v>1060.8754166911999</v>
      </c>
      <c r="BC31" s="14">
        <f t="shared" si="20"/>
        <v>152.77965383532799</v>
      </c>
      <c r="BD31" s="15">
        <f t="shared" si="21"/>
        <v>1006.90858623808</v>
      </c>
      <c r="BF31" s="16">
        <f t="shared" si="8"/>
        <v>124.24573688675839</v>
      </c>
      <c r="BG31" s="17">
        <f t="shared" si="9"/>
        <v>977.12168556224003</v>
      </c>
      <c r="BI31">
        <v>67</v>
      </c>
      <c r="BJ31" t="s">
        <v>60</v>
      </c>
      <c r="BK31" s="2">
        <v>46246.040243055555</v>
      </c>
      <c r="BL31">
        <v>230</v>
      </c>
      <c r="BM31" t="s">
        <v>13</v>
      </c>
      <c r="BN31">
        <v>0</v>
      </c>
      <c r="BO31">
        <v>2.8809999999999998</v>
      </c>
      <c r="BP31" s="3">
        <v>771017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A32">
        <v>68</v>
      </c>
      <c r="B32" t="s">
        <v>61</v>
      </c>
      <c r="C32" s="2">
        <v>46246.06150462963</v>
      </c>
      <c r="D32">
        <v>378</v>
      </c>
      <c r="E32" t="s">
        <v>13</v>
      </c>
      <c r="F32">
        <v>0</v>
      </c>
      <c r="G32">
        <v>6.0549999999999997</v>
      </c>
      <c r="H32" s="3">
        <v>1018</v>
      </c>
      <c r="I32">
        <v>2E-3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61</v>
      </c>
      <c r="Q32" s="2">
        <v>46246.06150462963</v>
      </c>
      <c r="R32">
        <v>378</v>
      </c>
      <c r="S32" t="s">
        <v>13</v>
      </c>
      <c r="T32">
        <v>0</v>
      </c>
      <c r="U32" t="s">
        <v>14</v>
      </c>
      <c r="V32" s="3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61</v>
      </c>
      <c r="AE32" s="2">
        <v>46246.06150462963</v>
      </c>
      <c r="AF32">
        <v>378</v>
      </c>
      <c r="AG32" t="s">
        <v>13</v>
      </c>
      <c r="AH32">
        <v>0</v>
      </c>
      <c r="AI32">
        <v>12.148</v>
      </c>
      <c r="AJ32" s="3">
        <v>143800</v>
      </c>
      <c r="AK32">
        <v>24.643000000000001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8">
        <v>68</v>
      </c>
      <c r="AT32" s="16">
        <f t="shared" si="0"/>
        <v>4.0370410926640004</v>
      </c>
      <c r="AU32" s="17">
        <f t="shared" si="1"/>
        <v>25164.126810676</v>
      </c>
      <c r="AW32" s="9">
        <f t="shared" si="16"/>
        <v>8.4288449600000011</v>
      </c>
      <c r="AX32" s="10">
        <f t="shared" si="17"/>
        <v>32996.511804000002</v>
      </c>
      <c r="AZ32" s="11">
        <f t="shared" si="18"/>
        <v>-1.2546304466399998</v>
      </c>
      <c r="BA32" s="12">
        <f t="shared" si="19"/>
        <v>28618.337086800002</v>
      </c>
      <c r="BC32" s="14">
        <f t="shared" si="20"/>
        <v>0.28447749973199965</v>
      </c>
      <c r="BD32" s="15">
        <f t="shared" si="21"/>
        <v>31244.854967200001</v>
      </c>
      <c r="BF32" s="16">
        <f t="shared" si="8"/>
        <v>4.0370410926640004</v>
      </c>
      <c r="BG32" s="17">
        <f t="shared" si="9"/>
        <v>25164.126810676</v>
      </c>
      <c r="BI32">
        <v>68</v>
      </c>
      <c r="BJ32" t="s">
        <v>61</v>
      </c>
      <c r="BK32" s="2">
        <v>46246.06150462963</v>
      </c>
      <c r="BL32">
        <v>378</v>
      </c>
      <c r="BM32" t="s">
        <v>13</v>
      </c>
      <c r="BN32">
        <v>0</v>
      </c>
      <c r="BO32">
        <v>2.87</v>
      </c>
      <c r="BP32" s="3">
        <v>951295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35">
      <c r="A33">
        <v>69</v>
      </c>
      <c r="B33" t="s">
        <v>62</v>
      </c>
      <c r="C33" s="2">
        <v>46246.082719907405</v>
      </c>
      <c r="D33">
        <v>293</v>
      </c>
      <c r="E33" t="s">
        <v>13</v>
      </c>
      <c r="F33">
        <v>0</v>
      </c>
      <c r="G33">
        <v>5.8550000000000004</v>
      </c>
      <c r="H33" s="3">
        <v>49250000</v>
      </c>
      <c r="I33">
        <v>115.759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62</v>
      </c>
      <c r="Q33" s="2">
        <v>46246.082719907405</v>
      </c>
      <c r="R33">
        <v>293</v>
      </c>
      <c r="S33" t="s">
        <v>13</v>
      </c>
      <c r="T33">
        <v>0</v>
      </c>
      <c r="U33">
        <v>5.83</v>
      </c>
      <c r="V33" s="3">
        <v>545809</v>
      </c>
      <c r="W33">
        <v>123.52500000000001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62</v>
      </c>
      <c r="AE33" s="2">
        <v>46246.082719907405</v>
      </c>
      <c r="AF33">
        <v>293</v>
      </c>
      <c r="AG33" t="s">
        <v>13</v>
      </c>
      <c r="AH33">
        <v>0</v>
      </c>
      <c r="AI33">
        <v>12.21</v>
      </c>
      <c r="AJ33" s="3">
        <v>76387</v>
      </c>
      <c r="AK33">
        <v>13.138999999999999</v>
      </c>
      <c r="AL33" t="s">
        <v>14</v>
      </c>
      <c r="AM33" t="s">
        <v>14</v>
      </c>
      <c r="AN33" t="s">
        <v>14</v>
      </c>
      <c r="AO33" t="s">
        <v>14</v>
      </c>
      <c r="AQ33">
        <v>1</v>
      </c>
      <c r="AS33" s="8">
        <v>69</v>
      </c>
      <c r="AT33" s="16">
        <f t="shared" si="0"/>
        <v>121666.30114343202</v>
      </c>
      <c r="AU33" s="17">
        <f t="shared" si="1"/>
        <v>14114.95646161725</v>
      </c>
      <c r="AW33" s="9">
        <f t="shared" si="16"/>
        <v>133009.85921038</v>
      </c>
      <c r="AX33" s="10">
        <f t="shared" si="17"/>
        <v>16905.409472847899</v>
      </c>
      <c r="AZ33" s="11">
        <f t="shared" si="18"/>
        <v>141299.04250108899</v>
      </c>
      <c r="BA33" s="12">
        <f t="shared" si="19"/>
        <v>15067.72368033093</v>
      </c>
      <c r="BC33" s="14">
        <f t="shared" si="20"/>
        <v>129915.09181016264</v>
      </c>
      <c r="BD33" s="15">
        <f t="shared" si="21"/>
        <v>16928.921478573218</v>
      </c>
      <c r="BF33" s="16">
        <f t="shared" si="8"/>
        <v>121666.30114343202</v>
      </c>
      <c r="BG33" s="17">
        <f t="shared" si="9"/>
        <v>14114.95646161725</v>
      </c>
      <c r="BI33">
        <v>69</v>
      </c>
      <c r="BJ33" t="s">
        <v>62</v>
      </c>
      <c r="BK33" s="2">
        <v>46246.082719907405</v>
      </c>
      <c r="BL33">
        <v>293</v>
      </c>
      <c r="BM33" t="s">
        <v>13</v>
      </c>
      <c r="BN33">
        <v>0</v>
      </c>
      <c r="BO33">
        <v>2.8860000000000001</v>
      </c>
      <c r="BP33" s="3">
        <v>586130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35">
      <c r="A34">
        <v>70</v>
      </c>
      <c r="B34" t="s">
        <v>63</v>
      </c>
      <c r="C34" s="2">
        <v>46246.10396990741</v>
      </c>
      <c r="D34">
        <v>382</v>
      </c>
      <c r="E34" t="s">
        <v>13</v>
      </c>
      <c r="F34">
        <v>0</v>
      </c>
      <c r="G34">
        <v>5.8609999999999998</v>
      </c>
      <c r="H34" s="3">
        <v>44581706</v>
      </c>
      <c r="I34">
        <v>102.98399999999999</v>
      </c>
      <c r="J34" t="s">
        <v>14</v>
      </c>
      <c r="K34" t="s">
        <v>14</v>
      </c>
      <c r="L34" t="s">
        <v>14</v>
      </c>
      <c r="M34" t="s">
        <v>14</v>
      </c>
      <c r="O34">
        <v>70</v>
      </c>
      <c r="P34" t="s">
        <v>63</v>
      </c>
      <c r="Q34" s="2">
        <v>46246.10396990741</v>
      </c>
      <c r="R34">
        <v>382</v>
      </c>
      <c r="S34" t="s">
        <v>13</v>
      </c>
      <c r="T34">
        <v>0</v>
      </c>
      <c r="U34">
        <v>5.84</v>
      </c>
      <c r="V34" s="3">
        <v>515145</v>
      </c>
      <c r="W34">
        <v>116.625</v>
      </c>
      <c r="X34" t="s">
        <v>14</v>
      </c>
      <c r="Y34" t="s">
        <v>14</v>
      </c>
      <c r="Z34" t="s">
        <v>14</v>
      </c>
      <c r="AA34" t="s">
        <v>14</v>
      </c>
      <c r="AC34">
        <v>70</v>
      </c>
      <c r="AD34" t="s">
        <v>63</v>
      </c>
      <c r="AE34" s="2">
        <v>46246.10396990741</v>
      </c>
      <c r="AF34">
        <v>382</v>
      </c>
      <c r="AG34" t="s">
        <v>13</v>
      </c>
      <c r="AH34">
        <v>0</v>
      </c>
      <c r="AI34">
        <v>12.222</v>
      </c>
      <c r="AJ34" s="3">
        <v>69199</v>
      </c>
      <c r="AK34">
        <v>11.912000000000001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8">
        <v>70</v>
      </c>
      <c r="AT34" s="16">
        <f t="shared" si="0"/>
        <v>114919.14362850244</v>
      </c>
      <c r="AU34" s="17">
        <f t="shared" si="1"/>
        <v>12938.048270304922</v>
      </c>
      <c r="AW34" s="9">
        <f t="shared" si="16"/>
        <v>125795.20507950001</v>
      </c>
      <c r="AX34" s="10">
        <f t="shared" si="17"/>
        <v>15167.742584519099</v>
      </c>
      <c r="AZ34" s="11">
        <f t="shared" si="18"/>
        <v>133810.57399822501</v>
      </c>
      <c r="BA34" s="12">
        <f t="shared" si="19"/>
        <v>13609.98600652797</v>
      </c>
      <c r="BC34" s="14">
        <f t="shared" si="20"/>
        <v>122839.6213778065</v>
      </c>
      <c r="BD34" s="15">
        <f t="shared" si="21"/>
        <v>15396.771412997379</v>
      </c>
      <c r="BF34" s="16">
        <f t="shared" si="8"/>
        <v>114919.14362850244</v>
      </c>
      <c r="BG34" s="17">
        <f t="shared" si="9"/>
        <v>12938.048270304922</v>
      </c>
      <c r="BI34">
        <v>70</v>
      </c>
      <c r="BJ34" t="s">
        <v>63</v>
      </c>
      <c r="BK34" s="2">
        <v>46246.10396990741</v>
      </c>
      <c r="BL34">
        <v>382</v>
      </c>
      <c r="BM34" t="s">
        <v>13</v>
      </c>
      <c r="BN34">
        <v>0</v>
      </c>
      <c r="BO34">
        <v>2.8919999999999999</v>
      </c>
      <c r="BP34" s="3">
        <v>522524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35">
      <c r="A35">
        <v>71</v>
      </c>
      <c r="B35" t="s">
        <v>64</v>
      </c>
      <c r="C35" s="2">
        <v>46246.125196759262</v>
      </c>
      <c r="D35">
        <v>113</v>
      </c>
      <c r="E35" t="s">
        <v>13</v>
      </c>
      <c r="F35">
        <v>0</v>
      </c>
      <c r="G35">
        <v>6.0469999999999997</v>
      </c>
      <c r="H35" s="3">
        <v>32193</v>
      </c>
      <c r="I35">
        <v>6.5000000000000002E-2</v>
      </c>
      <c r="J35" t="s">
        <v>14</v>
      </c>
      <c r="K35" t="s">
        <v>14</v>
      </c>
      <c r="L35" t="s">
        <v>14</v>
      </c>
      <c r="M35" t="s">
        <v>14</v>
      </c>
      <c r="O35">
        <v>71</v>
      </c>
      <c r="P35" t="s">
        <v>64</v>
      </c>
      <c r="Q35" s="2">
        <v>46246.125196759262</v>
      </c>
      <c r="R35">
        <v>113</v>
      </c>
      <c r="S35" t="s">
        <v>13</v>
      </c>
      <c r="T35">
        <v>0</v>
      </c>
      <c r="U35" t="s">
        <v>14</v>
      </c>
      <c r="V35" t="s">
        <v>14</v>
      </c>
      <c r="W35" t="s">
        <v>14</v>
      </c>
      <c r="X35" t="s">
        <v>14</v>
      </c>
      <c r="Y35" t="s">
        <v>14</v>
      </c>
      <c r="Z35" t="s">
        <v>14</v>
      </c>
      <c r="AA35" t="s">
        <v>14</v>
      </c>
      <c r="AC35">
        <v>71</v>
      </c>
      <c r="AD35" t="s">
        <v>64</v>
      </c>
      <c r="AE35" s="2">
        <v>46246.125196759262</v>
      </c>
      <c r="AF35">
        <v>113</v>
      </c>
      <c r="AG35" t="s">
        <v>13</v>
      </c>
      <c r="AH35">
        <v>0</v>
      </c>
      <c r="AI35">
        <v>12.260999999999999</v>
      </c>
      <c r="AJ35" s="3">
        <v>38301</v>
      </c>
      <c r="AK35">
        <v>6.6349999999999998</v>
      </c>
      <c r="AL35" t="s">
        <v>14</v>
      </c>
      <c r="AM35" t="s">
        <v>14</v>
      </c>
      <c r="AN35" t="s">
        <v>14</v>
      </c>
      <c r="AO35" t="s">
        <v>14</v>
      </c>
      <c r="AQ35">
        <v>1</v>
      </c>
      <c r="AS35" s="8">
        <v>71</v>
      </c>
      <c r="AT35" s="16">
        <f t="shared" si="0"/>
        <v>72.948643086676398</v>
      </c>
      <c r="AU35" s="17">
        <f t="shared" si="1"/>
        <v>7209.7484346497904</v>
      </c>
      <c r="AW35" s="9">
        <f t="shared" si="16"/>
        <v>85.90891315432701</v>
      </c>
      <c r="AX35" s="10">
        <f t="shared" si="17"/>
        <v>8654.6405332839004</v>
      </c>
      <c r="AZ35" s="11">
        <f t="shared" si="18"/>
        <v>88.707197784888805</v>
      </c>
      <c r="BA35" s="12">
        <f t="shared" si="19"/>
        <v>7798.0803972602007</v>
      </c>
      <c r="BC35" s="14">
        <f t="shared" si="20"/>
        <v>89.248055627512997</v>
      </c>
      <c r="BD35" s="15">
        <f t="shared" si="21"/>
        <v>8515.1536488889305</v>
      </c>
      <c r="BF35" s="16">
        <f t="shared" si="8"/>
        <v>72.948643086676398</v>
      </c>
      <c r="BG35" s="17">
        <f t="shared" si="9"/>
        <v>7209.7484346497904</v>
      </c>
      <c r="BI35">
        <v>71</v>
      </c>
      <c r="BJ35" t="s">
        <v>64</v>
      </c>
      <c r="BK35" s="2">
        <v>46246.125196759262</v>
      </c>
      <c r="BL35">
        <v>113</v>
      </c>
      <c r="BM35" t="s">
        <v>13</v>
      </c>
      <c r="BN35">
        <v>0</v>
      </c>
      <c r="BO35">
        <v>2.8839999999999999</v>
      </c>
      <c r="BP35" s="3">
        <v>693537</v>
      </c>
      <c r="BQ35">
        <v>0</v>
      </c>
      <c r="BR35" t="s">
        <v>14</v>
      </c>
      <c r="BS35" t="s">
        <v>14</v>
      </c>
      <c r="BT35" t="s">
        <v>14</v>
      </c>
      <c r="BU35" t="s">
        <v>14</v>
      </c>
    </row>
    <row r="36" spans="1:73" x14ac:dyDescent="0.35">
      <c r="A36">
        <v>72</v>
      </c>
      <c r="B36" t="s">
        <v>65</v>
      </c>
      <c r="C36" s="2">
        <v>46246.146435185183</v>
      </c>
      <c r="D36">
        <v>173</v>
      </c>
      <c r="E36" t="s">
        <v>13</v>
      </c>
      <c r="F36">
        <v>0</v>
      </c>
      <c r="G36">
        <v>6.056</v>
      </c>
      <c r="H36" s="3">
        <v>27356</v>
      </c>
      <c r="I36">
        <v>5.6000000000000001E-2</v>
      </c>
      <c r="J36" t="s">
        <v>14</v>
      </c>
      <c r="K36" t="s">
        <v>14</v>
      </c>
      <c r="L36" t="s">
        <v>14</v>
      </c>
      <c r="M36" t="s">
        <v>14</v>
      </c>
      <c r="O36">
        <v>72</v>
      </c>
      <c r="P36" t="s">
        <v>65</v>
      </c>
      <c r="Q36" s="2">
        <v>46246.146435185183</v>
      </c>
      <c r="R36">
        <v>173</v>
      </c>
      <c r="S36" t="s">
        <v>13</v>
      </c>
      <c r="T36">
        <v>0</v>
      </c>
      <c r="U36" t="s">
        <v>14</v>
      </c>
      <c r="V36" s="3" t="s">
        <v>14</v>
      </c>
      <c r="W36" t="s">
        <v>14</v>
      </c>
      <c r="X36" t="s">
        <v>14</v>
      </c>
      <c r="Y36" t="s">
        <v>14</v>
      </c>
      <c r="Z36" t="s">
        <v>14</v>
      </c>
      <c r="AA36" t="s">
        <v>14</v>
      </c>
      <c r="AC36">
        <v>72</v>
      </c>
      <c r="AD36" t="s">
        <v>65</v>
      </c>
      <c r="AE36" s="2">
        <v>46246.146435185183</v>
      </c>
      <c r="AF36">
        <v>173</v>
      </c>
      <c r="AG36" t="s">
        <v>13</v>
      </c>
      <c r="AH36">
        <v>0</v>
      </c>
      <c r="AI36">
        <v>12.305999999999999</v>
      </c>
      <c r="AJ36" s="3">
        <v>7363</v>
      </c>
      <c r="AK36">
        <v>1.35</v>
      </c>
      <c r="AL36" t="s">
        <v>14</v>
      </c>
      <c r="AM36" t="s">
        <v>14</v>
      </c>
      <c r="AN36" t="s">
        <v>14</v>
      </c>
      <c r="AO36" t="s">
        <v>14</v>
      </c>
      <c r="AQ36">
        <v>1</v>
      </c>
      <c r="AS36" s="8">
        <v>72</v>
      </c>
      <c r="AT36" s="16">
        <f t="shared" si="0"/>
        <v>62.5124007829696</v>
      </c>
      <c r="AU36" s="17">
        <f t="shared" si="1"/>
        <v>1413.9994107925099</v>
      </c>
      <c r="AW36" s="9">
        <f t="shared" si="16"/>
        <v>71.644158889327997</v>
      </c>
      <c r="AX36" s="10">
        <f t="shared" si="17"/>
        <v>1750.1250999590998</v>
      </c>
      <c r="AZ36" s="11">
        <f t="shared" si="18"/>
        <v>74.767920307443205</v>
      </c>
      <c r="BA36" s="12">
        <f t="shared" si="19"/>
        <v>1540.2730166137999</v>
      </c>
      <c r="BC36" s="14">
        <f t="shared" si="20"/>
        <v>76.350975756432007</v>
      </c>
      <c r="BD36" s="15">
        <f t="shared" si="21"/>
        <v>1539.8948303551701</v>
      </c>
      <c r="BF36" s="16">
        <f t="shared" si="8"/>
        <v>62.5124007829696</v>
      </c>
      <c r="BG36" s="17">
        <f t="shared" si="9"/>
        <v>1413.9994107925099</v>
      </c>
      <c r="BI36">
        <v>72</v>
      </c>
      <c r="BJ36" t="s">
        <v>65</v>
      </c>
      <c r="BK36" s="2">
        <v>46246.146435185183</v>
      </c>
      <c r="BL36">
        <v>173</v>
      </c>
      <c r="BM36" t="s">
        <v>13</v>
      </c>
      <c r="BN36">
        <v>0</v>
      </c>
      <c r="BO36">
        <v>2.89</v>
      </c>
      <c r="BP36" s="3">
        <v>762991</v>
      </c>
      <c r="BQ36">
        <v>0</v>
      </c>
      <c r="BR36" t="s">
        <v>14</v>
      </c>
      <c r="BS36" t="s">
        <v>14</v>
      </c>
      <c r="BT36" t="s">
        <v>14</v>
      </c>
      <c r="BU36" t="s">
        <v>14</v>
      </c>
    </row>
    <row r="37" spans="1:73" x14ac:dyDescent="0.35">
      <c r="A37">
        <v>73</v>
      </c>
      <c r="B37" t="s">
        <v>66</v>
      </c>
      <c r="C37" s="2">
        <v>46246.167650462965</v>
      </c>
      <c r="D37">
        <v>363</v>
      </c>
      <c r="E37" t="s">
        <v>13</v>
      </c>
      <c r="F37">
        <v>0</v>
      </c>
      <c r="G37">
        <v>6.0469999999999997</v>
      </c>
      <c r="H37" s="3">
        <v>34053</v>
      </c>
      <c r="I37">
        <v>6.9000000000000006E-2</v>
      </c>
      <c r="J37" t="s">
        <v>14</v>
      </c>
      <c r="K37" t="s">
        <v>14</v>
      </c>
      <c r="L37" t="s">
        <v>14</v>
      </c>
      <c r="M37" t="s">
        <v>14</v>
      </c>
      <c r="O37">
        <v>73</v>
      </c>
      <c r="P37" t="s">
        <v>66</v>
      </c>
      <c r="Q37" s="2">
        <v>46246.167650462965</v>
      </c>
      <c r="R37">
        <v>363</v>
      </c>
      <c r="S37" t="s">
        <v>13</v>
      </c>
      <c r="T37">
        <v>0</v>
      </c>
      <c r="U37" t="s">
        <v>14</v>
      </c>
      <c r="V37" s="3" t="s">
        <v>14</v>
      </c>
      <c r="W37" t="s">
        <v>14</v>
      </c>
      <c r="X37" t="s">
        <v>14</v>
      </c>
      <c r="Y37" t="s">
        <v>14</v>
      </c>
      <c r="Z37" t="s">
        <v>14</v>
      </c>
      <c r="AA37" t="s">
        <v>14</v>
      </c>
      <c r="AC37">
        <v>73</v>
      </c>
      <c r="AD37" t="s">
        <v>66</v>
      </c>
      <c r="AE37" s="2">
        <v>46246.167650462965</v>
      </c>
      <c r="AF37">
        <v>363</v>
      </c>
      <c r="AG37" t="s">
        <v>13</v>
      </c>
      <c r="AH37">
        <v>0</v>
      </c>
      <c r="AI37">
        <v>12.236000000000001</v>
      </c>
      <c r="AJ37" s="3">
        <v>39507</v>
      </c>
      <c r="AK37">
        <v>6.8410000000000002</v>
      </c>
      <c r="AL37" t="s">
        <v>14</v>
      </c>
      <c r="AM37" t="s">
        <v>14</v>
      </c>
      <c r="AN37" t="s">
        <v>14</v>
      </c>
      <c r="AO37" t="s">
        <v>14</v>
      </c>
      <c r="AQ37">
        <v>1</v>
      </c>
      <c r="AS37" s="8">
        <v>73</v>
      </c>
      <c r="AT37" s="16">
        <f t="shared" si="0"/>
        <v>76.957063997092405</v>
      </c>
      <c r="AU37" s="17">
        <f t="shared" si="1"/>
        <v>7437.0610411237103</v>
      </c>
      <c r="AW37" s="9">
        <f t="shared" si="16"/>
        <v>91.374579062207005</v>
      </c>
      <c r="AX37" s="10">
        <f t="shared" si="17"/>
        <v>8906.1057293511021</v>
      </c>
      <c r="AZ37" s="11">
        <f t="shared" si="18"/>
        <v>94.063752553560818</v>
      </c>
      <c r="BA37" s="12">
        <f t="shared" si="19"/>
        <v>8039.6989776698001</v>
      </c>
      <c r="BC37" s="14">
        <f t="shared" si="20"/>
        <v>94.204169409233003</v>
      </c>
      <c r="BD37" s="15">
        <f t="shared" si="21"/>
        <v>8785.1552943855713</v>
      </c>
      <c r="BF37" s="16">
        <f t="shared" si="8"/>
        <v>76.957063997092405</v>
      </c>
      <c r="BG37" s="17">
        <f t="shared" si="9"/>
        <v>7437.0610411237103</v>
      </c>
      <c r="BI37">
        <v>73</v>
      </c>
      <c r="BJ37" t="s">
        <v>66</v>
      </c>
      <c r="BK37" s="2">
        <v>46246.167650462965</v>
      </c>
      <c r="BL37">
        <v>363</v>
      </c>
      <c r="BM37" t="s">
        <v>13</v>
      </c>
      <c r="BN37">
        <v>0</v>
      </c>
      <c r="BO37">
        <v>2.883</v>
      </c>
      <c r="BP37" s="3">
        <v>718781</v>
      </c>
      <c r="BQ37">
        <v>0</v>
      </c>
      <c r="BR37" t="s">
        <v>14</v>
      </c>
      <c r="BS37" t="s">
        <v>14</v>
      </c>
      <c r="BT37" t="s">
        <v>14</v>
      </c>
      <c r="BU37" t="s">
        <v>14</v>
      </c>
    </row>
    <row r="38" spans="1:73" x14ac:dyDescent="0.35">
      <c r="A38">
        <v>74</v>
      </c>
      <c r="B38" t="s">
        <v>67</v>
      </c>
      <c r="C38" s="2">
        <v>46246.188888888886</v>
      </c>
      <c r="D38">
        <v>254</v>
      </c>
      <c r="E38" t="s">
        <v>13</v>
      </c>
      <c r="F38">
        <v>0</v>
      </c>
      <c r="G38">
        <v>6.0460000000000003</v>
      </c>
      <c r="H38" s="3">
        <v>59044</v>
      </c>
      <c r="I38">
        <v>0.12</v>
      </c>
      <c r="J38" t="s">
        <v>14</v>
      </c>
      <c r="K38" t="s">
        <v>14</v>
      </c>
      <c r="L38" t="s">
        <v>14</v>
      </c>
      <c r="M38" t="s">
        <v>14</v>
      </c>
      <c r="O38">
        <v>74</v>
      </c>
      <c r="P38" t="s">
        <v>67</v>
      </c>
      <c r="Q38" s="2">
        <v>46246.188888888886</v>
      </c>
      <c r="R38">
        <v>254</v>
      </c>
      <c r="S38" t="s">
        <v>13</v>
      </c>
      <c r="T38">
        <v>0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C38">
        <v>74</v>
      </c>
      <c r="AD38" t="s">
        <v>67</v>
      </c>
      <c r="AE38" s="2">
        <v>46246.188888888886</v>
      </c>
      <c r="AF38">
        <v>254</v>
      </c>
      <c r="AG38" t="s">
        <v>13</v>
      </c>
      <c r="AH38">
        <v>0</v>
      </c>
      <c r="AI38">
        <v>12.298999999999999</v>
      </c>
      <c r="AJ38" s="3">
        <v>5909</v>
      </c>
      <c r="AK38">
        <v>1.1020000000000001</v>
      </c>
      <c r="AL38" t="s">
        <v>14</v>
      </c>
      <c r="AM38" t="s">
        <v>14</v>
      </c>
      <c r="AN38" t="s">
        <v>14</v>
      </c>
      <c r="AO38" t="s">
        <v>14</v>
      </c>
      <c r="AQ38">
        <v>1</v>
      </c>
      <c r="AS38" s="8">
        <v>74</v>
      </c>
      <c r="AT38" s="16">
        <f t="shared" si="0"/>
        <v>130.56171660248961</v>
      </c>
      <c r="AU38" s="17">
        <f t="shared" si="1"/>
        <v>1143.3009536969901</v>
      </c>
      <c r="AW38" s="9">
        <f t="shared" si="16"/>
        <v>163.75316416292802</v>
      </c>
      <c r="AX38" s="10">
        <f t="shared" si="17"/>
        <v>1404.1506842358999</v>
      </c>
      <c r="AZ38" s="11">
        <f t="shared" si="18"/>
        <v>165.8407431912832</v>
      </c>
      <c r="BA38" s="12">
        <f t="shared" si="19"/>
        <v>1243.3570063961999</v>
      </c>
      <c r="BC38" s="14">
        <f t="shared" si="20"/>
        <v>160.61813899483201</v>
      </c>
      <c r="BD38" s="15">
        <f t="shared" si="21"/>
        <v>1209.76595809133</v>
      </c>
      <c r="BF38" s="16">
        <f t="shared" si="8"/>
        <v>130.56171660248961</v>
      </c>
      <c r="BG38" s="17">
        <f t="shared" si="9"/>
        <v>1143.3009536969901</v>
      </c>
      <c r="BI38">
        <v>74</v>
      </c>
      <c r="BJ38" t="s">
        <v>67</v>
      </c>
      <c r="BK38" s="2">
        <v>46246.188888888886</v>
      </c>
      <c r="BL38">
        <v>254</v>
      </c>
      <c r="BM38" t="s">
        <v>13</v>
      </c>
      <c r="BN38">
        <v>0</v>
      </c>
      <c r="BO38">
        <v>2.879</v>
      </c>
      <c r="BP38" s="3">
        <v>808118</v>
      </c>
      <c r="BQ38">
        <v>0</v>
      </c>
      <c r="BR38" t="s">
        <v>14</v>
      </c>
      <c r="BS38" t="s">
        <v>14</v>
      </c>
      <c r="BT38" t="s">
        <v>14</v>
      </c>
      <c r="BU38" t="s">
        <v>14</v>
      </c>
    </row>
    <row r="39" spans="1:73" x14ac:dyDescent="0.3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1:73" x14ac:dyDescent="0.3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1:73" x14ac:dyDescent="0.3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1:73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1:73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2026-08-12T19:24:38Z</dcterms:modified>
</cp:coreProperties>
</file>