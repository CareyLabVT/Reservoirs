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<sst xmlns="http://schemas.openxmlformats.org/spreadsheetml/2006/main" uniqueCount="41">
  <si>
    <t>Expected Values (mean ± std dev) : FilterMassPre_g = 0.107 ± 0.010; FilterMassPost = 0.122 ± 0.010; 4m VolDiscarded_L = 1.155 ± 0.170, 8m VolDiscarded_L = 1.390 ± 0.183.</t>
  </si>
  <si>
    <t>If any of your measurements are outside the expected value range, please make note of it!</t>
  </si>
  <si>
    <t>Initials</t>
  </si>
  <si>
    <t>DateFiltered</t>
  </si>
  <si>
    <t>Reservoir</t>
  </si>
  <si>
    <t>Depth_m</t>
  </si>
  <si>
    <t>TrapRep</t>
  </si>
  <si>
    <t>FilterNum</t>
  </si>
  <si>
    <t>Date</t>
  </si>
  <si>
    <t>PanMass_g</t>
  </si>
  <si>
    <t>FilterMassPre_g</t>
  </si>
  <si>
    <t>PanAndFilterMassPost_g</t>
  </si>
  <si>
    <t>FilterMassPost_g</t>
  </si>
  <si>
    <t>FilterVol_L</t>
  </si>
  <si>
    <t>VolDiscarded_L</t>
  </si>
  <si>
    <t>Duration_days</t>
  </si>
  <si>
    <t>SedMass_g</t>
  </si>
  <si>
    <t>Notes</t>
  </si>
  <si>
    <t>CEW CEB</t>
  </si>
  <si>
    <t>FCR</t>
  </si>
  <si>
    <t>BVR</t>
  </si>
  <si>
    <t>CEB, ET, GH</t>
  </si>
  <si>
    <t>CEB, CEW, TW, MC</t>
  </si>
  <si>
    <t xml:space="preserve">FCR </t>
  </si>
  <si>
    <t>Accidentally poured sample into the filter manifold without a filter. Used a syringe to remove the sample from the filter manifold</t>
  </si>
  <si>
    <t>CEB, TW, MC</t>
  </si>
  <si>
    <t xml:space="preserve">using double layered foil as pan; filled 125mL in field, some water lost when pouring </t>
  </si>
  <si>
    <t>TJW,MDC</t>
  </si>
  <si>
    <t>TJW, CEB</t>
  </si>
  <si>
    <t xml:space="preserve">*mislabeled F!R1---- diferentiatied by pan weight MDC </t>
  </si>
  <si>
    <t>TJW, MDC</t>
  </si>
  <si>
    <t xml:space="preserve">EMT, TJW </t>
  </si>
  <si>
    <t>3Sept24</t>
  </si>
  <si>
    <t>TW</t>
  </si>
  <si>
    <t>Tw</t>
  </si>
  <si>
    <t>ET</t>
  </si>
  <si>
    <t xml:space="preserve">Filtered a few days late </t>
  </si>
  <si>
    <t xml:space="preserve">My finger smuged the filter after it had been filtered </t>
  </si>
  <si>
    <t xml:space="preserve">Appears that some of the water spilled out the side well being filtered. </t>
  </si>
  <si>
    <t>Appears to have leaked slighly when filtering</t>
  </si>
  <si>
    <t>CEB, CEW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</si>
</sst>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dmmmyy"/>
    <numFmt numFmtId="60" formatCode="0.000"/>
    <numFmt numFmtId="61" formatCode="dmmmmyy"/>
    <numFmt numFmtId="62" formatCode="ddmmmyy"/>
  </numFmts>
  <fonts count="6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sz val="9"/>
      <color indexed="11"/>
      <name val="&quot;Google Sans&quot;"/>
    </font>
    <font>
      <sz val="10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3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49" fontId="4" fillId="2" borderId="3" applyNumberFormat="1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49" fontId="5" fillId="2" borderId="6" applyNumberFormat="1" applyFont="1" applyFill="1" applyBorder="1" applyAlignment="1" applyProtection="0">
      <alignment vertical="bottom" wrapText="1"/>
    </xf>
    <xf numFmtId="0" fontId="0" fillId="2" borderId="7" applyNumberFormat="0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bottom"/>
    </xf>
    <xf numFmtId="59" fontId="0" fillId="2" borderId="8" applyNumberFormat="1" applyFont="1" applyFill="1" applyBorder="1" applyAlignment="1" applyProtection="0">
      <alignment horizontal="right" vertical="bottom"/>
    </xf>
    <xf numFmtId="0" fontId="0" fillId="2" borderId="8" applyNumberFormat="1" applyFont="1" applyFill="1" applyBorder="1" applyAlignment="1" applyProtection="0">
      <alignment vertical="bottom"/>
    </xf>
    <xf numFmtId="59" fontId="0" fillId="2" borderId="8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horizontal="right" vertical="bottom"/>
    </xf>
    <xf numFmtId="60" fontId="0" fillId="2" borderId="8" applyNumberFormat="1" applyFont="1" applyFill="1" applyBorder="1" applyAlignment="1" applyProtection="0">
      <alignment horizontal="right" vertical="bottom"/>
    </xf>
    <xf numFmtId="0" fontId="0" fillId="2" borderId="8" applyNumberFormat="0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59" fontId="0" fillId="2" borderId="2" applyNumberFormat="1" applyFont="1" applyFill="1" applyBorder="1" applyAlignment="1" applyProtection="0">
      <alignment horizontal="right" vertical="bottom"/>
    </xf>
    <xf numFmtId="0" fontId="0" fillId="2" borderId="2" applyNumberFormat="1" applyFont="1" applyFill="1" applyBorder="1" applyAlignment="1" applyProtection="0">
      <alignment vertical="bottom"/>
    </xf>
    <xf numFmtId="59" fontId="0" fillId="2" borderId="2" applyNumberFormat="1" applyFont="1" applyFill="1" applyBorder="1" applyAlignment="1" applyProtection="0">
      <alignment vertical="bottom"/>
    </xf>
    <xf numFmtId="0" fontId="0" fillId="2" borderId="2" applyNumberFormat="1" applyFont="1" applyFill="1" applyBorder="1" applyAlignment="1" applyProtection="0">
      <alignment horizontal="right" vertical="bottom"/>
    </xf>
    <xf numFmtId="60" fontId="0" fillId="2" borderId="2" applyNumberFormat="1" applyFont="1" applyFill="1" applyBorder="1" applyAlignment="1" applyProtection="0">
      <alignment horizontal="right" vertical="bottom"/>
    </xf>
    <xf numFmtId="49" fontId="0" fillId="2" borderId="5" applyNumberFormat="1" applyFont="1" applyFill="1" applyBorder="1" applyAlignment="1" applyProtection="0">
      <alignment vertical="bottom"/>
    </xf>
    <xf numFmtId="59" fontId="0" fillId="2" borderId="5" applyNumberFormat="1" applyFont="1" applyFill="1" applyBorder="1" applyAlignment="1" applyProtection="0">
      <alignment horizontal="right" vertical="bottom"/>
    </xf>
    <xf numFmtId="0" fontId="0" fillId="2" borderId="5" applyNumberFormat="1" applyFont="1" applyFill="1" applyBorder="1" applyAlignment="1" applyProtection="0">
      <alignment vertical="bottom"/>
    </xf>
    <xf numFmtId="59" fontId="0" fillId="2" borderId="5" applyNumberFormat="1" applyFont="1" applyFill="1" applyBorder="1" applyAlignment="1" applyProtection="0">
      <alignment vertical="bottom"/>
    </xf>
    <xf numFmtId="0" fontId="0" fillId="2" borderId="5" applyNumberFormat="1" applyFont="1" applyFill="1" applyBorder="1" applyAlignment="1" applyProtection="0">
      <alignment horizontal="right" vertical="bottom"/>
    </xf>
    <xf numFmtId="60" fontId="0" fillId="2" borderId="5" applyNumberFormat="1" applyFont="1" applyFill="1" applyBorder="1" applyAlignment="1" applyProtection="0">
      <alignment horizontal="right" vertical="bottom"/>
    </xf>
    <xf numFmtId="61" fontId="0" fillId="2" borderId="8" applyNumberFormat="1" applyFont="1" applyFill="1" applyBorder="1" applyAlignment="1" applyProtection="0">
      <alignment horizontal="right" vertical="bottom"/>
    </xf>
    <xf numFmtId="61" fontId="0" fillId="2" borderId="2" applyNumberFormat="1" applyFont="1" applyFill="1" applyBorder="1" applyAlignment="1" applyProtection="0">
      <alignment horizontal="right" vertical="bottom"/>
    </xf>
    <xf numFmtId="61" fontId="0" fillId="2" borderId="5" applyNumberFormat="1" applyFont="1" applyFill="1" applyBorder="1" applyAlignment="1" applyProtection="0">
      <alignment horizontal="right" vertical="bottom"/>
    </xf>
    <xf numFmtId="61" fontId="0" fillId="2" borderId="8" applyNumberFormat="1" applyFont="1" applyFill="1" applyBorder="1" applyAlignment="1" applyProtection="0">
      <alignment vertical="bottom"/>
    </xf>
    <xf numFmtId="61" fontId="0" fillId="2" borderId="2" applyNumberFormat="1" applyFont="1" applyFill="1" applyBorder="1" applyAlignment="1" applyProtection="0">
      <alignment vertical="bottom"/>
    </xf>
    <xf numFmtId="61" fontId="0" fillId="2" borderId="5" applyNumberFormat="1" applyFont="1" applyFill="1" applyBorder="1" applyAlignment="1" applyProtection="0">
      <alignment vertical="bottom"/>
    </xf>
    <xf numFmtId="62" fontId="0" fillId="2" borderId="8" applyNumberFormat="1" applyFont="1" applyFill="1" applyBorder="1" applyAlignment="1" applyProtection="0">
      <alignment horizontal="right" vertical="bottom"/>
    </xf>
    <xf numFmtId="62" fontId="0" fillId="2" borderId="2" applyNumberFormat="1" applyFont="1" applyFill="1" applyBorder="1" applyAlignment="1" applyProtection="0">
      <alignment horizontal="right" vertical="bottom"/>
    </xf>
    <xf numFmtId="62" fontId="0" fillId="2" borderId="5" applyNumberFormat="1" applyFont="1" applyFill="1" applyBorder="1" applyAlignment="1" applyProtection="0">
      <alignment horizontal="right" vertical="bottom"/>
    </xf>
    <xf numFmtId="59" fontId="0" fillId="2" borderId="9" applyNumberFormat="1" applyFont="1" applyFill="1" applyBorder="1" applyAlignment="1" applyProtection="0">
      <alignment vertical="bottom"/>
    </xf>
    <xf numFmtId="0" fontId="0" fillId="2" borderId="9" applyNumberFormat="1" applyFont="1" applyFill="1" applyBorder="1" applyAlignment="1" applyProtection="0">
      <alignment horizontal="right" vertical="bottom"/>
    </xf>
    <xf numFmtId="49" fontId="0" fillId="2" borderId="8" applyNumberFormat="1" applyFont="1" applyFill="1" applyBorder="1" applyAlignment="1" applyProtection="0">
      <alignment horizontal="right" vertical="bottom"/>
    </xf>
    <xf numFmtId="49" fontId="0" fillId="2" borderId="2" applyNumberFormat="1" applyFont="1" applyFill="1" applyBorder="1" applyAlignment="1" applyProtection="0">
      <alignment horizontal="right" vertical="bottom"/>
    </xf>
    <xf numFmtId="49" fontId="0" fillId="2" borderId="5" applyNumberFormat="1" applyFont="1" applyFill="1" applyBorder="1" applyAlignment="1" applyProtection="0">
      <alignment horizontal="right" vertical="bottom"/>
    </xf>
    <xf numFmtId="59" fontId="0" fillId="2" borderId="1" applyNumberFormat="1" applyFont="1" applyFill="1" applyBorder="1" applyAlignment="1" applyProtection="0">
      <alignment horizontal="right" vertical="bottom"/>
    </xf>
    <xf numFmtId="49" fontId="0" fillId="2" borderId="10" applyNumberFormat="1" applyFont="1" applyFill="1" applyBorder="1" applyAlignment="1" applyProtection="0">
      <alignment vertical="bottom"/>
    </xf>
    <xf numFmtId="59" fontId="0" fillId="2" borderId="11" applyNumberFormat="1" applyFont="1" applyFill="1" applyBorder="1" applyAlignment="1" applyProtection="0">
      <alignment horizontal="right" vertical="bottom"/>
    </xf>
    <xf numFmtId="49" fontId="0" fillId="2" borderId="12" applyNumberFormat="1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bottom"/>
    </xf>
    <xf numFmtId="49" fontId="0" fillId="2" borderId="13" applyNumberFormat="1" applyFont="1" applyFill="1" applyBorder="1" applyAlignment="1" applyProtection="0">
      <alignment vertical="bottom"/>
    </xf>
    <xf numFmtId="49" fontId="0" fillId="2" borderId="14" applyNumberFormat="1" applyFont="1" applyFill="1" applyBorder="1" applyAlignment="1" applyProtection="0">
      <alignment vertical="bottom"/>
    </xf>
    <xf numFmtId="59" fontId="0" fillId="2" borderId="15" applyNumberFormat="1" applyFont="1" applyFill="1" applyBorder="1" applyAlignment="1" applyProtection="0">
      <alignment horizontal="right" vertical="bottom"/>
    </xf>
    <xf numFmtId="49" fontId="0" fillId="2" borderId="16" applyNumberFormat="1" applyFont="1" applyFill="1" applyBorder="1" applyAlignment="1" applyProtection="0">
      <alignment vertical="bottom"/>
    </xf>
    <xf numFmtId="59" fontId="0" fillId="2" borderId="17" applyNumberFormat="1" applyFont="1" applyFill="1" applyBorder="1" applyAlignment="1" applyProtection="0">
      <alignment horizontal="right" vertical="bottom"/>
    </xf>
    <xf numFmtId="0" fontId="0" fillId="2" borderId="9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E579"/>
  <sheetViews>
    <sheetView workbookViewId="0" showGridLines="0" defaultGridColor="1"/>
  </sheetViews>
  <sheetFormatPr defaultColWidth="12.6667" defaultRowHeight="15.75" customHeight="1" outlineLevelRow="0" outlineLevelCol="0"/>
  <cols>
    <col min="1" max="2" width="12.6719" style="1" customWidth="1"/>
    <col min="3" max="4" width="7.35156" style="1" customWidth="1"/>
    <col min="5" max="5" width="7.17188" style="1" customWidth="1"/>
    <col min="6" max="6" width="7.85156" style="1" customWidth="1"/>
    <col min="7" max="7" width="7.35156" style="1" customWidth="1"/>
    <col min="8" max="9" width="12.6719" style="1" customWidth="1"/>
    <col min="10" max="10" width="20" style="1" customWidth="1"/>
    <col min="11" max="31" width="12.6719" style="1" customWidth="1"/>
    <col min="32" max="16384" width="12.6719" style="1" customWidth="1"/>
  </cols>
  <sheetData>
    <row r="1" ht="13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ht="14" customHeight="1">
      <c r="A2" t="s" s="4">
        <v>1</v>
      </c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ht="13.75" customHeight="1">
      <c r="A3" t="s" s="7">
        <v>2</v>
      </c>
      <c r="B3" t="s" s="7">
        <v>3</v>
      </c>
      <c r="C3" t="s" s="7">
        <v>4</v>
      </c>
      <c r="D3" t="s" s="7">
        <v>5</v>
      </c>
      <c r="E3" t="s" s="7">
        <v>6</v>
      </c>
      <c r="F3" t="s" s="7">
        <v>7</v>
      </c>
      <c r="G3" t="s" s="7">
        <v>8</v>
      </c>
      <c r="H3" t="s" s="7">
        <v>9</v>
      </c>
      <c r="I3" t="s" s="7">
        <v>10</v>
      </c>
      <c r="J3" t="s" s="7">
        <v>11</v>
      </c>
      <c r="K3" t="s" s="7">
        <v>12</v>
      </c>
      <c r="L3" t="s" s="7">
        <v>13</v>
      </c>
      <c r="M3" t="s" s="7">
        <v>14</v>
      </c>
      <c r="N3" t="s" s="7">
        <v>15</v>
      </c>
      <c r="O3" t="s" s="7">
        <v>16</v>
      </c>
      <c r="P3" t="s" s="7">
        <v>17</v>
      </c>
      <c r="Q3" s="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ht="13.65" customHeight="1">
      <c r="A4" t="s" s="9">
        <v>18</v>
      </c>
      <c r="B4" s="10">
        <v>45399</v>
      </c>
      <c r="C4" t="s" s="9">
        <v>19</v>
      </c>
      <c r="D4" s="11">
        <v>4</v>
      </c>
      <c r="E4" s="11">
        <v>1</v>
      </c>
      <c r="F4" s="11">
        <v>1</v>
      </c>
      <c r="G4" s="12">
        <v>45397</v>
      </c>
      <c r="H4" s="13">
        <v>0.997</v>
      </c>
      <c r="I4" s="13">
        <v>0.122</v>
      </c>
      <c r="J4" s="13">
        <v>1.129</v>
      </c>
      <c r="K4" s="13" cm="1">
        <f t="array" ref="K4">J4-H4</f>
        <v>0.132</v>
      </c>
      <c r="L4" s="13">
        <v>0.182</v>
      </c>
      <c r="M4" s="14">
        <v>1.015</v>
      </c>
      <c r="N4" s="13">
        <v>14</v>
      </c>
      <c r="O4" s="13" cm="1">
        <f t="array" ref="O4">K4-I4</f>
        <v>0.01</v>
      </c>
      <c r="P4" s="15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ht="13.65" customHeight="1">
      <c r="A5" t="s" s="16">
        <v>18</v>
      </c>
      <c r="B5" s="17">
        <v>45399</v>
      </c>
      <c r="C5" t="s" s="16">
        <v>19</v>
      </c>
      <c r="D5" s="18">
        <v>4</v>
      </c>
      <c r="E5" s="18">
        <v>1</v>
      </c>
      <c r="F5" s="18">
        <v>2</v>
      </c>
      <c r="G5" s="19">
        <v>45397</v>
      </c>
      <c r="H5" s="20">
        <v>1</v>
      </c>
      <c r="I5" s="20">
        <v>0.121</v>
      </c>
      <c r="J5" s="20">
        <v>1.131</v>
      </c>
      <c r="K5" s="20" cm="1">
        <f t="array" ref="K5">J5-H5</f>
        <v>0.131</v>
      </c>
      <c r="L5" s="20">
        <v>0.182</v>
      </c>
      <c r="M5" s="21">
        <v>1.015</v>
      </c>
      <c r="N5" s="20">
        <v>14</v>
      </c>
      <c r="O5" s="20" cm="1">
        <f t="array" ref="O5">K5-I5</f>
        <v>0.01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ht="13.65" customHeight="1">
      <c r="A6" t="s" s="16">
        <v>18</v>
      </c>
      <c r="B6" s="17">
        <v>45399</v>
      </c>
      <c r="C6" t="s" s="16">
        <v>19</v>
      </c>
      <c r="D6" s="18">
        <v>4</v>
      </c>
      <c r="E6" s="18">
        <v>1</v>
      </c>
      <c r="F6" s="18">
        <v>3</v>
      </c>
      <c r="G6" s="19">
        <v>45397</v>
      </c>
      <c r="H6" s="20">
        <v>0.983</v>
      </c>
      <c r="I6" s="20">
        <v>0.12</v>
      </c>
      <c r="J6" s="20">
        <v>1.112</v>
      </c>
      <c r="K6" s="20" cm="1">
        <f t="array" ref="K6">J6-H6</f>
        <v>0.129</v>
      </c>
      <c r="L6" s="20">
        <v>0.18</v>
      </c>
      <c r="M6" s="21">
        <v>1.015</v>
      </c>
      <c r="N6" s="20">
        <v>14</v>
      </c>
      <c r="O6" s="20" cm="1">
        <f t="array" ref="O6">K6-I6</f>
        <v>0.008999999999999999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ht="13.65" customHeight="1">
      <c r="A7" t="s" s="22">
        <v>18</v>
      </c>
      <c r="B7" s="23">
        <v>45399</v>
      </c>
      <c r="C7" t="s" s="22">
        <v>19</v>
      </c>
      <c r="D7" s="24">
        <v>4</v>
      </c>
      <c r="E7" s="24">
        <v>1</v>
      </c>
      <c r="F7" s="24">
        <v>4</v>
      </c>
      <c r="G7" s="25">
        <v>45397</v>
      </c>
      <c r="H7" s="26">
        <v>1.007</v>
      </c>
      <c r="I7" s="26">
        <v>0.12</v>
      </c>
      <c r="J7" s="26">
        <v>1.138</v>
      </c>
      <c r="K7" s="20" cm="1">
        <f t="array" ref="K7">J7-H7</f>
        <v>0.131</v>
      </c>
      <c r="L7" s="26">
        <v>0.18</v>
      </c>
      <c r="M7" s="27">
        <v>1.015</v>
      </c>
      <c r="N7" s="26">
        <v>14</v>
      </c>
      <c r="O7" s="20" cm="1">
        <f t="array" ref="O7">K7-I7</f>
        <v>0.011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ht="13.65" customHeight="1">
      <c r="A8" t="s" s="9">
        <v>18</v>
      </c>
      <c r="B8" s="10">
        <v>45399</v>
      </c>
      <c r="C8" t="s" s="9">
        <v>19</v>
      </c>
      <c r="D8" s="11">
        <v>4</v>
      </c>
      <c r="E8" s="11">
        <v>2</v>
      </c>
      <c r="F8" s="11">
        <v>1</v>
      </c>
      <c r="G8" s="12">
        <v>45397</v>
      </c>
      <c r="H8" s="13">
        <v>0.992</v>
      </c>
      <c r="I8" s="13">
        <v>0.121</v>
      </c>
      <c r="J8" s="13">
        <v>1.124</v>
      </c>
      <c r="K8" s="20" cm="1">
        <f t="array" ref="K8">J8-H8</f>
        <v>0.132</v>
      </c>
      <c r="L8" s="13">
        <v>0.18</v>
      </c>
      <c r="M8" s="14">
        <v>1</v>
      </c>
      <c r="N8" s="13">
        <v>14</v>
      </c>
      <c r="O8" s="20" cm="1">
        <f t="array" ref="O8">K8-I8</f>
        <v>0.011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ht="13.65" customHeight="1">
      <c r="A9" t="s" s="16">
        <v>18</v>
      </c>
      <c r="B9" s="17">
        <v>45399</v>
      </c>
      <c r="C9" t="s" s="16">
        <v>19</v>
      </c>
      <c r="D9" s="18">
        <v>4</v>
      </c>
      <c r="E9" s="18">
        <v>2</v>
      </c>
      <c r="F9" s="18">
        <v>2</v>
      </c>
      <c r="G9" s="19">
        <v>45397</v>
      </c>
      <c r="H9" s="20">
        <v>1.014</v>
      </c>
      <c r="I9" s="20">
        <v>0.121</v>
      </c>
      <c r="J9" s="20">
        <v>1.145</v>
      </c>
      <c r="K9" s="20" cm="1">
        <f t="array" ref="K9">J9-H9</f>
        <v>0.131</v>
      </c>
      <c r="L9" s="20">
        <v>0.18</v>
      </c>
      <c r="M9" s="21">
        <v>1</v>
      </c>
      <c r="N9" s="20">
        <v>14</v>
      </c>
      <c r="O9" s="20" cm="1">
        <f t="array" ref="O9">K9-I9</f>
        <v>0.01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ht="13.65" customHeight="1">
      <c r="A10" t="s" s="16">
        <v>18</v>
      </c>
      <c r="B10" s="17">
        <v>45399</v>
      </c>
      <c r="C10" t="s" s="16">
        <v>19</v>
      </c>
      <c r="D10" s="18">
        <v>4</v>
      </c>
      <c r="E10" s="18">
        <v>2</v>
      </c>
      <c r="F10" s="18">
        <v>3</v>
      </c>
      <c r="G10" s="19">
        <v>45397</v>
      </c>
      <c r="H10" s="20">
        <v>1.003</v>
      </c>
      <c r="I10" s="20">
        <v>0.123</v>
      </c>
      <c r="J10" s="21">
        <v>1.135</v>
      </c>
      <c r="K10" s="21" cm="1">
        <f t="array" ref="K10">J10-H10</f>
        <v>0.132</v>
      </c>
      <c r="L10" s="20">
        <v>0.182</v>
      </c>
      <c r="M10" s="21">
        <v>1</v>
      </c>
      <c r="N10" s="20">
        <v>14</v>
      </c>
      <c r="O10" s="21" cm="1">
        <f t="array" ref="O10">K10-I10</f>
        <v>0.008999999999999999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ht="13.65" customHeight="1">
      <c r="A11" t="s" s="22">
        <v>18</v>
      </c>
      <c r="B11" s="23">
        <v>45399</v>
      </c>
      <c r="C11" t="s" s="22">
        <v>19</v>
      </c>
      <c r="D11" s="24">
        <v>4</v>
      </c>
      <c r="E11" s="24">
        <v>2</v>
      </c>
      <c r="F11" s="24">
        <v>4</v>
      </c>
      <c r="G11" s="25">
        <v>45397</v>
      </c>
      <c r="H11" s="26">
        <v>1.011</v>
      </c>
      <c r="I11" s="26">
        <v>0.121</v>
      </c>
      <c r="J11" s="26">
        <v>1.143</v>
      </c>
      <c r="K11" s="20" cm="1">
        <f t="array" ref="K11">J11-H11</f>
        <v>0.132</v>
      </c>
      <c r="L11" s="26">
        <v>0.18</v>
      </c>
      <c r="M11" s="27">
        <v>1</v>
      </c>
      <c r="N11" s="26">
        <v>14</v>
      </c>
      <c r="O11" s="20" cm="1">
        <f t="array" ref="O11">K11-I11</f>
        <v>0.011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ht="13.65" customHeight="1">
      <c r="A12" t="s" s="9">
        <v>18</v>
      </c>
      <c r="B12" s="10">
        <v>45399</v>
      </c>
      <c r="C12" t="s" s="9">
        <v>19</v>
      </c>
      <c r="D12" s="11">
        <v>8</v>
      </c>
      <c r="E12" s="11">
        <v>1</v>
      </c>
      <c r="F12" s="11">
        <v>1</v>
      </c>
      <c r="G12" s="12">
        <v>45397</v>
      </c>
      <c r="H12" s="13">
        <v>1.012</v>
      </c>
      <c r="I12" s="13">
        <v>0.121</v>
      </c>
      <c r="J12" s="13">
        <v>1.144</v>
      </c>
      <c r="K12" s="20" cm="1">
        <f t="array" ref="K12">J12-H12</f>
        <v>0.132</v>
      </c>
      <c r="L12" s="13">
        <v>0.12</v>
      </c>
      <c r="M12" s="14">
        <v>1.205</v>
      </c>
      <c r="N12" s="13">
        <v>14</v>
      </c>
      <c r="O12" s="20" cm="1">
        <f t="array" ref="O12">K12-I12</f>
        <v>0.011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ht="13.65" customHeight="1">
      <c r="A13" t="s" s="16">
        <v>18</v>
      </c>
      <c r="B13" s="17">
        <v>45399</v>
      </c>
      <c r="C13" t="s" s="16">
        <v>19</v>
      </c>
      <c r="D13" s="18">
        <v>8</v>
      </c>
      <c r="E13" s="18">
        <v>1</v>
      </c>
      <c r="F13" s="18">
        <v>2</v>
      </c>
      <c r="G13" s="19">
        <v>45397</v>
      </c>
      <c r="H13" s="20">
        <v>1.012</v>
      </c>
      <c r="I13" s="20">
        <v>0.12</v>
      </c>
      <c r="J13" s="20">
        <v>1.143</v>
      </c>
      <c r="K13" s="20" cm="1">
        <f t="array" ref="K13">J13-H13</f>
        <v>0.131</v>
      </c>
      <c r="L13" s="20">
        <v>0.12</v>
      </c>
      <c r="M13" s="21">
        <v>1.205</v>
      </c>
      <c r="N13" s="20">
        <v>14</v>
      </c>
      <c r="O13" s="20" cm="1">
        <f t="array" ref="O13">K13-I13</f>
        <v>0.011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ht="13.65" customHeight="1">
      <c r="A14" t="s" s="16">
        <v>18</v>
      </c>
      <c r="B14" s="17">
        <v>45399</v>
      </c>
      <c r="C14" t="s" s="16">
        <v>19</v>
      </c>
      <c r="D14" s="18">
        <v>8</v>
      </c>
      <c r="E14" s="18">
        <v>1</v>
      </c>
      <c r="F14" s="18">
        <v>3</v>
      </c>
      <c r="G14" s="19">
        <v>45397</v>
      </c>
      <c r="H14" s="20">
        <v>0.996</v>
      </c>
      <c r="I14" s="20">
        <v>0.122</v>
      </c>
      <c r="J14" s="20">
        <v>1.13</v>
      </c>
      <c r="K14" s="20" cm="1">
        <f t="array" ref="K14">J14-H14</f>
        <v>0.134</v>
      </c>
      <c r="L14" s="20">
        <v>0.12</v>
      </c>
      <c r="M14" s="21">
        <v>1.205</v>
      </c>
      <c r="N14" s="20">
        <v>14</v>
      </c>
      <c r="O14" s="20" cm="1">
        <f t="array" ref="O14">K14-I14</f>
        <v>0.012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ht="13.65" customHeight="1">
      <c r="A15" t="s" s="22">
        <v>18</v>
      </c>
      <c r="B15" s="23">
        <v>45399</v>
      </c>
      <c r="C15" t="s" s="22">
        <v>19</v>
      </c>
      <c r="D15" s="24">
        <v>8</v>
      </c>
      <c r="E15" s="24">
        <v>1</v>
      </c>
      <c r="F15" s="24">
        <v>4</v>
      </c>
      <c r="G15" s="25">
        <v>45397</v>
      </c>
      <c r="H15" s="26">
        <v>1.007</v>
      </c>
      <c r="I15" s="26">
        <v>0.123</v>
      </c>
      <c r="J15" s="26">
        <v>1.142</v>
      </c>
      <c r="K15" s="20" cm="1">
        <f t="array" ref="K15">J15-H15</f>
        <v>0.135</v>
      </c>
      <c r="L15" s="26">
        <v>0.12</v>
      </c>
      <c r="M15" s="27">
        <v>1.205</v>
      </c>
      <c r="N15" s="26">
        <v>14</v>
      </c>
      <c r="O15" s="20" cm="1">
        <f t="array" ref="O15">K15-I15</f>
        <v>0.012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 ht="13.65" customHeight="1">
      <c r="A16" t="s" s="9">
        <v>18</v>
      </c>
      <c r="B16" s="10">
        <v>45399</v>
      </c>
      <c r="C16" t="s" s="9">
        <v>19</v>
      </c>
      <c r="D16" s="11">
        <v>8</v>
      </c>
      <c r="E16" s="11">
        <v>2</v>
      </c>
      <c r="F16" s="11">
        <v>1</v>
      </c>
      <c r="G16" s="12">
        <v>45397</v>
      </c>
      <c r="H16" s="13">
        <v>0.99</v>
      </c>
      <c r="I16" s="13">
        <v>0.121</v>
      </c>
      <c r="J16" s="13">
        <v>1.123</v>
      </c>
      <c r="K16" s="20" cm="1">
        <f t="array" ref="K16">J16-H16</f>
        <v>0.133</v>
      </c>
      <c r="L16" s="13">
        <v>0.12</v>
      </c>
      <c r="M16" s="14">
        <v>1.27</v>
      </c>
      <c r="N16" s="13">
        <v>14</v>
      </c>
      <c r="O16" s="20" cm="1">
        <f t="array" ref="O16">K16-I16</f>
        <v>0.012</v>
      </c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 ht="13.65" customHeight="1">
      <c r="A17" t="s" s="16">
        <v>18</v>
      </c>
      <c r="B17" s="17">
        <v>45399</v>
      </c>
      <c r="C17" t="s" s="16">
        <v>19</v>
      </c>
      <c r="D17" s="18">
        <v>8</v>
      </c>
      <c r="E17" s="18">
        <v>2</v>
      </c>
      <c r="F17" s="18">
        <v>2</v>
      </c>
      <c r="G17" s="19">
        <v>45397</v>
      </c>
      <c r="H17" s="20">
        <v>0.978</v>
      </c>
      <c r="I17" s="20">
        <v>0.122</v>
      </c>
      <c r="J17" s="20">
        <v>1.113</v>
      </c>
      <c r="K17" s="20" cm="1">
        <f t="array" ref="K17">J17-H17</f>
        <v>0.135</v>
      </c>
      <c r="L17" s="20">
        <v>0.12</v>
      </c>
      <c r="M17" s="21">
        <v>1.27</v>
      </c>
      <c r="N17" s="20">
        <v>14</v>
      </c>
      <c r="O17" s="20" cm="1">
        <f t="array" ref="O17">K17-I17</f>
        <v>0.013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ht="13.65" customHeight="1">
      <c r="A18" t="s" s="16">
        <v>18</v>
      </c>
      <c r="B18" s="17">
        <v>45399</v>
      </c>
      <c r="C18" t="s" s="16">
        <v>19</v>
      </c>
      <c r="D18" s="18">
        <v>8</v>
      </c>
      <c r="E18" s="18">
        <v>2</v>
      </c>
      <c r="F18" s="18">
        <v>3</v>
      </c>
      <c r="G18" s="19">
        <v>45397</v>
      </c>
      <c r="H18" s="20">
        <v>1.007</v>
      </c>
      <c r="I18" s="20">
        <v>0.121</v>
      </c>
      <c r="J18" s="20">
        <v>1.14</v>
      </c>
      <c r="K18" s="20" cm="1">
        <f t="array" ref="K18">J18-H18</f>
        <v>0.133</v>
      </c>
      <c r="L18" s="20">
        <v>0.12</v>
      </c>
      <c r="M18" s="21">
        <v>1.27</v>
      </c>
      <c r="N18" s="20">
        <v>14</v>
      </c>
      <c r="O18" s="20" cm="1">
        <f t="array" ref="O18">K18-I18</f>
        <v>0.012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ht="13.65" customHeight="1">
      <c r="A19" t="s" s="22">
        <v>18</v>
      </c>
      <c r="B19" s="23">
        <v>45399</v>
      </c>
      <c r="C19" t="s" s="22">
        <v>19</v>
      </c>
      <c r="D19" s="24">
        <v>8</v>
      </c>
      <c r="E19" s="24">
        <v>2</v>
      </c>
      <c r="F19" s="24">
        <v>4</v>
      </c>
      <c r="G19" s="25">
        <v>45397</v>
      </c>
      <c r="H19" s="26">
        <v>1.003</v>
      </c>
      <c r="I19" s="26">
        <v>0.121</v>
      </c>
      <c r="J19" s="27">
        <v>1.137</v>
      </c>
      <c r="K19" s="21" cm="1">
        <f t="array" ref="K19">J19-H19</f>
        <v>0.134</v>
      </c>
      <c r="L19" s="26">
        <v>0.121</v>
      </c>
      <c r="M19" s="27">
        <v>1.27</v>
      </c>
      <c r="N19" s="26">
        <v>14</v>
      </c>
      <c r="O19" s="21" cm="1">
        <f t="array" ref="O19">K19-I19</f>
        <v>0.013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ht="13.65" customHeight="1">
      <c r="A20" t="s" s="9">
        <v>18</v>
      </c>
      <c r="B20" s="10">
        <v>45399</v>
      </c>
      <c r="C20" t="s" s="9">
        <v>20</v>
      </c>
      <c r="D20" s="11">
        <v>4</v>
      </c>
      <c r="E20" s="11">
        <v>1</v>
      </c>
      <c r="F20" s="11">
        <v>1</v>
      </c>
      <c r="G20" s="12">
        <v>45397</v>
      </c>
      <c r="H20" s="13">
        <v>1.012</v>
      </c>
      <c r="I20" s="13">
        <v>0.12</v>
      </c>
      <c r="J20" s="13">
        <v>1.152</v>
      </c>
      <c r="K20" s="20" cm="1">
        <f t="array" ref="K20">J20-H20</f>
        <v>0.14</v>
      </c>
      <c r="L20" s="13">
        <v>0.168</v>
      </c>
      <c r="M20" s="14">
        <v>1.09</v>
      </c>
      <c r="N20" s="13">
        <v>14</v>
      </c>
      <c r="O20" s="20" cm="1">
        <f t="array" ref="O20">K20-I20</f>
        <v>0.02</v>
      </c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ht="13.65" customHeight="1">
      <c r="A21" t="s" s="16">
        <v>18</v>
      </c>
      <c r="B21" s="17">
        <v>45399</v>
      </c>
      <c r="C21" t="s" s="16">
        <v>20</v>
      </c>
      <c r="D21" s="18">
        <v>4</v>
      </c>
      <c r="E21" s="18">
        <v>1</v>
      </c>
      <c r="F21" s="18">
        <v>2</v>
      </c>
      <c r="G21" s="19">
        <v>45397</v>
      </c>
      <c r="H21" s="20">
        <v>1.021</v>
      </c>
      <c r="I21" s="20">
        <v>0.122</v>
      </c>
      <c r="J21" s="20">
        <v>1.159</v>
      </c>
      <c r="K21" s="20" cm="1">
        <f t="array" ref="K21">J21-H21</f>
        <v>0.138</v>
      </c>
      <c r="L21" s="20">
        <v>0.132</v>
      </c>
      <c r="M21" s="21">
        <v>1.09</v>
      </c>
      <c r="N21" s="20">
        <v>14</v>
      </c>
      <c r="O21" s="20" cm="1">
        <f t="array" ref="O21">K21-I21</f>
        <v>0.016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ht="13.65" customHeight="1">
      <c r="A22" t="s" s="16">
        <v>18</v>
      </c>
      <c r="B22" s="17">
        <v>45399</v>
      </c>
      <c r="C22" t="s" s="16">
        <v>20</v>
      </c>
      <c r="D22" s="18">
        <v>4</v>
      </c>
      <c r="E22" s="18">
        <v>1</v>
      </c>
      <c r="F22" s="18">
        <v>3</v>
      </c>
      <c r="G22" s="19">
        <v>45397</v>
      </c>
      <c r="H22" s="20">
        <v>1.016</v>
      </c>
      <c r="I22" s="20">
        <v>0.122</v>
      </c>
      <c r="J22" s="20">
        <v>1.152</v>
      </c>
      <c r="K22" s="20" cm="1">
        <f t="array" ref="K22">J22-H22</f>
        <v>0.136</v>
      </c>
      <c r="L22" s="20">
        <v>0.11</v>
      </c>
      <c r="M22" s="21">
        <v>1.09</v>
      </c>
      <c r="N22" s="20">
        <v>14</v>
      </c>
      <c r="O22" s="20" cm="1">
        <f t="array" ref="O22">K22-I22</f>
        <v>0.014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ht="13.65" customHeight="1">
      <c r="A23" t="s" s="22">
        <v>18</v>
      </c>
      <c r="B23" s="23">
        <v>45399</v>
      </c>
      <c r="C23" t="s" s="22">
        <v>20</v>
      </c>
      <c r="D23" s="24">
        <v>4</v>
      </c>
      <c r="E23" s="24">
        <v>1</v>
      </c>
      <c r="F23" s="24">
        <v>4</v>
      </c>
      <c r="G23" s="25">
        <v>45397</v>
      </c>
      <c r="H23" s="26">
        <v>1.017</v>
      </c>
      <c r="I23" s="26">
        <v>0.122</v>
      </c>
      <c r="J23" s="26">
        <v>1.154</v>
      </c>
      <c r="K23" s="20" cm="1">
        <f t="array" ref="K23">J23-H23</f>
        <v>0.137</v>
      </c>
      <c r="L23" s="26">
        <v>0.11</v>
      </c>
      <c r="M23" s="27">
        <v>1.09</v>
      </c>
      <c r="N23" s="26">
        <v>14</v>
      </c>
      <c r="O23" s="20" cm="1">
        <f t="array" ref="O23">K23-I23</f>
        <v>0.015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ht="13.65" customHeight="1">
      <c r="A24" t="s" s="9">
        <v>18</v>
      </c>
      <c r="B24" s="10">
        <v>45399</v>
      </c>
      <c r="C24" t="s" s="9">
        <v>20</v>
      </c>
      <c r="D24" s="11">
        <v>4</v>
      </c>
      <c r="E24" s="11">
        <v>2</v>
      </c>
      <c r="F24" s="11">
        <v>1</v>
      </c>
      <c r="G24" s="12">
        <v>45397</v>
      </c>
      <c r="H24" s="13">
        <v>1.003</v>
      </c>
      <c r="I24" s="13">
        <v>0.119</v>
      </c>
      <c r="J24" s="13">
        <v>1.134</v>
      </c>
      <c r="K24" s="20" cm="1">
        <f t="array" ref="K24">J24-H24</f>
        <v>0.131</v>
      </c>
      <c r="L24" s="13">
        <v>0.09</v>
      </c>
      <c r="M24" s="14">
        <v>1.3</v>
      </c>
      <c r="N24" s="13">
        <v>14</v>
      </c>
      <c r="O24" s="20" cm="1">
        <f t="array" ref="O24">K24-I24</f>
        <v>0.012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ht="13.65" customHeight="1">
      <c r="A25" t="s" s="16">
        <v>18</v>
      </c>
      <c r="B25" s="17">
        <v>45399</v>
      </c>
      <c r="C25" t="s" s="16">
        <v>20</v>
      </c>
      <c r="D25" s="18">
        <v>4</v>
      </c>
      <c r="E25" s="18">
        <v>2</v>
      </c>
      <c r="F25" s="18">
        <v>2</v>
      </c>
      <c r="G25" s="19">
        <v>45397</v>
      </c>
      <c r="H25" s="20">
        <v>0.98</v>
      </c>
      <c r="I25" s="20">
        <v>0.12</v>
      </c>
      <c r="J25" s="20">
        <v>1.113</v>
      </c>
      <c r="K25" s="20" cm="1">
        <f t="array" ref="K25">J25-H25</f>
        <v>0.133</v>
      </c>
      <c r="L25" s="20">
        <v>0.093</v>
      </c>
      <c r="M25" s="21">
        <v>1.3</v>
      </c>
      <c r="N25" s="20">
        <v>14</v>
      </c>
      <c r="O25" s="20" cm="1">
        <f t="array" ref="O25">K25-I25</f>
        <v>0.013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ht="13.65" customHeight="1">
      <c r="A26" t="s" s="16">
        <v>18</v>
      </c>
      <c r="B26" s="17">
        <v>45399</v>
      </c>
      <c r="C26" t="s" s="16">
        <v>20</v>
      </c>
      <c r="D26" s="18">
        <v>4</v>
      </c>
      <c r="E26" s="18">
        <v>2</v>
      </c>
      <c r="F26" s="18">
        <v>3</v>
      </c>
      <c r="G26" s="19">
        <v>45397</v>
      </c>
      <c r="H26" s="20">
        <v>1.007</v>
      </c>
      <c r="I26" s="20">
        <v>0.12</v>
      </c>
      <c r="J26" s="20">
        <v>1.138</v>
      </c>
      <c r="K26" s="20" cm="1">
        <f t="array" ref="K26">J26-H26</f>
        <v>0.131</v>
      </c>
      <c r="L26" s="20">
        <v>0.09</v>
      </c>
      <c r="M26" s="21">
        <v>1.3</v>
      </c>
      <c r="N26" s="20">
        <v>14</v>
      </c>
      <c r="O26" s="20" cm="1">
        <f t="array" ref="O26">K26-I26</f>
        <v>0.011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ht="13.65" customHeight="1">
      <c r="A27" t="s" s="22">
        <v>18</v>
      </c>
      <c r="B27" s="23">
        <v>45399</v>
      </c>
      <c r="C27" t="s" s="22">
        <v>20</v>
      </c>
      <c r="D27" s="24">
        <v>4</v>
      </c>
      <c r="E27" s="24">
        <v>2</v>
      </c>
      <c r="F27" s="24">
        <v>4</v>
      </c>
      <c r="G27" s="25">
        <v>45397</v>
      </c>
      <c r="H27" s="26">
        <v>1.016</v>
      </c>
      <c r="I27" s="26">
        <v>0.122</v>
      </c>
      <c r="J27" s="26">
        <v>1.15</v>
      </c>
      <c r="K27" s="20" cm="1">
        <f t="array" ref="K27">J27-H27</f>
        <v>0.134</v>
      </c>
      <c r="L27" s="26">
        <v>0.09</v>
      </c>
      <c r="M27" s="21">
        <v>1.3</v>
      </c>
      <c r="N27" s="26">
        <v>14</v>
      </c>
      <c r="O27" s="20" cm="1">
        <f t="array" ref="O27">K27-I27</f>
        <v>0.012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 ht="13.65" customHeight="1">
      <c r="A28" t="s" s="9">
        <v>18</v>
      </c>
      <c r="B28" s="10">
        <v>45399</v>
      </c>
      <c r="C28" t="s" s="9">
        <v>20</v>
      </c>
      <c r="D28" s="11">
        <v>8</v>
      </c>
      <c r="E28" s="11">
        <v>1</v>
      </c>
      <c r="F28" s="11">
        <v>1</v>
      </c>
      <c r="G28" s="12">
        <v>45397</v>
      </c>
      <c r="H28" s="13">
        <v>1.014</v>
      </c>
      <c r="I28" s="13">
        <v>0.122</v>
      </c>
      <c r="J28" s="13">
        <v>1.146</v>
      </c>
      <c r="K28" s="20" cm="1">
        <f t="array" ref="K28">J28-H28</f>
        <v>0.132</v>
      </c>
      <c r="L28" s="13">
        <v>0.061</v>
      </c>
      <c r="M28" s="21">
        <v>1.47</v>
      </c>
      <c r="N28" s="13">
        <v>14</v>
      </c>
      <c r="O28" s="20" cm="1">
        <f t="array" ref="O28">K28-I28</f>
        <v>0.01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ht="13.65" customHeight="1">
      <c r="A29" t="s" s="16">
        <v>18</v>
      </c>
      <c r="B29" s="17">
        <v>45399</v>
      </c>
      <c r="C29" t="s" s="16">
        <v>20</v>
      </c>
      <c r="D29" s="18">
        <v>8</v>
      </c>
      <c r="E29" s="18">
        <v>1</v>
      </c>
      <c r="F29" s="18">
        <v>2</v>
      </c>
      <c r="G29" s="19">
        <v>45397</v>
      </c>
      <c r="H29" s="20">
        <v>1.006</v>
      </c>
      <c r="I29" s="20">
        <v>0.12</v>
      </c>
      <c r="J29" s="20">
        <v>1.137</v>
      </c>
      <c r="K29" s="20" cm="1">
        <f t="array" ref="K29">J29-H29</f>
        <v>0.131</v>
      </c>
      <c r="L29" s="20">
        <v>0.06</v>
      </c>
      <c r="M29" s="21">
        <v>1.47</v>
      </c>
      <c r="N29" s="20">
        <v>14</v>
      </c>
      <c r="O29" s="20" cm="1">
        <f t="array" ref="O29">K29-I29</f>
        <v>0.011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ht="13.65" customHeight="1">
      <c r="A30" t="s" s="16">
        <v>18</v>
      </c>
      <c r="B30" s="17">
        <v>45399</v>
      </c>
      <c r="C30" t="s" s="16">
        <v>20</v>
      </c>
      <c r="D30" s="18">
        <v>8</v>
      </c>
      <c r="E30" s="18">
        <v>1</v>
      </c>
      <c r="F30" s="18">
        <v>3</v>
      </c>
      <c r="G30" s="19">
        <v>45397</v>
      </c>
      <c r="H30" s="20">
        <v>1.027</v>
      </c>
      <c r="I30" s="20">
        <v>0.12</v>
      </c>
      <c r="J30" s="20">
        <v>1.157</v>
      </c>
      <c r="K30" s="20" cm="1">
        <f t="array" ref="K30">J30-H30</f>
        <v>0.13</v>
      </c>
      <c r="L30" s="20">
        <v>0.059</v>
      </c>
      <c r="M30" s="21">
        <v>1.47</v>
      </c>
      <c r="N30" s="20">
        <v>14</v>
      </c>
      <c r="O30" s="20" cm="1">
        <f t="array" ref="O30">K30-I30</f>
        <v>0.01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ht="13.65" customHeight="1">
      <c r="A31" t="s" s="22">
        <v>18</v>
      </c>
      <c r="B31" s="23">
        <v>45399</v>
      </c>
      <c r="C31" t="s" s="22">
        <v>20</v>
      </c>
      <c r="D31" s="24">
        <v>8</v>
      </c>
      <c r="E31" s="24">
        <v>1</v>
      </c>
      <c r="F31" s="24">
        <v>4</v>
      </c>
      <c r="G31" s="25">
        <v>45397</v>
      </c>
      <c r="H31" s="26">
        <v>1.004</v>
      </c>
      <c r="I31" s="26">
        <v>0.12</v>
      </c>
      <c r="J31" s="26">
        <v>1.134</v>
      </c>
      <c r="K31" s="20" cm="1">
        <f t="array" ref="K31">J31-H31</f>
        <v>0.13</v>
      </c>
      <c r="L31" s="26">
        <v>0.06</v>
      </c>
      <c r="M31" s="27">
        <v>1.47</v>
      </c>
      <c r="N31" s="26">
        <v>14</v>
      </c>
      <c r="O31" s="20" cm="1">
        <f t="array" ref="O31">K31-I31</f>
        <v>0.01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 ht="13.65" customHeight="1">
      <c r="A32" t="s" s="9">
        <v>18</v>
      </c>
      <c r="B32" s="10">
        <v>45399</v>
      </c>
      <c r="C32" t="s" s="9">
        <v>20</v>
      </c>
      <c r="D32" s="11">
        <v>8</v>
      </c>
      <c r="E32" s="11">
        <v>2</v>
      </c>
      <c r="F32" s="11">
        <v>1</v>
      </c>
      <c r="G32" s="12">
        <v>45397</v>
      </c>
      <c r="H32" s="13">
        <v>1.016</v>
      </c>
      <c r="I32" s="13">
        <v>0.122</v>
      </c>
      <c r="J32" s="13">
        <v>1.147</v>
      </c>
      <c r="K32" s="20" cm="1">
        <f t="array" ref="K32">J32-H32</f>
        <v>0.131</v>
      </c>
      <c r="L32" s="13">
        <v>0.06</v>
      </c>
      <c r="M32" s="14">
        <v>1.5</v>
      </c>
      <c r="N32" s="13">
        <v>14</v>
      </c>
      <c r="O32" s="20" cm="1">
        <f t="array" ref="O32">K32-I32</f>
        <v>0.008999999999999999</v>
      </c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ht="13.65" customHeight="1">
      <c r="A33" t="s" s="16">
        <v>18</v>
      </c>
      <c r="B33" s="17">
        <v>45399</v>
      </c>
      <c r="C33" t="s" s="16">
        <v>20</v>
      </c>
      <c r="D33" s="18">
        <v>8</v>
      </c>
      <c r="E33" s="18">
        <v>2</v>
      </c>
      <c r="F33" s="18">
        <v>2</v>
      </c>
      <c r="G33" s="19">
        <v>45397</v>
      </c>
      <c r="H33" s="20">
        <v>1.013</v>
      </c>
      <c r="I33" s="20">
        <v>0.121</v>
      </c>
      <c r="J33" s="20">
        <v>1.145</v>
      </c>
      <c r="K33" s="20" cm="1">
        <f t="array" ref="K33">J33-H33</f>
        <v>0.132</v>
      </c>
      <c r="L33" s="20">
        <v>0.066</v>
      </c>
      <c r="M33" s="21">
        <v>1.5</v>
      </c>
      <c r="N33" s="20">
        <v>14</v>
      </c>
      <c r="O33" s="20" cm="1">
        <f t="array" ref="O33">K33-I33</f>
        <v>0.011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ht="13.65" customHeight="1">
      <c r="A34" t="s" s="16">
        <v>18</v>
      </c>
      <c r="B34" s="17">
        <v>45399</v>
      </c>
      <c r="C34" t="s" s="16">
        <v>20</v>
      </c>
      <c r="D34" s="18">
        <v>8</v>
      </c>
      <c r="E34" s="18">
        <v>2</v>
      </c>
      <c r="F34" s="18">
        <v>3</v>
      </c>
      <c r="G34" s="19">
        <v>45397</v>
      </c>
      <c r="H34" s="20">
        <v>1.01</v>
      </c>
      <c r="I34" s="20">
        <v>0.121</v>
      </c>
      <c r="J34" s="20">
        <v>1.143</v>
      </c>
      <c r="K34" s="20" cm="1">
        <f t="array" ref="K34">J34-H34</f>
        <v>0.133</v>
      </c>
      <c r="L34" s="20">
        <v>0.062</v>
      </c>
      <c r="M34" s="21">
        <v>1.5</v>
      </c>
      <c r="N34" s="20">
        <v>14</v>
      </c>
      <c r="O34" s="20" cm="1">
        <f t="array" ref="O34">K34-I34</f>
        <v>0.012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ht="13.65" customHeight="1">
      <c r="A35" t="s" s="22">
        <v>18</v>
      </c>
      <c r="B35" s="23">
        <v>45399</v>
      </c>
      <c r="C35" t="s" s="22">
        <v>20</v>
      </c>
      <c r="D35" s="24">
        <v>8</v>
      </c>
      <c r="E35" s="24">
        <v>2</v>
      </c>
      <c r="F35" s="24">
        <v>4</v>
      </c>
      <c r="G35" s="25">
        <v>45397</v>
      </c>
      <c r="H35" s="26">
        <v>0.99</v>
      </c>
      <c r="I35" s="26">
        <v>0.12</v>
      </c>
      <c r="J35" s="26">
        <v>1.119</v>
      </c>
      <c r="K35" s="20" cm="1">
        <f t="array" ref="K35">J35-H35</f>
        <v>0.129</v>
      </c>
      <c r="L35" s="26">
        <v>0.06</v>
      </c>
      <c r="M35" s="27">
        <v>1.5</v>
      </c>
      <c r="N35" s="26">
        <v>14</v>
      </c>
      <c r="O35" s="20" cm="1">
        <f t="array" ref="O35">K35-I35</f>
        <v>0.008999999999999999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 ht="13.65" customHeight="1">
      <c r="A36" t="s" s="9">
        <v>21</v>
      </c>
      <c r="B36" s="28">
        <v>45413</v>
      </c>
      <c r="C36" t="s" s="9">
        <v>19</v>
      </c>
      <c r="D36" s="11">
        <v>4</v>
      </c>
      <c r="E36" s="11">
        <v>1</v>
      </c>
      <c r="F36" s="11">
        <v>1</v>
      </c>
      <c r="G36" s="12">
        <v>45411</v>
      </c>
      <c r="H36" s="13">
        <v>1.018</v>
      </c>
      <c r="I36" s="13">
        <v>0.122</v>
      </c>
      <c r="J36" s="13">
        <v>1.144</v>
      </c>
      <c r="K36" s="20" cm="1">
        <f t="array" ref="K36">J36-H36</f>
        <v>0.126</v>
      </c>
      <c r="L36" s="13">
        <v>0.15</v>
      </c>
      <c r="M36" s="14">
        <v>1.1</v>
      </c>
      <c r="N36" s="13">
        <v>14</v>
      </c>
      <c r="O36" s="20" cm="1">
        <f t="array" ref="O36">K36-I36</f>
        <v>0.004</v>
      </c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ht="13.65" customHeight="1">
      <c r="A37" t="s" s="16">
        <v>21</v>
      </c>
      <c r="B37" s="29">
        <v>45413</v>
      </c>
      <c r="C37" t="s" s="16">
        <v>19</v>
      </c>
      <c r="D37" s="18">
        <v>4</v>
      </c>
      <c r="E37" s="18">
        <v>1</v>
      </c>
      <c r="F37" s="18">
        <v>2</v>
      </c>
      <c r="G37" s="19">
        <v>45411</v>
      </c>
      <c r="H37" s="20">
        <v>0.986</v>
      </c>
      <c r="I37" s="20">
        <v>0.121</v>
      </c>
      <c r="J37" s="20">
        <v>1.112</v>
      </c>
      <c r="K37" s="20" cm="1">
        <f t="array" ref="K37">J37-H37</f>
        <v>0.126</v>
      </c>
      <c r="L37" s="20">
        <v>0.15</v>
      </c>
      <c r="M37" s="21">
        <v>1.1</v>
      </c>
      <c r="N37" s="20">
        <v>14</v>
      </c>
      <c r="O37" s="20" cm="1">
        <f t="array" ref="O37">K37-I37</f>
        <v>0.005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ht="13.65" customHeight="1">
      <c r="A38" t="s" s="16">
        <v>21</v>
      </c>
      <c r="B38" s="29">
        <v>45413</v>
      </c>
      <c r="C38" t="s" s="16">
        <v>19</v>
      </c>
      <c r="D38" s="18">
        <v>4</v>
      </c>
      <c r="E38" s="18">
        <v>1</v>
      </c>
      <c r="F38" s="18">
        <v>3</v>
      </c>
      <c r="G38" s="19">
        <v>45411</v>
      </c>
      <c r="H38" s="20">
        <v>0.978</v>
      </c>
      <c r="I38" s="20">
        <v>0.121</v>
      </c>
      <c r="J38" s="20">
        <v>1.105</v>
      </c>
      <c r="K38" s="20" cm="1">
        <f t="array" ref="K38">J38-H38</f>
        <v>0.127</v>
      </c>
      <c r="L38" s="20">
        <v>0.152</v>
      </c>
      <c r="M38" s="21">
        <v>1.1</v>
      </c>
      <c r="N38" s="20">
        <v>14</v>
      </c>
      <c r="O38" s="20" cm="1">
        <f t="array" ref="O38">K38-I38</f>
        <v>0.006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ht="13.65" customHeight="1">
      <c r="A39" t="s" s="22">
        <v>21</v>
      </c>
      <c r="B39" s="30">
        <v>45413</v>
      </c>
      <c r="C39" t="s" s="22">
        <v>19</v>
      </c>
      <c r="D39" s="24">
        <v>4</v>
      </c>
      <c r="E39" s="24">
        <v>1</v>
      </c>
      <c r="F39" s="24">
        <v>4</v>
      </c>
      <c r="G39" s="25">
        <v>45411</v>
      </c>
      <c r="H39" s="26">
        <v>0.984</v>
      </c>
      <c r="I39" s="26">
        <v>0.121</v>
      </c>
      <c r="J39" s="26">
        <v>1.112</v>
      </c>
      <c r="K39" s="20" cm="1">
        <f t="array" ref="K39">J39-H39</f>
        <v>0.128</v>
      </c>
      <c r="L39" s="26">
        <v>0.15</v>
      </c>
      <c r="M39" s="27">
        <v>1.1</v>
      </c>
      <c r="N39" s="26">
        <v>14</v>
      </c>
      <c r="O39" s="20" cm="1">
        <f t="array" ref="O39">K39-I39</f>
        <v>0.007</v>
      </c>
      <c r="P39" s="6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ht="13.65" customHeight="1">
      <c r="A40" t="s" s="9">
        <v>21</v>
      </c>
      <c r="B40" s="28">
        <v>45413</v>
      </c>
      <c r="C40" t="s" s="9">
        <v>19</v>
      </c>
      <c r="D40" s="11">
        <v>4</v>
      </c>
      <c r="E40" s="11">
        <v>2</v>
      </c>
      <c r="F40" s="11">
        <v>1</v>
      </c>
      <c r="G40" s="12">
        <v>45411</v>
      </c>
      <c r="H40" s="13">
        <v>1.029</v>
      </c>
      <c r="I40" s="13">
        <v>0.122</v>
      </c>
      <c r="J40" s="13">
        <v>1.157</v>
      </c>
      <c r="K40" s="20" cm="1">
        <f t="array" ref="K40">J40-H40</f>
        <v>0.128</v>
      </c>
      <c r="L40" s="13">
        <v>0.155</v>
      </c>
      <c r="M40" s="13">
        <v>1.17</v>
      </c>
      <c r="N40" s="13">
        <v>14</v>
      </c>
      <c r="O40" s="20" cm="1">
        <f t="array" ref="O40">K40-I40</f>
        <v>0.006</v>
      </c>
      <c r="P40" s="15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ht="13.65" customHeight="1">
      <c r="A41" t="s" s="16">
        <v>21</v>
      </c>
      <c r="B41" s="29">
        <v>45413</v>
      </c>
      <c r="C41" t="s" s="16">
        <v>19</v>
      </c>
      <c r="D41" s="18">
        <v>4</v>
      </c>
      <c r="E41" s="18">
        <v>2</v>
      </c>
      <c r="F41" s="18">
        <v>2</v>
      </c>
      <c r="G41" s="19">
        <v>45411</v>
      </c>
      <c r="H41" s="20">
        <v>1.028</v>
      </c>
      <c r="I41" s="20">
        <v>0.121</v>
      </c>
      <c r="J41" s="20">
        <v>1.155</v>
      </c>
      <c r="K41" s="20" cm="1">
        <f t="array" ref="K41">J41-H41</f>
        <v>0.127</v>
      </c>
      <c r="L41" s="20">
        <v>0.155</v>
      </c>
      <c r="M41" s="20">
        <v>1.17</v>
      </c>
      <c r="N41" s="20">
        <v>14</v>
      </c>
      <c r="O41" s="20" cm="1">
        <f t="array" ref="O41">K41-I41</f>
        <v>0.006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ht="13.65" customHeight="1">
      <c r="A42" t="s" s="16">
        <v>21</v>
      </c>
      <c r="B42" s="29">
        <v>45413</v>
      </c>
      <c r="C42" t="s" s="16">
        <v>19</v>
      </c>
      <c r="D42" s="18">
        <v>4</v>
      </c>
      <c r="E42" s="18">
        <v>2</v>
      </c>
      <c r="F42" s="18">
        <v>3</v>
      </c>
      <c r="G42" s="19">
        <v>45411</v>
      </c>
      <c r="H42" s="20">
        <v>1.025</v>
      </c>
      <c r="I42" s="20">
        <v>0.12</v>
      </c>
      <c r="J42" s="20">
        <v>1.152</v>
      </c>
      <c r="K42" s="20" cm="1">
        <f t="array" ref="K42">J42-H42</f>
        <v>0.127</v>
      </c>
      <c r="L42" s="20">
        <v>0.15</v>
      </c>
      <c r="M42" s="20">
        <v>1.17</v>
      </c>
      <c r="N42" s="20">
        <v>14</v>
      </c>
      <c r="O42" s="20" cm="1">
        <f t="array" ref="O42">K42-I42</f>
        <v>0.007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ht="13.65" customHeight="1">
      <c r="A43" t="s" s="22">
        <v>21</v>
      </c>
      <c r="B43" s="30">
        <v>45413</v>
      </c>
      <c r="C43" t="s" s="22">
        <v>19</v>
      </c>
      <c r="D43" s="24">
        <v>4</v>
      </c>
      <c r="E43" s="24">
        <v>2</v>
      </c>
      <c r="F43" s="24">
        <v>4</v>
      </c>
      <c r="G43" s="25">
        <v>45411</v>
      </c>
      <c r="H43" s="26">
        <v>1.016</v>
      </c>
      <c r="I43" s="26">
        <v>0.122</v>
      </c>
      <c r="J43" s="26">
        <v>1.143</v>
      </c>
      <c r="K43" s="20" cm="1">
        <f t="array" ref="K43">J43-H43</f>
        <v>0.127</v>
      </c>
      <c r="L43" s="26">
        <v>0.155</v>
      </c>
      <c r="M43" s="26">
        <v>1.17</v>
      </c>
      <c r="N43" s="26">
        <v>14</v>
      </c>
      <c r="O43" s="20" cm="1">
        <f t="array" ref="O43">K43-I43</f>
        <v>0.005</v>
      </c>
      <c r="P43" s="6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ht="13.65" customHeight="1">
      <c r="A44" t="s" s="9">
        <v>21</v>
      </c>
      <c r="B44" s="28">
        <v>45413</v>
      </c>
      <c r="C44" t="s" s="9">
        <v>20</v>
      </c>
      <c r="D44" s="11">
        <v>8</v>
      </c>
      <c r="E44" s="11">
        <v>1</v>
      </c>
      <c r="F44" s="11">
        <v>1</v>
      </c>
      <c r="G44" s="12">
        <v>45411</v>
      </c>
      <c r="H44" s="13">
        <v>1.015</v>
      </c>
      <c r="I44" s="13">
        <v>0.121</v>
      </c>
      <c r="J44" s="13">
        <v>1.143</v>
      </c>
      <c r="K44" s="20" cm="1">
        <f t="array" ref="K44">J44-H44</f>
        <v>0.128</v>
      </c>
      <c r="L44" s="13">
        <v>0.06</v>
      </c>
      <c r="M44" s="14">
        <v>1.556</v>
      </c>
      <c r="N44" s="13">
        <v>14</v>
      </c>
      <c r="O44" s="20" cm="1">
        <f t="array" ref="O44">K44-I44</f>
        <v>0.007</v>
      </c>
      <c r="P44" s="15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ht="13.65" customHeight="1">
      <c r="A45" t="s" s="16">
        <v>21</v>
      </c>
      <c r="B45" s="29">
        <v>45413</v>
      </c>
      <c r="C45" t="s" s="16">
        <v>20</v>
      </c>
      <c r="D45" s="18">
        <v>8</v>
      </c>
      <c r="E45" s="18">
        <v>1</v>
      </c>
      <c r="F45" s="18">
        <v>2</v>
      </c>
      <c r="G45" s="19">
        <v>45411</v>
      </c>
      <c r="H45" s="20">
        <v>1.006</v>
      </c>
      <c r="I45" s="20">
        <v>0.122</v>
      </c>
      <c r="J45" s="20">
        <v>1.134</v>
      </c>
      <c r="K45" s="20" cm="1">
        <f t="array" ref="K45">J45-H45</f>
        <v>0.128</v>
      </c>
      <c r="L45" s="20">
        <v>0.055</v>
      </c>
      <c r="M45" s="21">
        <v>1.556</v>
      </c>
      <c r="N45" s="20">
        <v>14</v>
      </c>
      <c r="O45" s="20" cm="1">
        <f t="array" ref="O45">K45-I45</f>
        <v>0.006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ht="13.65" customHeight="1">
      <c r="A46" t="s" s="16">
        <v>21</v>
      </c>
      <c r="B46" s="29">
        <v>45413</v>
      </c>
      <c r="C46" t="s" s="16">
        <v>20</v>
      </c>
      <c r="D46" s="18">
        <v>8</v>
      </c>
      <c r="E46" s="18">
        <v>1</v>
      </c>
      <c r="F46" s="18">
        <v>3</v>
      </c>
      <c r="G46" s="19">
        <v>45411</v>
      </c>
      <c r="H46" s="20">
        <v>1</v>
      </c>
      <c r="I46" s="20">
        <v>0.122</v>
      </c>
      <c r="J46" s="20">
        <v>1.128</v>
      </c>
      <c r="K46" s="20" cm="1">
        <f t="array" ref="K46">J46-H46</f>
        <v>0.128</v>
      </c>
      <c r="L46" s="20">
        <v>0.055</v>
      </c>
      <c r="M46" s="21">
        <v>1.556</v>
      </c>
      <c r="N46" s="20">
        <v>14</v>
      </c>
      <c r="O46" s="20" cm="1">
        <f t="array" ref="O46">K46-I46</f>
        <v>0.006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ht="13.65" customHeight="1">
      <c r="A47" t="s" s="22">
        <v>21</v>
      </c>
      <c r="B47" s="30">
        <v>45413</v>
      </c>
      <c r="C47" t="s" s="22">
        <v>20</v>
      </c>
      <c r="D47" s="24">
        <v>8</v>
      </c>
      <c r="E47" s="24">
        <v>1</v>
      </c>
      <c r="F47" s="24">
        <v>4</v>
      </c>
      <c r="G47" s="25">
        <v>45411</v>
      </c>
      <c r="H47" s="26">
        <v>0.978</v>
      </c>
      <c r="I47" s="26">
        <v>0.122</v>
      </c>
      <c r="J47" s="26">
        <v>1.109</v>
      </c>
      <c r="K47" s="20" cm="1">
        <f t="array" ref="K47">J47-H47</f>
        <v>0.131</v>
      </c>
      <c r="L47" s="26">
        <v>0.06</v>
      </c>
      <c r="M47" s="27">
        <v>1.556</v>
      </c>
      <c r="N47" s="26">
        <v>14</v>
      </c>
      <c r="O47" s="20" cm="1">
        <f t="array" ref="O47">K47-I47</f>
        <v>0.008999999999999999</v>
      </c>
      <c r="P47" s="6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ht="13.65" customHeight="1">
      <c r="A48" t="s" s="9">
        <v>21</v>
      </c>
      <c r="B48" s="28">
        <v>45413</v>
      </c>
      <c r="C48" t="s" s="9">
        <v>20</v>
      </c>
      <c r="D48" s="11">
        <v>8</v>
      </c>
      <c r="E48" s="11">
        <v>2</v>
      </c>
      <c r="F48" s="11">
        <v>1</v>
      </c>
      <c r="G48" s="12">
        <v>45411</v>
      </c>
      <c r="H48" s="13">
        <v>0.978</v>
      </c>
      <c r="I48" s="13">
        <v>0.122</v>
      </c>
      <c r="J48" s="13">
        <v>1.106</v>
      </c>
      <c r="K48" s="20" cm="1">
        <f t="array" ref="K48">J48-H48</f>
        <v>0.128</v>
      </c>
      <c r="L48" s="13">
        <v>0.06</v>
      </c>
      <c r="M48" s="14">
        <v>1.52</v>
      </c>
      <c r="N48" s="13">
        <v>14</v>
      </c>
      <c r="O48" s="20" cm="1">
        <f t="array" ref="O48">K48-I48</f>
        <v>0.006</v>
      </c>
      <c r="P48" s="15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ht="13.65" customHeight="1">
      <c r="A49" t="s" s="16">
        <v>21</v>
      </c>
      <c r="B49" s="29">
        <v>45413</v>
      </c>
      <c r="C49" t="s" s="16">
        <v>20</v>
      </c>
      <c r="D49" s="18">
        <v>8</v>
      </c>
      <c r="E49" s="18">
        <v>2</v>
      </c>
      <c r="F49" s="18">
        <v>2</v>
      </c>
      <c r="G49" s="19">
        <v>45411</v>
      </c>
      <c r="H49" s="20">
        <v>0.98</v>
      </c>
      <c r="I49" s="20">
        <v>0.12</v>
      </c>
      <c r="J49" s="20">
        <v>1.106</v>
      </c>
      <c r="K49" s="20" cm="1">
        <f t="array" ref="K49">J49-H49</f>
        <v>0.126</v>
      </c>
      <c r="L49" s="20">
        <v>0.065</v>
      </c>
      <c r="M49" s="21">
        <v>1.52</v>
      </c>
      <c r="N49" s="20">
        <v>14</v>
      </c>
      <c r="O49" s="20" cm="1">
        <f t="array" ref="O49">K49-I49</f>
        <v>0.006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ht="13.65" customHeight="1">
      <c r="A50" t="s" s="16">
        <v>21</v>
      </c>
      <c r="B50" s="29">
        <v>45413</v>
      </c>
      <c r="C50" t="s" s="16">
        <v>20</v>
      </c>
      <c r="D50" s="18">
        <v>8</v>
      </c>
      <c r="E50" s="18">
        <v>2</v>
      </c>
      <c r="F50" s="18">
        <v>3</v>
      </c>
      <c r="G50" s="19">
        <v>45411</v>
      </c>
      <c r="H50" s="20">
        <v>0.985</v>
      </c>
      <c r="I50" s="20">
        <v>0.121</v>
      </c>
      <c r="J50" s="20">
        <v>1.111</v>
      </c>
      <c r="K50" s="20" cm="1">
        <f t="array" ref="K50">J50-H50</f>
        <v>0.126</v>
      </c>
      <c r="L50" s="20">
        <v>0.065</v>
      </c>
      <c r="M50" s="21">
        <v>1.52</v>
      </c>
      <c r="N50" s="20">
        <v>14</v>
      </c>
      <c r="O50" s="20" cm="1">
        <f t="array" ref="O50">K50-I50</f>
        <v>0.005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ht="13.65" customHeight="1">
      <c r="A51" t="s" s="22">
        <v>21</v>
      </c>
      <c r="B51" s="30">
        <v>45413</v>
      </c>
      <c r="C51" t="s" s="22">
        <v>20</v>
      </c>
      <c r="D51" s="24">
        <v>8</v>
      </c>
      <c r="E51" s="24">
        <v>2</v>
      </c>
      <c r="F51" s="24">
        <v>4</v>
      </c>
      <c r="G51" s="25">
        <v>45411</v>
      </c>
      <c r="H51" s="26">
        <v>1.012</v>
      </c>
      <c r="I51" s="26">
        <v>0.122</v>
      </c>
      <c r="J51" s="26">
        <v>1.139</v>
      </c>
      <c r="K51" s="20" cm="1">
        <f t="array" ref="K51">J51-H51</f>
        <v>0.127</v>
      </c>
      <c r="L51" s="26">
        <v>0.06</v>
      </c>
      <c r="M51" s="27">
        <v>1.52</v>
      </c>
      <c r="N51" s="26">
        <v>14</v>
      </c>
      <c r="O51" s="20" cm="1">
        <f t="array" ref="O51">K51-I51</f>
        <v>0.005</v>
      </c>
      <c r="P51" s="6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ht="13.65" customHeight="1">
      <c r="A52" t="s" s="9">
        <v>21</v>
      </c>
      <c r="B52" s="28">
        <v>45413</v>
      </c>
      <c r="C52" t="s" s="9">
        <v>20</v>
      </c>
      <c r="D52" s="11">
        <v>4</v>
      </c>
      <c r="E52" s="11">
        <v>1</v>
      </c>
      <c r="F52" s="11">
        <v>1</v>
      </c>
      <c r="G52" s="12">
        <v>45411</v>
      </c>
      <c r="H52" s="13">
        <v>1</v>
      </c>
      <c r="I52" s="13">
        <v>0.121</v>
      </c>
      <c r="J52" s="13">
        <v>1.128</v>
      </c>
      <c r="K52" s="20" cm="1">
        <f t="array" ref="K52">J52-H52</f>
        <v>0.128</v>
      </c>
      <c r="L52" s="13">
        <v>0.11</v>
      </c>
      <c r="M52" s="13">
        <v>1.31</v>
      </c>
      <c r="N52" s="13">
        <v>14</v>
      </c>
      <c r="O52" s="20" cm="1">
        <f t="array" ref="O52">K52-I52</f>
        <v>0.007</v>
      </c>
      <c r="P52" s="15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ht="13.65" customHeight="1">
      <c r="A53" t="s" s="16">
        <v>21</v>
      </c>
      <c r="B53" s="29">
        <v>45413</v>
      </c>
      <c r="C53" t="s" s="16">
        <v>20</v>
      </c>
      <c r="D53" s="18">
        <v>4</v>
      </c>
      <c r="E53" s="18">
        <v>1</v>
      </c>
      <c r="F53" s="18">
        <v>2</v>
      </c>
      <c r="G53" s="19">
        <v>45411</v>
      </c>
      <c r="H53" s="20">
        <v>1.009</v>
      </c>
      <c r="I53" s="20">
        <v>0.122</v>
      </c>
      <c r="J53" s="20">
        <v>1.137</v>
      </c>
      <c r="K53" s="20" cm="1">
        <f t="array" ref="K53">J53-H53</f>
        <v>0.128</v>
      </c>
      <c r="L53" s="20">
        <v>0.105</v>
      </c>
      <c r="M53" s="20">
        <v>1.31</v>
      </c>
      <c r="N53" s="20">
        <v>14</v>
      </c>
      <c r="O53" s="20" cm="1">
        <f t="array" ref="O53">K53-I53</f>
        <v>0.006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ht="13.65" customHeight="1">
      <c r="A54" t="s" s="16">
        <v>21</v>
      </c>
      <c r="B54" s="29">
        <v>45413</v>
      </c>
      <c r="C54" t="s" s="16">
        <v>20</v>
      </c>
      <c r="D54" s="18">
        <v>4</v>
      </c>
      <c r="E54" s="18">
        <v>1</v>
      </c>
      <c r="F54" s="18">
        <v>3</v>
      </c>
      <c r="G54" s="19">
        <v>45411</v>
      </c>
      <c r="H54" s="20">
        <v>1.003</v>
      </c>
      <c r="I54" s="20">
        <v>0.12</v>
      </c>
      <c r="J54" s="20">
        <v>1.131</v>
      </c>
      <c r="K54" s="20" cm="1">
        <f t="array" ref="K54">J54-H54</f>
        <v>0.128</v>
      </c>
      <c r="L54" s="20">
        <v>0.1</v>
      </c>
      <c r="M54" s="20">
        <v>1.31</v>
      </c>
      <c r="N54" s="20">
        <v>14</v>
      </c>
      <c r="O54" s="20" cm="1">
        <f t="array" ref="O54">K54-I54</f>
        <v>0.008</v>
      </c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ht="13.65" customHeight="1">
      <c r="A55" t="s" s="22">
        <v>21</v>
      </c>
      <c r="B55" s="30">
        <v>45413</v>
      </c>
      <c r="C55" t="s" s="22">
        <v>20</v>
      </c>
      <c r="D55" s="24">
        <v>4</v>
      </c>
      <c r="E55" s="24">
        <v>1</v>
      </c>
      <c r="F55" s="24">
        <v>4</v>
      </c>
      <c r="G55" s="25">
        <v>45411</v>
      </c>
      <c r="H55" s="26">
        <v>0.995</v>
      </c>
      <c r="I55" s="26">
        <v>0.122</v>
      </c>
      <c r="J55" s="26">
        <v>1.125</v>
      </c>
      <c r="K55" s="20" cm="1">
        <f t="array" ref="K55">J55-H55</f>
        <v>0.13</v>
      </c>
      <c r="L55" s="26">
        <v>0.095</v>
      </c>
      <c r="M55" s="26">
        <v>1.31</v>
      </c>
      <c r="N55" s="26">
        <v>14</v>
      </c>
      <c r="O55" s="20" cm="1">
        <f t="array" ref="O55">K55-I55</f>
        <v>0.008</v>
      </c>
      <c r="P55" s="6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ht="13.65" customHeight="1">
      <c r="A56" t="s" s="9">
        <v>21</v>
      </c>
      <c r="B56" s="28">
        <v>45413</v>
      </c>
      <c r="C56" t="s" s="9">
        <v>20</v>
      </c>
      <c r="D56" s="11">
        <v>4</v>
      </c>
      <c r="E56" s="11">
        <v>2</v>
      </c>
      <c r="F56" s="11">
        <v>1</v>
      </c>
      <c r="G56" s="12">
        <v>45411</v>
      </c>
      <c r="H56" s="13">
        <v>1.01</v>
      </c>
      <c r="I56" s="13">
        <v>0.122</v>
      </c>
      <c r="J56" s="13">
        <v>1.137</v>
      </c>
      <c r="K56" s="20" cm="1">
        <f t="array" ref="K56">J56-H56</f>
        <v>0.127</v>
      </c>
      <c r="L56" s="13">
        <v>0.1</v>
      </c>
      <c r="M56" s="14">
        <v>1.39</v>
      </c>
      <c r="N56" s="13">
        <v>14</v>
      </c>
      <c r="O56" s="20" cm="1">
        <f t="array" ref="O56">K56-I56</f>
        <v>0.005</v>
      </c>
      <c r="P56" s="15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ht="13.65" customHeight="1">
      <c r="A57" t="s" s="16">
        <v>21</v>
      </c>
      <c r="B57" s="29">
        <v>45413</v>
      </c>
      <c r="C57" t="s" s="16">
        <v>20</v>
      </c>
      <c r="D57" s="18">
        <v>4</v>
      </c>
      <c r="E57" s="18">
        <v>2</v>
      </c>
      <c r="F57" s="18">
        <v>2</v>
      </c>
      <c r="G57" s="19">
        <v>45411</v>
      </c>
      <c r="H57" s="20">
        <v>0.996</v>
      </c>
      <c r="I57" s="20">
        <v>0.121</v>
      </c>
      <c r="J57" s="20">
        <v>1.122</v>
      </c>
      <c r="K57" s="20" cm="1">
        <f t="array" ref="K57">J57-H57</f>
        <v>0.126</v>
      </c>
      <c r="L57" s="20">
        <v>0.095</v>
      </c>
      <c r="M57" s="21">
        <v>1.39</v>
      </c>
      <c r="N57" s="20">
        <v>14</v>
      </c>
      <c r="O57" s="20" cm="1">
        <f t="array" ref="O57">K57-I57</f>
        <v>0.005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ht="13.65" customHeight="1">
      <c r="A58" t="s" s="16">
        <v>21</v>
      </c>
      <c r="B58" s="29">
        <v>45413</v>
      </c>
      <c r="C58" t="s" s="16">
        <v>20</v>
      </c>
      <c r="D58" s="18">
        <v>4</v>
      </c>
      <c r="E58" s="18">
        <v>2</v>
      </c>
      <c r="F58" s="18">
        <v>3</v>
      </c>
      <c r="G58" s="19">
        <v>45411</v>
      </c>
      <c r="H58" s="20">
        <v>0.993</v>
      </c>
      <c r="I58" s="20">
        <v>0.121</v>
      </c>
      <c r="J58" s="20">
        <v>1.119</v>
      </c>
      <c r="K58" s="20" cm="1">
        <f t="array" ref="K58">J58-H58</f>
        <v>0.126</v>
      </c>
      <c r="L58" s="20">
        <v>0.1</v>
      </c>
      <c r="M58" s="21">
        <v>1.39</v>
      </c>
      <c r="N58" s="20">
        <v>14</v>
      </c>
      <c r="O58" s="20" cm="1">
        <f t="array" ref="O58">K58-I58</f>
        <v>0.005</v>
      </c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ht="13.65" customHeight="1">
      <c r="A59" t="s" s="22">
        <v>21</v>
      </c>
      <c r="B59" s="30">
        <v>45413</v>
      </c>
      <c r="C59" t="s" s="22">
        <v>20</v>
      </c>
      <c r="D59" s="24">
        <v>4</v>
      </c>
      <c r="E59" s="24">
        <v>2</v>
      </c>
      <c r="F59" s="24">
        <v>4</v>
      </c>
      <c r="G59" s="25">
        <v>45411</v>
      </c>
      <c r="H59" s="26">
        <v>1.023</v>
      </c>
      <c r="I59" s="26">
        <v>0.122</v>
      </c>
      <c r="J59" s="26">
        <v>1.148</v>
      </c>
      <c r="K59" s="20" cm="1">
        <f t="array" ref="K59">J59-H59</f>
        <v>0.125</v>
      </c>
      <c r="L59" s="26">
        <v>0.105</v>
      </c>
      <c r="M59" s="27">
        <v>1.39</v>
      </c>
      <c r="N59" s="26">
        <v>14</v>
      </c>
      <c r="O59" s="20" cm="1">
        <f t="array" ref="O59">K59-I59</f>
        <v>0.003</v>
      </c>
      <c r="P59" s="6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ht="13.65" customHeight="1">
      <c r="A60" t="s" s="9">
        <v>21</v>
      </c>
      <c r="B60" s="28">
        <v>45413</v>
      </c>
      <c r="C60" t="s" s="9">
        <v>19</v>
      </c>
      <c r="D60" s="11">
        <v>8</v>
      </c>
      <c r="E60" s="11">
        <v>1</v>
      </c>
      <c r="F60" s="11">
        <v>1</v>
      </c>
      <c r="G60" s="12">
        <v>45411</v>
      </c>
      <c r="H60" s="13">
        <v>1.016</v>
      </c>
      <c r="I60" s="13">
        <v>0.121</v>
      </c>
      <c r="J60" s="13">
        <v>1.146</v>
      </c>
      <c r="K60" s="20" cm="1">
        <f t="array" ref="K60">J60-H60</f>
        <v>0.13</v>
      </c>
      <c r="L60" s="13">
        <v>0.105</v>
      </c>
      <c r="M60" s="14">
        <v>1.17</v>
      </c>
      <c r="N60" s="13">
        <v>14</v>
      </c>
      <c r="O60" s="20" cm="1">
        <f t="array" ref="O60">K60-I60</f>
        <v>0.008999999999999999</v>
      </c>
      <c r="P60" s="15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ht="13.65" customHeight="1">
      <c r="A61" t="s" s="16">
        <v>21</v>
      </c>
      <c r="B61" s="29">
        <v>45413</v>
      </c>
      <c r="C61" t="s" s="16">
        <v>19</v>
      </c>
      <c r="D61" s="18">
        <v>8</v>
      </c>
      <c r="E61" s="18">
        <v>1</v>
      </c>
      <c r="F61" s="18">
        <v>2</v>
      </c>
      <c r="G61" s="19">
        <v>45411</v>
      </c>
      <c r="H61" s="20">
        <v>1.005</v>
      </c>
      <c r="I61" s="20">
        <v>0.122</v>
      </c>
      <c r="J61" s="20">
        <v>1.135</v>
      </c>
      <c r="K61" s="20" cm="1">
        <f t="array" ref="K61">J61-H61</f>
        <v>0.13</v>
      </c>
      <c r="L61" s="20">
        <v>0.1</v>
      </c>
      <c r="M61" s="21">
        <v>1.17</v>
      </c>
      <c r="N61" s="20">
        <v>14</v>
      </c>
      <c r="O61" s="20" cm="1">
        <f t="array" ref="O61">K61-I61</f>
        <v>0.008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ht="13.65" customHeight="1">
      <c r="A62" t="s" s="16">
        <v>21</v>
      </c>
      <c r="B62" s="29">
        <v>45413</v>
      </c>
      <c r="C62" t="s" s="16">
        <v>19</v>
      </c>
      <c r="D62" s="18">
        <v>8</v>
      </c>
      <c r="E62" s="18">
        <v>1</v>
      </c>
      <c r="F62" s="18">
        <v>3</v>
      </c>
      <c r="G62" s="19">
        <v>45411</v>
      </c>
      <c r="H62" s="20">
        <v>1.001</v>
      </c>
      <c r="I62" s="20">
        <v>0.122</v>
      </c>
      <c r="J62" s="20">
        <v>1.13</v>
      </c>
      <c r="K62" s="20" cm="1">
        <f t="array" ref="K62">J62-H62</f>
        <v>0.129</v>
      </c>
      <c r="L62" s="20">
        <v>0.1</v>
      </c>
      <c r="M62" s="21">
        <v>1.17</v>
      </c>
      <c r="N62" s="20">
        <v>14</v>
      </c>
      <c r="O62" s="20" cm="1">
        <f t="array" ref="O62">K62-I62</f>
        <v>0.007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ht="13.65" customHeight="1">
      <c r="A63" t="s" s="22">
        <v>21</v>
      </c>
      <c r="B63" s="30">
        <v>45413</v>
      </c>
      <c r="C63" t="s" s="22">
        <v>19</v>
      </c>
      <c r="D63" s="24">
        <v>8</v>
      </c>
      <c r="E63" s="24">
        <v>1</v>
      </c>
      <c r="F63" s="24">
        <v>4</v>
      </c>
      <c r="G63" s="25">
        <v>45411</v>
      </c>
      <c r="H63" s="26">
        <v>1</v>
      </c>
      <c r="I63" s="26">
        <v>0.121</v>
      </c>
      <c r="J63" s="26">
        <v>1.131</v>
      </c>
      <c r="K63" s="20" cm="1">
        <f t="array" ref="K63">J63-H63</f>
        <v>0.131</v>
      </c>
      <c r="L63" s="26">
        <v>0.105</v>
      </c>
      <c r="M63" s="27">
        <v>1.17</v>
      </c>
      <c r="N63" s="26">
        <v>14</v>
      </c>
      <c r="O63" s="20" cm="1">
        <f t="array" ref="O63">K63-I63</f>
        <v>0.01</v>
      </c>
      <c r="P63" s="6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ht="13.65" customHeight="1">
      <c r="A64" t="s" s="9">
        <v>21</v>
      </c>
      <c r="B64" s="28">
        <v>45413</v>
      </c>
      <c r="C64" t="s" s="9">
        <v>19</v>
      </c>
      <c r="D64" s="11">
        <v>8</v>
      </c>
      <c r="E64" s="11">
        <v>2</v>
      </c>
      <c r="F64" s="11">
        <v>1</v>
      </c>
      <c r="G64" s="12">
        <v>45411</v>
      </c>
      <c r="H64" s="13">
        <v>1.006</v>
      </c>
      <c r="I64" s="13">
        <v>0.122</v>
      </c>
      <c r="J64" s="13">
        <v>1.137</v>
      </c>
      <c r="K64" s="20" cm="1">
        <f t="array" ref="K64">J64-H64</f>
        <v>0.131</v>
      </c>
      <c r="L64" s="13">
        <v>0.1</v>
      </c>
      <c r="M64" s="14">
        <v>1.35</v>
      </c>
      <c r="N64" s="13">
        <v>14</v>
      </c>
      <c r="O64" s="20" cm="1">
        <f t="array" ref="O64">K64-I64</f>
        <v>0.008999999999999999</v>
      </c>
      <c r="P64" s="15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ht="13.65" customHeight="1">
      <c r="A65" t="s" s="16">
        <v>21</v>
      </c>
      <c r="B65" s="29">
        <v>45413</v>
      </c>
      <c r="C65" t="s" s="16">
        <v>19</v>
      </c>
      <c r="D65" s="18">
        <v>8</v>
      </c>
      <c r="E65" s="18">
        <v>2</v>
      </c>
      <c r="F65" s="18">
        <v>2</v>
      </c>
      <c r="G65" s="19">
        <v>45411</v>
      </c>
      <c r="H65" s="20">
        <v>1</v>
      </c>
      <c r="I65" s="20">
        <v>0.12</v>
      </c>
      <c r="J65" s="20">
        <v>1.13</v>
      </c>
      <c r="K65" s="20" cm="1">
        <f t="array" ref="K65">J65-H65</f>
        <v>0.13</v>
      </c>
      <c r="L65" s="20">
        <v>0.102</v>
      </c>
      <c r="M65" s="21">
        <v>1.35</v>
      </c>
      <c r="N65" s="20">
        <v>14</v>
      </c>
      <c r="O65" s="20" cm="1">
        <f t="array" ref="O65">K65-I65</f>
        <v>0.01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ht="13.65" customHeight="1">
      <c r="A66" t="s" s="16">
        <v>21</v>
      </c>
      <c r="B66" s="29">
        <v>45413</v>
      </c>
      <c r="C66" t="s" s="16">
        <v>19</v>
      </c>
      <c r="D66" s="18">
        <v>8</v>
      </c>
      <c r="E66" s="18">
        <v>2</v>
      </c>
      <c r="F66" s="18">
        <v>3</v>
      </c>
      <c r="G66" s="19">
        <v>45411</v>
      </c>
      <c r="H66" s="20">
        <v>0.999</v>
      </c>
      <c r="I66" s="20">
        <v>0.122</v>
      </c>
      <c r="J66" s="20">
        <v>1.13</v>
      </c>
      <c r="K66" s="20" cm="1">
        <f t="array" ref="K66">J66-H66</f>
        <v>0.131</v>
      </c>
      <c r="L66" s="20">
        <v>0.1</v>
      </c>
      <c r="M66" s="21">
        <v>1.35</v>
      </c>
      <c r="N66" s="20">
        <v>14</v>
      </c>
      <c r="O66" s="20" cm="1">
        <f t="array" ref="O66">K66-I66</f>
        <v>0.008999999999999999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ht="13.65" customHeight="1">
      <c r="A67" t="s" s="22">
        <v>21</v>
      </c>
      <c r="B67" s="30">
        <v>45413</v>
      </c>
      <c r="C67" t="s" s="22">
        <v>19</v>
      </c>
      <c r="D67" s="24">
        <v>8</v>
      </c>
      <c r="E67" s="24">
        <v>2</v>
      </c>
      <c r="F67" s="24">
        <v>4</v>
      </c>
      <c r="G67" s="25">
        <v>45411</v>
      </c>
      <c r="H67" s="26">
        <v>0.997</v>
      </c>
      <c r="I67" s="26">
        <v>0.12</v>
      </c>
      <c r="J67" s="26">
        <v>1.125</v>
      </c>
      <c r="K67" s="20" cm="1">
        <f t="array" ref="K67">J67-H67</f>
        <v>0.128</v>
      </c>
      <c r="L67" s="26">
        <v>0.105</v>
      </c>
      <c r="M67" s="27">
        <v>1.35</v>
      </c>
      <c r="N67" s="20">
        <v>14</v>
      </c>
      <c r="O67" s="20" cm="1">
        <f t="array" ref="O67">K67-I67</f>
        <v>0.008</v>
      </c>
      <c r="P67" s="6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ht="13.65" customHeight="1">
      <c r="A68" t="s" s="9">
        <v>22</v>
      </c>
      <c r="B68" s="28">
        <v>45426</v>
      </c>
      <c r="C68" t="s" s="9">
        <v>23</v>
      </c>
      <c r="D68" s="11">
        <v>4</v>
      </c>
      <c r="E68" s="11">
        <v>1</v>
      </c>
      <c r="F68" s="11">
        <v>1</v>
      </c>
      <c r="G68" s="31">
        <v>45425</v>
      </c>
      <c r="H68" s="13">
        <v>0.998</v>
      </c>
      <c r="I68" s="13">
        <v>0.121</v>
      </c>
      <c r="J68" s="13">
        <v>1.124</v>
      </c>
      <c r="K68" s="20" cm="1">
        <f t="array" ref="K68">J68-H68</f>
        <v>0.126</v>
      </c>
      <c r="L68" s="13">
        <v>0.152</v>
      </c>
      <c r="M68" s="14"/>
      <c r="N68" s="20">
        <v>14</v>
      </c>
      <c r="O68" s="20" cm="1">
        <f t="array" ref="O68">K68-I68</f>
        <v>0.005</v>
      </c>
      <c r="P68" s="15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ht="13.65" customHeight="1">
      <c r="A69" t="s" s="16">
        <v>22</v>
      </c>
      <c r="B69" s="29">
        <v>45426</v>
      </c>
      <c r="C69" t="s" s="16">
        <v>23</v>
      </c>
      <c r="D69" s="18">
        <v>4</v>
      </c>
      <c r="E69" s="18">
        <v>1</v>
      </c>
      <c r="F69" s="18">
        <v>2</v>
      </c>
      <c r="G69" s="32">
        <v>45425</v>
      </c>
      <c r="H69" s="20">
        <v>1.009</v>
      </c>
      <c r="I69" s="20">
        <v>0.121</v>
      </c>
      <c r="J69" s="20">
        <v>1.135</v>
      </c>
      <c r="K69" s="20" cm="1">
        <f t="array" ref="K69">J69-H69</f>
        <v>0.126</v>
      </c>
      <c r="L69" s="20">
        <v>0.151</v>
      </c>
      <c r="M69" s="21"/>
      <c r="N69" s="20">
        <v>14</v>
      </c>
      <c r="O69" s="20" cm="1">
        <f t="array" ref="O69">K69-I69</f>
        <v>0.005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ht="13.65" customHeight="1">
      <c r="A70" t="s" s="16">
        <v>22</v>
      </c>
      <c r="B70" s="29">
        <v>45426</v>
      </c>
      <c r="C70" t="s" s="16">
        <v>23</v>
      </c>
      <c r="D70" s="18">
        <v>4</v>
      </c>
      <c r="E70" s="18">
        <v>1</v>
      </c>
      <c r="F70" s="18">
        <v>3</v>
      </c>
      <c r="G70" s="32">
        <v>45425</v>
      </c>
      <c r="H70" s="20">
        <v>1.015</v>
      </c>
      <c r="I70" s="20">
        <v>0.121</v>
      </c>
      <c r="J70" s="20">
        <v>1.14</v>
      </c>
      <c r="K70" s="20" cm="1">
        <f t="array" ref="K70">J70-H70</f>
        <v>0.125</v>
      </c>
      <c r="L70" s="20">
        <v>0.152</v>
      </c>
      <c r="M70" s="21"/>
      <c r="N70" s="20">
        <v>14</v>
      </c>
      <c r="O70" s="20" cm="1">
        <f t="array" ref="O70">K70-I70</f>
        <v>0.004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ht="13.65" customHeight="1">
      <c r="A71" t="s" s="22">
        <v>22</v>
      </c>
      <c r="B71" s="30">
        <v>45426</v>
      </c>
      <c r="C71" t="s" s="22">
        <v>23</v>
      </c>
      <c r="D71" s="24">
        <v>4</v>
      </c>
      <c r="E71" s="24">
        <v>1</v>
      </c>
      <c r="F71" s="24">
        <v>4</v>
      </c>
      <c r="G71" s="33">
        <v>45425</v>
      </c>
      <c r="H71" s="26">
        <v>1.003</v>
      </c>
      <c r="I71" s="26">
        <v>0.122</v>
      </c>
      <c r="J71" s="26">
        <v>1.13</v>
      </c>
      <c r="K71" s="20" cm="1">
        <f t="array" ref="K71">J71-H71</f>
        <v>0.127</v>
      </c>
      <c r="L71" s="26">
        <v>0.151</v>
      </c>
      <c r="M71" s="27"/>
      <c r="N71" s="26">
        <v>14</v>
      </c>
      <c r="O71" s="20" cm="1">
        <f t="array" ref="O71">K71-I71</f>
        <v>0.005</v>
      </c>
      <c r="P71" s="6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ht="13.65" customHeight="1">
      <c r="A72" t="s" s="9">
        <v>22</v>
      </c>
      <c r="B72" s="28">
        <v>45426</v>
      </c>
      <c r="C72" t="s" s="9">
        <v>23</v>
      </c>
      <c r="D72" s="11">
        <v>4</v>
      </c>
      <c r="E72" s="11">
        <v>2</v>
      </c>
      <c r="F72" s="11">
        <v>1</v>
      </c>
      <c r="G72" s="31">
        <v>45425</v>
      </c>
      <c r="H72" s="13">
        <v>0.984</v>
      </c>
      <c r="I72" s="13">
        <v>0.121</v>
      </c>
      <c r="J72" s="13">
        <v>1.109</v>
      </c>
      <c r="K72" s="20" cm="1">
        <f t="array" ref="K72">J72-H72</f>
        <v>0.125</v>
      </c>
      <c r="L72" s="13">
        <v>0.149</v>
      </c>
      <c r="M72" s="14">
        <v>1.1</v>
      </c>
      <c r="N72" s="13">
        <v>14</v>
      </c>
      <c r="O72" s="20" cm="1">
        <f t="array" ref="O72">K72-I72</f>
        <v>0.004</v>
      </c>
      <c r="P72" s="15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ht="13.65" customHeight="1">
      <c r="A73" t="s" s="16">
        <v>22</v>
      </c>
      <c r="B73" s="29">
        <v>45426</v>
      </c>
      <c r="C73" t="s" s="16">
        <v>23</v>
      </c>
      <c r="D73" s="18">
        <v>4</v>
      </c>
      <c r="E73" s="18">
        <v>2</v>
      </c>
      <c r="F73" s="18">
        <v>2</v>
      </c>
      <c r="G73" s="32">
        <v>45425</v>
      </c>
      <c r="H73" s="20">
        <v>1.019</v>
      </c>
      <c r="I73" s="20">
        <v>0.122</v>
      </c>
      <c r="J73" s="20">
        <v>1.145</v>
      </c>
      <c r="K73" s="20" cm="1">
        <f t="array" ref="K73">J73-H73</f>
        <v>0.126</v>
      </c>
      <c r="L73" s="20">
        <v>0.176</v>
      </c>
      <c r="M73" s="21">
        <v>1.1</v>
      </c>
      <c r="N73" s="20">
        <v>14</v>
      </c>
      <c r="O73" s="20" cm="1">
        <f t="array" ref="O73">K73-I73</f>
        <v>0.004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ht="13.65" customHeight="1">
      <c r="A74" t="s" s="16">
        <v>22</v>
      </c>
      <c r="B74" s="29">
        <v>45426</v>
      </c>
      <c r="C74" t="s" s="16">
        <v>23</v>
      </c>
      <c r="D74" s="18">
        <v>4</v>
      </c>
      <c r="E74" s="18">
        <v>2</v>
      </c>
      <c r="F74" s="18">
        <v>3</v>
      </c>
      <c r="G74" s="32">
        <v>45425</v>
      </c>
      <c r="H74" s="20">
        <v>1.018</v>
      </c>
      <c r="I74" s="20">
        <v>0.12</v>
      </c>
      <c r="J74" s="20">
        <v>1.143</v>
      </c>
      <c r="K74" s="20" cm="1">
        <f t="array" ref="K74">J74-H74</f>
        <v>0.125</v>
      </c>
      <c r="L74" s="20">
        <v>0.17</v>
      </c>
      <c r="M74" s="21">
        <v>1.1</v>
      </c>
      <c r="N74" s="20">
        <v>14</v>
      </c>
      <c r="O74" s="20" cm="1">
        <f t="array" ref="O74">K74-I74</f>
        <v>0.005</v>
      </c>
      <c r="P74" t="s" s="16">
        <v>24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ht="13.65" customHeight="1">
      <c r="A75" t="s" s="22">
        <v>22</v>
      </c>
      <c r="B75" s="30">
        <v>45426</v>
      </c>
      <c r="C75" t="s" s="22">
        <v>23</v>
      </c>
      <c r="D75" s="24">
        <v>4</v>
      </c>
      <c r="E75" s="24">
        <v>2</v>
      </c>
      <c r="F75" s="24">
        <v>4</v>
      </c>
      <c r="G75" s="33">
        <v>45425</v>
      </c>
      <c r="H75" s="26">
        <v>1.014</v>
      </c>
      <c r="I75" s="26">
        <v>0.121</v>
      </c>
      <c r="J75" s="26">
        <v>1.14</v>
      </c>
      <c r="K75" s="20" cm="1">
        <f t="array" ref="K75">J75-H75</f>
        <v>0.126</v>
      </c>
      <c r="L75" s="26">
        <v>0.172</v>
      </c>
      <c r="M75" s="27">
        <v>1.1</v>
      </c>
      <c r="N75" s="26">
        <v>14</v>
      </c>
      <c r="O75" s="20" cm="1">
        <f t="array" ref="O75">K75-I75</f>
        <v>0.005</v>
      </c>
      <c r="P75" s="6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ht="13.65" customHeight="1">
      <c r="A76" t="s" s="9">
        <v>22</v>
      </c>
      <c r="B76" s="28">
        <v>45426</v>
      </c>
      <c r="C76" t="s" s="9">
        <v>23</v>
      </c>
      <c r="D76" s="11">
        <v>8</v>
      </c>
      <c r="E76" s="11">
        <v>1</v>
      </c>
      <c r="F76" s="11">
        <v>1</v>
      </c>
      <c r="G76" s="31">
        <v>45425</v>
      </c>
      <c r="H76" s="13">
        <v>1.014</v>
      </c>
      <c r="I76" s="13">
        <v>0.123</v>
      </c>
      <c r="J76" s="13">
        <v>1.145</v>
      </c>
      <c r="K76" s="20" cm="1">
        <f t="array" ref="K76">J76-H76</f>
        <v>0.131</v>
      </c>
      <c r="L76" s="13">
        <v>0.11</v>
      </c>
      <c r="M76" s="14"/>
      <c r="N76" s="13">
        <v>14</v>
      </c>
      <c r="O76" s="20" cm="1">
        <f t="array" ref="O76">K76-I76</f>
        <v>0.008</v>
      </c>
      <c r="P76" s="15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ht="13.65" customHeight="1">
      <c r="A77" t="s" s="16">
        <v>22</v>
      </c>
      <c r="B77" s="29">
        <v>45426</v>
      </c>
      <c r="C77" t="s" s="16">
        <v>23</v>
      </c>
      <c r="D77" s="18">
        <v>8</v>
      </c>
      <c r="E77" s="18">
        <v>1</v>
      </c>
      <c r="F77" s="18">
        <v>2</v>
      </c>
      <c r="G77" s="32">
        <v>45425</v>
      </c>
      <c r="H77" s="20">
        <v>1.011</v>
      </c>
      <c r="I77" s="20">
        <v>0.121</v>
      </c>
      <c r="J77" s="20">
        <v>1.142</v>
      </c>
      <c r="K77" s="20" cm="1">
        <f t="array" ref="K77">J77-H77</f>
        <v>0.131</v>
      </c>
      <c r="L77" s="20">
        <v>0.098</v>
      </c>
      <c r="M77" s="21"/>
      <c r="N77" s="20">
        <v>14</v>
      </c>
      <c r="O77" s="20" cm="1">
        <f t="array" ref="O77">K77-I77</f>
        <v>0.01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ht="13.65" customHeight="1">
      <c r="A78" t="s" s="16">
        <v>22</v>
      </c>
      <c r="B78" s="29">
        <v>45426</v>
      </c>
      <c r="C78" t="s" s="16">
        <v>23</v>
      </c>
      <c r="D78" s="18">
        <v>8</v>
      </c>
      <c r="E78" s="18">
        <v>1</v>
      </c>
      <c r="F78" s="18">
        <v>3</v>
      </c>
      <c r="G78" s="32">
        <v>45425</v>
      </c>
      <c r="H78" s="20">
        <v>1.009</v>
      </c>
      <c r="I78" s="20">
        <v>0.121</v>
      </c>
      <c r="J78" s="20">
        <v>1.141</v>
      </c>
      <c r="K78" s="20" cm="1">
        <f t="array" ref="K78">J78-H78</f>
        <v>0.132</v>
      </c>
      <c r="L78" s="20">
        <v>0.1</v>
      </c>
      <c r="M78" s="21"/>
      <c r="N78" s="20">
        <v>14</v>
      </c>
      <c r="O78" s="20" cm="1">
        <f t="array" ref="O78">K78-I78</f>
        <v>0.011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ht="13.65" customHeight="1">
      <c r="A79" t="s" s="22">
        <v>22</v>
      </c>
      <c r="B79" s="30">
        <v>45426</v>
      </c>
      <c r="C79" t="s" s="22">
        <v>23</v>
      </c>
      <c r="D79" s="24">
        <v>8</v>
      </c>
      <c r="E79" s="24">
        <v>1</v>
      </c>
      <c r="F79" s="24">
        <v>4</v>
      </c>
      <c r="G79" s="33">
        <v>45425</v>
      </c>
      <c r="H79" s="26">
        <v>1.002</v>
      </c>
      <c r="I79" s="26">
        <v>0.121</v>
      </c>
      <c r="J79" s="26">
        <v>1.133</v>
      </c>
      <c r="K79" s="20" cm="1">
        <f t="array" ref="K79">J79-H79</f>
        <v>0.131</v>
      </c>
      <c r="L79" s="26">
        <v>0.108</v>
      </c>
      <c r="M79" s="27"/>
      <c r="N79" s="26">
        <v>14</v>
      </c>
      <c r="O79" s="20" cm="1">
        <f t="array" ref="O79">K79-I79</f>
        <v>0.01</v>
      </c>
      <c r="P79" s="6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ht="13.65" customHeight="1">
      <c r="A80" t="s" s="9">
        <v>22</v>
      </c>
      <c r="B80" s="28">
        <v>45426</v>
      </c>
      <c r="C80" t="s" s="9">
        <v>23</v>
      </c>
      <c r="D80" s="11">
        <v>8</v>
      </c>
      <c r="E80" s="11">
        <v>2</v>
      </c>
      <c r="F80" s="11">
        <v>1</v>
      </c>
      <c r="G80" s="31">
        <v>45425</v>
      </c>
      <c r="H80" s="13">
        <v>1.016</v>
      </c>
      <c r="I80" s="13">
        <v>0.121</v>
      </c>
      <c r="J80" s="13">
        <v>1.147</v>
      </c>
      <c r="K80" s="20" cm="1">
        <f t="array" ref="K80">J80-H80</f>
        <v>0.131</v>
      </c>
      <c r="L80" s="13">
        <v>0.104</v>
      </c>
      <c r="M80" s="14"/>
      <c r="N80" s="13">
        <v>14</v>
      </c>
      <c r="O80" s="20" cm="1">
        <f t="array" ref="O80">K80-I80</f>
        <v>0.01</v>
      </c>
      <c r="P80" s="15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  <row r="81" ht="13.65" customHeight="1">
      <c r="A81" t="s" s="16">
        <v>22</v>
      </c>
      <c r="B81" s="29">
        <v>45426</v>
      </c>
      <c r="C81" t="s" s="16">
        <v>23</v>
      </c>
      <c r="D81" s="18">
        <v>8</v>
      </c>
      <c r="E81" s="18">
        <v>2</v>
      </c>
      <c r="F81" s="18">
        <v>2</v>
      </c>
      <c r="G81" s="32">
        <v>45425</v>
      </c>
      <c r="H81" s="20">
        <v>1.024</v>
      </c>
      <c r="I81" s="20">
        <v>0.122</v>
      </c>
      <c r="J81" s="20">
        <v>1.157</v>
      </c>
      <c r="K81" s="20" cm="1">
        <f t="array" ref="K81">J81-H81</f>
        <v>0.133</v>
      </c>
      <c r="L81" s="20">
        <v>0.106</v>
      </c>
      <c r="M81" s="21"/>
      <c r="N81" s="20">
        <v>14</v>
      </c>
      <c r="O81" s="20" cm="1">
        <f t="array" ref="O81">K81-I81</f>
        <v>0.011</v>
      </c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</row>
    <row r="82" ht="13.65" customHeight="1">
      <c r="A82" t="s" s="16">
        <v>22</v>
      </c>
      <c r="B82" s="29">
        <v>45426</v>
      </c>
      <c r="C82" t="s" s="16">
        <v>23</v>
      </c>
      <c r="D82" s="18">
        <v>8</v>
      </c>
      <c r="E82" s="18">
        <v>2</v>
      </c>
      <c r="F82" s="18">
        <v>3</v>
      </c>
      <c r="G82" s="32">
        <v>45425</v>
      </c>
      <c r="H82" s="20">
        <v>1.018</v>
      </c>
      <c r="I82" s="20">
        <v>0.121</v>
      </c>
      <c r="J82" s="20">
        <v>1.149</v>
      </c>
      <c r="K82" s="20" cm="1">
        <f t="array" ref="K82">J82-H82</f>
        <v>0.131</v>
      </c>
      <c r="L82" s="20">
        <v>0.103</v>
      </c>
      <c r="M82" s="21"/>
      <c r="N82" s="20">
        <v>14</v>
      </c>
      <c r="O82" s="20" cm="1">
        <f t="array" ref="O82">K82-I82</f>
        <v>0.01</v>
      </c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</row>
    <row r="83" ht="13.65" customHeight="1">
      <c r="A83" t="s" s="22">
        <v>22</v>
      </c>
      <c r="B83" s="30">
        <v>45426</v>
      </c>
      <c r="C83" t="s" s="22">
        <v>23</v>
      </c>
      <c r="D83" s="24">
        <v>8</v>
      </c>
      <c r="E83" s="24">
        <v>2</v>
      </c>
      <c r="F83" s="24">
        <v>4</v>
      </c>
      <c r="G83" s="33">
        <v>45425</v>
      </c>
      <c r="H83" s="26">
        <v>1</v>
      </c>
      <c r="I83" s="26">
        <v>0.12</v>
      </c>
      <c r="J83" s="26">
        <v>1.13</v>
      </c>
      <c r="K83" s="20" cm="1">
        <f t="array" ref="K83">J83-H83</f>
        <v>0.13</v>
      </c>
      <c r="L83" s="26">
        <v>0.1</v>
      </c>
      <c r="M83" s="27"/>
      <c r="N83" s="26">
        <v>14</v>
      </c>
      <c r="O83" s="20" cm="1">
        <f t="array" ref="O83">K83-I83</f>
        <v>0.01</v>
      </c>
      <c r="P83" s="6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</row>
    <row r="84" ht="13.65" customHeight="1">
      <c r="A84" t="s" s="9">
        <v>22</v>
      </c>
      <c r="B84" s="28">
        <v>45426</v>
      </c>
      <c r="C84" t="s" s="9">
        <v>20</v>
      </c>
      <c r="D84" s="11">
        <v>4</v>
      </c>
      <c r="E84" s="11">
        <v>1</v>
      </c>
      <c r="F84" s="11">
        <v>1</v>
      </c>
      <c r="G84" s="31">
        <v>45425</v>
      </c>
      <c r="H84" s="13">
        <v>0.997</v>
      </c>
      <c r="I84" s="13">
        <v>0.122</v>
      </c>
      <c r="J84" s="13">
        <v>1.127</v>
      </c>
      <c r="K84" s="20" cm="1">
        <f t="array" ref="K84">J84-H84</f>
        <v>0.13</v>
      </c>
      <c r="L84" s="13">
        <v>0.102</v>
      </c>
      <c r="M84" s="14">
        <v>1.22</v>
      </c>
      <c r="N84" s="13">
        <v>14</v>
      </c>
      <c r="O84" s="20" cm="1">
        <f t="array" ref="O84">K84-I84</f>
        <v>0.008</v>
      </c>
      <c r="P84" s="15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</row>
    <row r="85" ht="13.65" customHeight="1">
      <c r="A85" t="s" s="16">
        <v>22</v>
      </c>
      <c r="B85" s="29">
        <v>45426</v>
      </c>
      <c r="C85" t="s" s="16">
        <v>20</v>
      </c>
      <c r="D85" s="18">
        <v>4</v>
      </c>
      <c r="E85" s="18">
        <v>1</v>
      </c>
      <c r="F85" s="18">
        <v>2</v>
      </c>
      <c r="G85" s="32">
        <v>45425</v>
      </c>
      <c r="H85" s="20">
        <v>1.004</v>
      </c>
      <c r="I85" s="20">
        <v>0.121</v>
      </c>
      <c r="J85" s="20">
        <v>1.133</v>
      </c>
      <c r="K85" s="20" cm="1">
        <f t="array" ref="K85">J85-H85</f>
        <v>0.129</v>
      </c>
      <c r="L85" s="20">
        <v>0.098</v>
      </c>
      <c r="M85" s="21">
        <v>1.22</v>
      </c>
      <c r="N85" s="20">
        <v>14</v>
      </c>
      <c r="O85" s="20" cm="1">
        <f t="array" ref="O85">K85-I85</f>
        <v>0.008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ht="13.65" customHeight="1">
      <c r="A86" t="s" s="16">
        <v>22</v>
      </c>
      <c r="B86" s="29">
        <v>45426</v>
      </c>
      <c r="C86" t="s" s="16">
        <v>20</v>
      </c>
      <c r="D86" s="18">
        <v>4</v>
      </c>
      <c r="E86" s="18">
        <v>1</v>
      </c>
      <c r="F86" s="18">
        <v>3</v>
      </c>
      <c r="G86" s="32">
        <v>45425</v>
      </c>
      <c r="H86" s="20">
        <v>1.015</v>
      </c>
      <c r="I86" s="20">
        <v>0.119</v>
      </c>
      <c r="J86" s="20">
        <v>1.143</v>
      </c>
      <c r="K86" s="20" cm="1">
        <f t="array" ref="K86">J86-H86</f>
        <v>0.128</v>
      </c>
      <c r="L86" s="20">
        <v>0.102</v>
      </c>
      <c r="M86" s="21">
        <v>1.22</v>
      </c>
      <c r="N86" s="20">
        <v>14</v>
      </c>
      <c r="O86" s="20" cm="1">
        <f t="array" ref="O86">K86-I86</f>
        <v>0.008999999999999999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</row>
    <row r="87" ht="13.65" customHeight="1">
      <c r="A87" t="s" s="22">
        <v>22</v>
      </c>
      <c r="B87" s="30">
        <v>45426</v>
      </c>
      <c r="C87" t="s" s="22">
        <v>20</v>
      </c>
      <c r="D87" s="24">
        <v>4</v>
      </c>
      <c r="E87" s="24">
        <v>1</v>
      </c>
      <c r="F87" s="24">
        <v>4</v>
      </c>
      <c r="G87" s="33">
        <v>45425</v>
      </c>
      <c r="H87" s="26">
        <v>1.001</v>
      </c>
      <c r="I87" s="26">
        <v>0.121</v>
      </c>
      <c r="J87" s="26">
        <v>1.129</v>
      </c>
      <c r="K87" s="20" cm="1">
        <f t="array" ref="K87">J87-H87</f>
        <v>0.128</v>
      </c>
      <c r="L87" s="26">
        <v>0.102</v>
      </c>
      <c r="M87" s="27">
        <v>1.22</v>
      </c>
      <c r="N87" s="26">
        <v>14</v>
      </c>
      <c r="O87" s="20" cm="1">
        <f t="array" ref="O87">K87-I87</f>
        <v>0.007</v>
      </c>
      <c r="P87" s="6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</row>
    <row r="88" ht="13.65" customHeight="1">
      <c r="A88" t="s" s="9">
        <v>22</v>
      </c>
      <c r="B88" s="28">
        <v>45426</v>
      </c>
      <c r="C88" t="s" s="9">
        <v>20</v>
      </c>
      <c r="D88" s="11">
        <v>4</v>
      </c>
      <c r="E88" s="11">
        <v>2</v>
      </c>
      <c r="F88" s="11">
        <v>1</v>
      </c>
      <c r="G88" s="31">
        <v>45425</v>
      </c>
      <c r="H88" s="13">
        <v>0.994</v>
      </c>
      <c r="I88" s="13">
        <v>0.12</v>
      </c>
      <c r="J88" s="13">
        <v>1.121</v>
      </c>
      <c r="K88" s="20" cm="1">
        <f t="array" ref="K88">J88-H88</f>
        <v>0.127</v>
      </c>
      <c r="L88" s="13">
        <v>0.102</v>
      </c>
      <c r="M88" s="14">
        <v>1.295</v>
      </c>
      <c r="N88" s="13">
        <v>14</v>
      </c>
      <c r="O88" s="20" cm="1">
        <f t="array" ref="O88">K88-I88</f>
        <v>0.007</v>
      </c>
      <c r="P88" s="15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</row>
    <row r="89" ht="13.65" customHeight="1">
      <c r="A89" t="s" s="16">
        <v>22</v>
      </c>
      <c r="B89" s="29">
        <v>45426</v>
      </c>
      <c r="C89" t="s" s="16">
        <v>20</v>
      </c>
      <c r="D89" s="18">
        <v>4</v>
      </c>
      <c r="E89" s="18">
        <v>2</v>
      </c>
      <c r="F89" s="18">
        <v>2</v>
      </c>
      <c r="G89" s="32">
        <v>45425</v>
      </c>
      <c r="H89" s="20">
        <v>1.004</v>
      </c>
      <c r="I89" s="20">
        <v>0.122</v>
      </c>
      <c r="J89" s="20">
        <v>1.132</v>
      </c>
      <c r="K89" s="20" cm="1">
        <f t="array" ref="K89">J89-H89</f>
        <v>0.128</v>
      </c>
      <c r="L89" s="20">
        <v>0.99</v>
      </c>
      <c r="M89" s="21">
        <v>1.295</v>
      </c>
      <c r="N89" s="20">
        <v>14</v>
      </c>
      <c r="O89" s="20" cm="1">
        <f t="array" ref="O89">K89-I89</f>
        <v>0.006</v>
      </c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ht="13.65" customHeight="1">
      <c r="A90" t="s" s="16">
        <v>22</v>
      </c>
      <c r="B90" s="29">
        <v>45426</v>
      </c>
      <c r="C90" t="s" s="16">
        <v>20</v>
      </c>
      <c r="D90" s="18">
        <v>4</v>
      </c>
      <c r="E90" s="18">
        <v>2</v>
      </c>
      <c r="F90" s="18">
        <v>3</v>
      </c>
      <c r="G90" s="32">
        <v>45425</v>
      </c>
      <c r="H90" s="20">
        <v>1.005</v>
      </c>
      <c r="I90" s="20">
        <v>0.122</v>
      </c>
      <c r="J90" s="20">
        <v>1.133</v>
      </c>
      <c r="K90" s="20" cm="1">
        <f t="array" ref="K90">J90-H90</f>
        <v>0.128</v>
      </c>
      <c r="L90" s="20">
        <v>0.98</v>
      </c>
      <c r="M90" s="21">
        <v>1.295</v>
      </c>
      <c r="N90" s="20">
        <v>14</v>
      </c>
      <c r="O90" s="20" cm="1">
        <f t="array" ref="O90">K90-I90</f>
        <v>0.006</v>
      </c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ht="13.65" customHeight="1">
      <c r="A91" t="s" s="22">
        <v>22</v>
      </c>
      <c r="B91" s="30">
        <v>45426</v>
      </c>
      <c r="C91" t="s" s="22">
        <v>20</v>
      </c>
      <c r="D91" s="24">
        <v>4</v>
      </c>
      <c r="E91" s="24">
        <v>2</v>
      </c>
      <c r="F91" s="24">
        <v>4</v>
      </c>
      <c r="G91" s="33">
        <v>45425</v>
      </c>
      <c r="H91" s="26">
        <v>1.023</v>
      </c>
      <c r="I91" s="26">
        <v>0.122</v>
      </c>
      <c r="J91" s="26">
        <v>1.151</v>
      </c>
      <c r="K91" s="20" cm="1">
        <f t="array" ref="K91">J91-H91</f>
        <v>0.128</v>
      </c>
      <c r="L91" s="26">
        <v>0.108</v>
      </c>
      <c r="M91" s="27">
        <v>1.295</v>
      </c>
      <c r="N91" s="26">
        <v>14</v>
      </c>
      <c r="O91" s="20" cm="1">
        <f t="array" ref="O91">K91-I91</f>
        <v>0.006</v>
      </c>
      <c r="P91" s="6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ht="13.65" customHeight="1">
      <c r="A92" t="s" s="9">
        <v>22</v>
      </c>
      <c r="B92" s="28">
        <v>45426</v>
      </c>
      <c r="C92" t="s" s="9">
        <v>20</v>
      </c>
      <c r="D92" s="11">
        <v>8</v>
      </c>
      <c r="E92" s="11">
        <v>1</v>
      </c>
      <c r="F92" s="11">
        <v>1</v>
      </c>
      <c r="G92" s="31">
        <v>45425</v>
      </c>
      <c r="H92" s="13">
        <v>0.996</v>
      </c>
      <c r="I92" s="13">
        <v>0.12</v>
      </c>
      <c r="J92" s="13">
        <v>1.127</v>
      </c>
      <c r="K92" s="20" cm="1">
        <f t="array" ref="K92">J92-H92</f>
        <v>0.131</v>
      </c>
      <c r="L92" s="13">
        <v>0.098</v>
      </c>
      <c r="M92" s="14"/>
      <c r="N92" s="13">
        <v>14</v>
      </c>
      <c r="O92" s="20" cm="1">
        <f t="array" ref="O92">K92-I92</f>
        <v>0.011</v>
      </c>
      <c r="P92" s="15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ht="13.65" customHeight="1">
      <c r="A93" t="s" s="16">
        <v>22</v>
      </c>
      <c r="B93" s="29">
        <v>45426</v>
      </c>
      <c r="C93" t="s" s="16">
        <v>20</v>
      </c>
      <c r="D93" s="18">
        <v>8</v>
      </c>
      <c r="E93" s="18">
        <v>1</v>
      </c>
      <c r="F93" s="18">
        <v>2</v>
      </c>
      <c r="G93" s="32">
        <v>45425</v>
      </c>
      <c r="H93" s="20">
        <v>1</v>
      </c>
      <c r="I93" s="20">
        <v>0.122</v>
      </c>
      <c r="J93" s="20">
        <v>1.139</v>
      </c>
      <c r="K93" s="20" cm="1">
        <f t="array" ref="K93">J93-H93</f>
        <v>0.139</v>
      </c>
      <c r="L93" s="20">
        <v>0.106</v>
      </c>
      <c r="M93" s="21"/>
      <c r="N93" s="20">
        <v>14</v>
      </c>
      <c r="O93" s="20" cm="1">
        <f t="array" ref="O93">K93-I93</f>
        <v>0.017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</row>
    <row r="94" ht="13.65" customHeight="1">
      <c r="A94" t="s" s="16">
        <v>22</v>
      </c>
      <c r="B94" s="29">
        <v>45426</v>
      </c>
      <c r="C94" t="s" s="16">
        <v>20</v>
      </c>
      <c r="D94" s="18">
        <v>8</v>
      </c>
      <c r="E94" s="18">
        <v>1</v>
      </c>
      <c r="F94" s="18">
        <v>3</v>
      </c>
      <c r="G94" s="32">
        <v>45425</v>
      </c>
      <c r="H94" s="20">
        <v>1.012</v>
      </c>
      <c r="I94" s="20">
        <v>0.122</v>
      </c>
      <c r="J94" s="20">
        <v>1.153</v>
      </c>
      <c r="K94" s="20" cm="1">
        <f t="array" ref="K94">J94-H94</f>
        <v>0.141</v>
      </c>
      <c r="L94" s="20">
        <v>0.098</v>
      </c>
      <c r="M94" s="21"/>
      <c r="N94" s="20">
        <v>14</v>
      </c>
      <c r="O94" s="20" cm="1">
        <f t="array" ref="O94">K94-I94</f>
        <v>0.019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</row>
    <row r="95" ht="13.65" customHeight="1">
      <c r="A95" t="s" s="22">
        <v>22</v>
      </c>
      <c r="B95" s="30">
        <v>45426</v>
      </c>
      <c r="C95" t="s" s="22">
        <v>20</v>
      </c>
      <c r="D95" s="24">
        <v>8</v>
      </c>
      <c r="E95" s="24">
        <v>1</v>
      </c>
      <c r="F95" s="24">
        <v>4</v>
      </c>
      <c r="G95" s="33">
        <v>45425</v>
      </c>
      <c r="H95" s="26">
        <v>1.02</v>
      </c>
      <c r="I95" s="26">
        <v>0.119</v>
      </c>
      <c r="J95" s="26">
        <v>1.159</v>
      </c>
      <c r="K95" s="20" cm="1">
        <f t="array" ref="K95">J95-H95</f>
        <v>0.139</v>
      </c>
      <c r="L95" s="26">
        <v>0.112</v>
      </c>
      <c r="M95" s="27"/>
      <c r="N95" s="26">
        <v>14</v>
      </c>
      <c r="O95" s="20" cm="1">
        <f t="array" ref="O95">K95-I95</f>
        <v>0.02</v>
      </c>
      <c r="P95" s="6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</row>
    <row r="96" ht="13.65" customHeight="1">
      <c r="A96" t="s" s="9">
        <v>22</v>
      </c>
      <c r="B96" s="28">
        <v>45426</v>
      </c>
      <c r="C96" t="s" s="9">
        <v>20</v>
      </c>
      <c r="D96" s="11">
        <v>8</v>
      </c>
      <c r="E96" s="11">
        <v>2</v>
      </c>
      <c r="F96" s="11">
        <v>1</v>
      </c>
      <c r="G96" s="31">
        <v>45425</v>
      </c>
      <c r="H96" s="13">
        <v>0.992</v>
      </c>
      <c r="I96" s="13">
        <v>0.121</v>
      </c>
      <c r="J96" s="13">
        <v>1.122</v>
      </c>
      <c r="K96" s="20" cm="1">
        <f t="array" ref="K96">J96-H96</f>
        <v>0.13</v>
      </c>
      <c r="L96" s="13">
        <v>0.1</v>
      </c>
      <c r="M96" s="14">
        <v>1.34</v>
      </c>
      <c r="N96" s="13">
        <v>14</v>
      </c>
      <c r="O96" s="20" cm="1">
        <f t="array" ref="O96">K96-I96</f>
        <v>0.008999999999999999</v>
      </c>
      <c r="P96" s="15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ht="13.65" customHeight="1">
      <c r="A97" t="s" s="16">
        <v>22</v>
      </c>
      <c r="B97" s="29">
        <v>45426</v>
      </c>
      <c r="C97" t="s" s="16">
        <v>20</v>
      </c>
      <c r="D97" s="18">
        <v>8</v>
      </c>
      <c r="E97" s="18">
        <v>2</v>
      </c>
      <c r="F97" s="18">
        <v>2</v>
      </c>
      <c r="G97" s="32">
        <v>45425</v>
      </c>
      <c r="H97" s="20">
        <v>1</v>
      </c>
      <c r="I97" s="20">
        <v>0.122</v>
      </c>
      <c r="J97" s="20">
        <v>1.133</v>
      </c>
      <c r="K97" s="20" cm="1">
        <f t="array" ref="K97">J97-H97</f>
        <v>0.133</v>
      </c>
      <c r="L97" s="20">
        <v>0.106</v>
      </c>
      <c r="M97" s="21">
        <v>1.34</v>
      </c>
      <c r="N97" s="20">
        <v>14</v>
      </c>
      <c r="O97" s="20" cm="1">
        <f t="array" ref="O97">K97-I97</f>
        <v>0.011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ht="13.65" customHeight="1">
      <c r="A98" t="s" s="16">
        <v>22</v>
      </c>
      <c r="B98" s="29">
        <v>45426</v>
      </c>
      <c r="C98" t="s" s="16">
        <v>20</v>
      </c>
      <c r="D98" s="18">
        <v>8</v>
      </c>
      <c r="E98" s="18">
        <v>2</v>
      </c>
      <c r="F98" s="18">
        <v>3</v>
      </c>
      <c r="G98" s="32">
        <v>45425</v>
      </c>
      <c r="H98" s="20">
        <v>1.002</v>
      </c>
      <c r="I98" s="20">
        <v>0.122</v>
      </c>
      <c r="J98" s="20">
        <v>1.134</v>
      </c>
      <c r="K98" s="20" cm="1">
        <f t="array" ref="K98">J98-H98</f>
        <v>0.132</v>
      </c>
      <c r="L98" s="20">
        <v>0.1</v>
      </c>
      <c r="M98" s="21">
        <v>1.34</v>
      </c>
      <c r="N98" s="20">
        <v>14</v>
      </c>
      <c r="O98" s="20" cm="1">
        <f t="array" ref="O98">K98-I98</f>
        <v>0.01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ht="13.65" customHeight="1">
      <c r="A99" t="s" s="22">
        <v>22</v>
      </c>
      <c r="B99" s="30">
        <v>45426</v>
      </c>
      <c r="C99" t="s" s="22">
        <v>20</v>
      </c>
      <c r="D99" s="24">
        <v>8</v>
      </c>
      <c r="E99" s="24">
        <v>2</v>
      </c>
      <c r="F99" s="24">
        <v>4</v>
      </c>
      <c r="G99" s="33">
        <v>45425</v>
      </c>
      <c r="H99" s="26">
        <v>1.02</v>
      </c>
      <c r="I99" s="26">
        <v>0.123</v>
      </c>
      <c r="J99" s="26">
        <v>1.153</v>
      </c>
      <c r="K99" s="20" cm="1">
        <f t="array" ref="K99">J99-H99</f>
        <v>0.133</v>
      </c>
      <c r="L99" s="26">
        <v>0.1</v>
      </c>
      <c r="M99" s="27">
        <v>1.34</v>
      </c>
      <c r="N99" s="26">
        <v>14</v>
      </c>
      <c r="O99" s="20" cm="1">
        <f t="array" ref="O99">K99-I99</f>
        <v>0.01</v>
      </c>
      <c r="P99" s="6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ht="13.65" customHeight="1">
      <c r="A100" t="s" s="9">
        <v>25</v>
      </c>
      <c r="B100" s="34">
        <v>45440</v>
      </c>
      <c r="C100" t="s" s="9">
        <v>23</v>
      </c>
      <c r="D100" s="11">
        <v>4</v>
      </c>
      <c r="E100" s="11">
        <v>1</v>
      </c>
      <c r="F100" s="11">
        <v>1</v>
      </c>
      <c r="G100" s="31">
        <v>45439</v>
      </c>
      <c r="H100" s="13">
        <v>0.58</v>
      </c>
      <c r="I100" s="13">
        <v>0.121</v>
      </c>
      <c r="J100" s="13">
        <v>0.709</v>
      </c>
      <c r="K100" s="20" cm="1">
        <f t="array" ref="K100">J100-H100</f>
        <v>0.129</v>
      </c>
      <c r="L100" s="13">
        <v>0.151</v>
      </c>
      <c r="M100" s="13" cm="1">
        <f t="array" ref="M100">0.89+0.125</f>
        <v>1.015</v>
      </c>
      <c r="N100" s="13">
        <v>14</v>
      </c>
      <c r="O100" s="20" cm="1">
        <f t="array" ref="O100">K100-I100</f>
        <v>0.008</v>
      </c>
      <c r="P100" t="s" s="9">
        <v>26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</row>
    <row r="101" ht="13.65" customHeight="1">
      <c r="A101" t="s" s="16">
        <v>25</v>
      </c>
      <c r="B101" s="35">
        <v>45440</v>
      </c>
      <c r="C101" t="s" s="16">
        <v>23</v>
      </c>
      <c r="D101" s="18">
        <v>4</v>
      </c>
      <c r="E101" s="18">
        <v>1</v>
      </c>
      <c r="F101" s="18">
        <v>2</v>
      </c>
      <c r="G101" s="32">
        <v>45439</v>
      </c>
      <c r="H101" s="20">
        <v>0.772</v>
      </c>
      <c r="I101" s="20">
        <v>0.121</v>
      </c>
      <c r="J101" s="20">
        <v>0.897</v>
      </c>
      <c r="K101" s="20" cm="1">
        <f t="array" ref="K101">J101-H101</f>
        <v>0.125</v>
      </c>
      <c r="L101" s="20">
        <v>0.127</v>
      </c>
      <c r="M101" s="20" cm="1">
        <f t="array" ref="M101">0.89+0.125</f>
        <v>1.015</v>
      </c>
      <c r="N101" s="20">
        <v>14</v>
      </c>
      <c r="O101" s="20" cm="1">
        <f t="array" ref="O101">K101-I101</f>
        <v>0.004</v>
      </c>
      <c r="P101" t="s" s="16">
        <v>26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</row>
    <row r="102" ht="13.65" customHeight="1">
      <c r="A102" t="s" s="16">
        <v>25</v>
      </c>
      <c r="B102" s="35">
        <v>45440</v>
      </c>
      <c r="C102" t="s" s="16">
        <v>23</v>
      </c>
      <c r="D102" s="18">
        <v>4</v>
      </c>
      <c r="E102" s="18">
        <v>1</v>
      </c>
      <c r="F102" s="18">
        <v>3</v>
      </c>
      <c r="G102" s="32">
        <v>45439</v>
      </c>
      <c r="H102" s="20">
        <v>0.54</v>
      </c>
      <c r="I102" s="20">
        <v>0.121</v>
      </c>
      <c r="J102" s="20">
        <v>0.667</v>
      </c>
      <c r="K102" s="20" cm="1">
        <f t="array" ref="K102">J102-H102</f>
        <v>0.127</v>
      </c>
      <c r="L102" s="20">
        <v>0.138</v>
      </c>
      <c r="M102" s="20" cm="1">
        <f t="array" ref="M102">0.89+0.125</f>
        <v>1.015</v>
      </c>
      <c r="N102" s="20">
        <v>14</v>
      </c>
      <c r="O102" s="20" cm="1">
        <f t="array" ref="O102">K102-I102</f>
        <v>0.006</v>
      </c>
      <c r="P102" t="s" s="16">
        <v>26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</row>
    <row r="103" ht="13.65" customHeight="1">
      <c r="A103" t="s" s="22">
        <v>25</v>
      </c>
      <c r="B103" s="36">
        <v>45440</v>
      </c>
      <c r="C103" t="s" s="22">
        <v>23</v>
      </c>
      <c r="D103" s="24">
        <v>4</v>
      </c>
      <c r="E103" s="24">
        <v>1</v>
      </c>
      <c r="F103" s="24">
        <v>4</v>
      </c>
      <c r="G103" s="33">
        <v>45439</v>
      </c>
      <c r="H103" s="26">
        <v>0.548</v>
      </c>
      <c r="I103" s="26">
        <v>0.121</v>
      </c>
      <c r="J103" s="26">
        <v>0.674</v>
      </c>
      <c r="K103" s="20" cm="1">
        <f t="array" ref="K103">J103-H103</f>
        <v>0.126</v>
      </c>
      <c r="L103" s="26">
        <v>0.122</v>
      </c>
      <c r="M103" s="26" cm="1">
        <f t="array" ref="M103">0.89+0.125</f>
        <v>1.015</v>
      </c>
      <c r="N103" s="26">
        <v>14</v>
      </c>
      <c r="O103" s="20" cm="1">
        <f t="array" ref="O103">K103-I103</f>
        <v>0.005</v>
      </c>
      <c r="P103" t="s" s="22">
        <v>26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ht="13.65" customHeight="1">
      <c r="A104" t="s" s="9">
        <v>25</v>
      </c>
      <c r="B104" s="34">
        <v>45440</v>
      </c>
      <c r="C104" t="s" s="9">
        <v>23</v>
      </c>
      <c r="D104" s="11">
        <v>4</v>
      </c>
      <c r="E104" s="11">
        <v>2</v>
      </c>
      <c r="F104" s="11">
        <v>1</v>
      </c>
      <c r="G104" s="28">
        <v>45439</v>
      </c>
      <c r="H104" s="13">
        <v>0.483</v>
      </c>
      <c r="I104" s="13">
        <v>0.121</v>
      </c>
      <c r="J104" s="13">
        <v>0.609</v>
      </c>
      <c r="K104" s="20" cm="1">
        <f t="array" ref="K104">J104-H104</f>
        <v>0.126</v>
      </c>
      <c r="L104" s="13">
        <v>0.122</v>
      </c>
      <c r="M104" s="13" cm="1">
        <f t="array" ref="M104">0.125+1+0.07</f>
        <v>1.195</v>
      </c>
      <c r="N104" s="13">
        <v>14</v>
      </c>
      <c r="O104" s="20" cm="1">
        <f t="array" ref="O104">K104-I104</f>
        <v>0.005</v>
      </c>
      <c r="P104" t="s" s="9">
        <v>26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ht="13.65" customHeight="1">
      <c r="A105" t="s" s="16">
        <v>25</v>
      </c>
      <c r="B105" s="35">
        <v>45440</v>
      </c>
      <c r="C105" t="s" s="16">
        <v>23</v>
      </c>
      <c r="D105" s="18">
        <v>4</v>
      </c>
      <c r="E105" s="18">
        <v>2</v>
      </c>
      <c r="F105" s="18">
        <v>2</v>
      </c>
      <c r="G105" s="29">
        <v>45439</v>
      </c>
      <c r="H105" s="20">
        <v>0.489</v>
      </c>
      <c r="I105" s="20">
        <v>0.121</v>
      </c>
      <c r="J105" s="20">
        <v>0.616</v>
      </c>
      <c r="K105" s="20" cm="1">
        <f t="array" ref="K105">J105-H105</f>
        <v>0.127</v>
      </c>
      <c r="L105" s="20">
        <v>0.124</v>
      </c>
      <c r="M105" s="20" cm="1">
        <f t="array" ref="M105">0.125+1+0.07</f>
        <v>1.195</v>
      </c>
      <c r="N105" s="20">
        <v>14</v>
      </c>
      <c r="O105" s="20" cm="1">
        <f t="array" ref="O105">K105-I105</f>
        <v>0.006</v>
      </c>
      <c r="P105" t="s" s="16">
        <v>26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ht="13.65" customHeight="1">
      <c r="A106" t="s" s="16">
        <v>25</v>
      </c>
      <c r="B106" s="35">
        <v>45440</v>
      </c>
      <c r="C106" t="s" s="16">
        <v>23</v>
      </c>
      <c r="D106" s="18">
        <v>4</v>
      </c>
      <c r="E106" s="18">
        <v>2</v>
      </c>
      <c r="F106" s="18">
        <v>3</v>
      </c>
      <c r="G106" s="29">
        <v>45439</v>
      </c>
      <c r="H106" s="20">
        <v>0.578</v>
      </c>
      <c r="I106" s="20">
        <v>0.123</v>
      </c>
      <c r="J106" s="20">
        <v>0.706</v>
      </c>
      <c r="K106" s="20" cm="1">
        <f t="array" ref="K106">J106-H106</f>
        <v>0.128</v>
      </c>
      <c r="L106" s="20">
        <v>0.124</v>
      </c>
      <c r="M106" s="20" cm="1">
        <f t="array" ref="M106">0.125+1+0.07</f>
        <v>1.195</v>
      </c>
      <c r="N106" s="20">
        <v>14</v>
      </c>
      <c r="O106" s="20" cm="1">
        <f t="array" ref="O106">K106-I106</f>
        <v>0.005</v>
      </c>
      <c r="P106" t="s" s="16">
        <v>26</v>
      </c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ht="13.65" customHeight="1">
      <c r="A107" t="s" s="22">
        <v>25</v>
      </c>
      <c r="B107" s="36">
        <v>45440</v>
      </c>
      <c r="C107" t="s" s="22">
        <v>23</v>
      </c>
      <c r="D107" s="24">
        <v>4</v>
      </c>
      <c r="E107" s="24">
        <v>2</v>
      </c>
      <c r="F107" s="24">
        <v>4</v>
      </c>
      <c r="G107" s="30">
        <v>45439</v>
      </c>
      <c r="H107" s="26">
        <v>0.501</v>
      </c>
      <c r="I107" s="26">
        <v>0.12</v>
      </c>
      <c r="J107" s="26">
        <v>0.627</v>
      </c>
      <c r="K107" s="20" cm="1">
        <f t="array" ref="K107">J107-H107</f>
        <v>0.126</v>
      </c>
      <c r="L107" s="26">
        <v>0.13</v>
      </c>
      <c r="M107" s="26" cm="1">
        <f t="array" ref="M107">0.125+1+0.07</f>
        <v>1.195</v>
      </c>
      <c r="N107" s="26">
        <v>14</v>
      </c>
      <c r="O107" s="20" cm="1">
        <f t="array" ref="O107">K107-I107</f>
        <v>0.006</v>
      </c>
      <c r="P107" t="s" s="22">
        <v>26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ht="13.65" customHeight="1">
      <c r="A108" t="s" s="9">
        <v>25</v>
      </c>
      <c r="B108" s="34">
        <v>45440</v>
      </c>
      <c r="C108" t="s" s="9">
        <v>23</v>
      </c>
      <c r="D108" s="11">
        <v>8</v>
      </c>
      <c r="E108" s="11">
        <v>1</v>
      </c>
      <c r="F108" s="11">
        <v>1</v>
      </c>
      <c r="G108" s="28">
        <v>45439</v>
      </c>
      <c r="H108" s="13">
        <v>0.615</v>
      </c>
      <c r="I108" s="13">
        <v>0.122</v>
      </c>
      <c r="J108" s="13">
        <v>0.747</v>
      </c>
      <c r="K108" s="20" cm="1">
        <f t="array" ref="K108">J108-H108</f>
        <v>0.132</v>
      </c>
      <c r="L108" s="13">
        <v>0.098</v>
      </c>
      <c r="M108" s="13" cm="1">
        <f t="array" ref="M108">0.125+1.2</f>
        <v>1.325</v>
      </c>
      <c r="N108" s="13">
        <v>14</v>
      </c>
      <c r="O108" s="20" cm="1">
        <f t="array" ref="O108">K108-I108</f>
        <v>0.01</v>
      </c>
      <c r="P108" t="s" s="9">
        <v>26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ht="13.65" customHeight="1">
      <c r="A109" t="s" s="16">
        <v>25</v>
      </c>
      <c r="B109" s="35">
        <v>45440</v>
      </c>
      <c r="C109" t="s" s="16">
        <v>23</v>
      </c>
      <c r="D109" s="18">
        <v>8</v>
      </c>
      <c r="E109" s="18">
        <v>1</v>
      </c>
      <c r="F109" s="18">
        <v>2</v>
      </c>
      <c r="G109" s="29">
        <v>45439</v>
      </c>
      <c r="H109" s="20">
        <v>0.5570000000000001</v>
      </c>
      <c r="I109" s="20">
        <v>0.123</v>
      </c>
      <c r="J109" s="20">
        <v>0.6870000000000001</v>
      </c>
      <c r="K109" s="20" cm="1">
        <f t="array" ref="K109">J109-H109</f>
        <v>0.13</v>
      </c>
      <c r="L109" s="20">
        <v>0.076</v>
      </c>
      <c r="M109" s="20" cm="1">
        <f t="array" ref="M109">0.125+1.2</f>
        <v>1.325</v>
      </c>
      <c r="N109" s="20">
        <v>14</v>
      </c>
      <c r="O109" s="20" cm="1">
        <f t="array" ref="O109">K109-I109</f>
        <v>0.007</v>
      </c>
      <c r="P109" t="s" s="16">
        <v>26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ht="13.65" customHeight="1">
      <c r="A110" t="s" s="16">
        <v>25</v>
      </c>
      <c r="B110" s="35">
        <v>45440</v>
      </c>
      <c r="C110" t="s" s="16">
        <v>23</v>
      </c>
      <c r="D110" s="18">
        <v>8</v>
      </c>
      <c r="E110" s="18">
        <v>1</v>
      </c>
      <c r="F110" s="18">
        <v>3</v>
      </c>
      <c r="G110" s="29">
        <v>45439</v>
      </c>
      <c r="H110" s="20">
        <v>0.462</v>
      </c>
      <c r="I110" s="20">
        <v>0.12</v>
      </c>
      <c r="J110" s="20">
        <v>0.592</v>
      </c>
      <c r="K110" s="20" cm="1">
        <f t="array" ref="K110">J110-H110</f>
        <v>0.13</v>
      </c>
      <c r="L110" s="20">
        <v>0.076</v>
      </c>
      <c r="M110" s="20" cm="1">
        <f t="array" ref="M110">0.125+1.2</f>
        <v>1.325</v>
      </c>
      <c r="N110" s="20">
        <v>14</v>
      </c>
      <c r="O110" s="20" cm="1">
        <f t="array" ref="O110">K110-I110</f>
        <v>0.01</v>
      </c>
      <c r="P110" t="s" s="16">
        <v>26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ht="13.65" customHeight="1">
      <c r="A111" t="s" s="22">
        <v>25</v>
      </c>
      <c r="B111" s="36">
        <v>45440</v>
      </c>
      <c r="C111" t="s" s="22">
        <v>23</v>
      </c>
      <c r="D111" s="24">
        <v>8</v>
      </c>
      <c r="E111" s="24">
        <v>1</v>
      </c>
      <c r="F111" s="24">
        <v>4</v>
      </c>
      <c r="G111" s="30">
        <v>45439</v>
      </c>
      <c r="H111" s="26">
        <v>0.521</v>
      </c>
      <c r="I111" s="26">
        <v>0.122</v>
      </c>
      <c r="J111" s="26">
        <v>0.652</v>
      </c>
      <c r="K111" s="20" cm="1">
        <f t="array" ref="K111">J111-H111</f>
        <v>0.131</v>
      </c>
      <c r="L111" s="26">
        <v>0.078</v>
      </c>
      <c r="M111" s="26" cm="1">
        <f t="array" ref="M111">0.125+1.2</f>
        <v>1.325</v>
      </c>
      <c r="N111" s="26">
        <v>14</v>
      </c>
      <c r="O111" s="20" cm="1">
        <f t="array" ref="O111">K111-I111</f>
        <v>0.008999999999999999</v>
      </c>
      <c r="P111" t="s" s="22">
        <v>26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ht="13.65" customHeight="1">
      <c r="A112" t="s" s="9">
        <v>25</v>
      </c>
      <c r="B112" s="34">
        <v>45440</v>
      </c>
      <c r="C112" t="s" s="9">
        <v>23</v>
      </c>
      <c r="D112" s="11">
        <v>8</v>
      </c>
      <c r="E112" s="11">
        <v>2</v>
      </c>
      <c r="F112" s="11">
        <v>1</v>
      </c>
      <c r="G112" s="28">
        <v>45439</v>
      </c>
      <c r="H112" s="13">
        <v>0.652</v>
      </c>
      <c r="I112" s="13">
        <v>0.121</v>
      </c>
      <c r="J112" s="13">
        <v>0.782</v>
      </c>
      <c r="K112" s="20" cm="1">
        <f t="array" ref="K112">J112-H112</f>
        <v>0.13</v>
      </c>
      <c r="L112" s="13">
        <v>0.078</v>
      </c>
      <c r="M112" s="13" cm="1">
        <f t="array" ref="M112">1+0.28+0.125</f>
        <v>1.405</v>
      </c>
      <c r="N112" s="13">
        <v>14</v>
      </c>
      <c r="O112" s="20" cm="1">
        <f t="array" ref="O112">K112-I112</f>
        <v>0.008999999999999999</v>
      </c>
      <c r="P112" t="s" s="9">
        <v>26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ht="13.65" customHeight="1">
      <c r="A113" t="s" s="16">
        <v>25</v>
      </c>
      <c r="B113" s="35">
        <v>45440</v>
      </c>
      <c r="C113" t="s" s="16">
        <v>23</v>
      </c>
      <c r="D113" s="18">
        <v>8</v>
      </c>
      <c r="E113" s="18">
        <v>2</v>
      </c>
      <c r="F113" s="18">
        <v>2</v>
      </c>
      <c r="G113" s="29">
        <v>45439</v>
      </c>
      <c r="H113" s="20">
        <v>0.615</v>
      </c>
      <c r="I113" s="20">
        <v>0.122</v>
      </c>
      <c r="J113" s="20">
        <v>0.745</v>
      </c>
      <c r="K113" s="20" cm="1">
        <f t="array" ref="K113">J113-H113</f>
        <v>0.13</v>
      </c>
      <c r="L113" s="20">
        <v>0.078</v>
      </c>
      <c r="M113" s="20" cm="1">
        <f t="array" ref="M113">1+0.28+0.125</f>
        <v>1.405</v>
      </c>
      <c r="N113" s="20">
        <v>14</v>
      </c>
      <c r="O113" s="20" cm="1">
        <f t="array" ref="O113">K113-I113</f>
        <v>0.008</v>
      </c>
      <c r="P113" t="s" s="16">
        <v>26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ht="13.65" customHeight="1">
      <c r="A114" t="s" s="16">
        <v>25</v>
      </c>
      <c r="B114" s="35">
        <v>45440</v>
      </c>
      <c r="C114" t="s" s="16">
        <v>23</v>
      </c>
      <c r="D114" s="18">
        <v>8</v>
      </c>
      <c r="E114" s="18">
        <v>2</v>
      </c>
      <c r="F114" s="18">
        <v>3</v>
      </c>
      <c r="G114" s="29">
        <v>45439</v>
      </c>
      <c r="H114" s="20">
        <v>0.489</v>
      </c>
      <c r="I114" s="20">
        <v>0.123</v>
      </c>
      <c r="J114" s="20">
        <v>0.619</v>
      </c>
      <c r="K114" s="20" cm="1">
        <f t="array" ref="K114">J114-H114</f>
        <v>0.13</v>
      </c>
      <c r="L114" s="20">
        <v>0.074</v>
      </c>
      <c r="M114" s="20" cm="1">
        <f t="array" ref="M114">1+0.28+0.125</f>
        <v>1.405</v>
      </c>
      <c r="N114" s="20">
        <v>14</v>
      </c>
      <c r="O114" s="20" cm="1">
        <f t="array" ref="O114">K114-I114</f>
        <v>0.007</v>
      </c>
      <c r="P114" t="s" s="16">
        <v>26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ht="13.65" customHeight="1">
      <c r="A115" t="s" s="22">
        <v>25</v>
      </c>
      <c r="B115" s="36">
        <v>45440</v>
      </c>
      <c r="C115" t="s" s="22">
        <v>23</v>
      </c>
      <c r="D115" s="24">
        <v>8</v>
      </c>
      <c r="E115" s="24">
        <v>2</v>
      </c>
      <c r="F115" s="24">
        <v>4</v>
      </c>
      <c r="G115" s="30">
        <v>45439</v>
      </c>
      <c r="H115" s="26">
        <v>0.479</v>
      </c>
      <c r="I115" s="26">
        <v>0.122</v>
      </c>
      <c r="J115" s="26">
        <v>0.609</v>
      </c>
      <c r="K115" s="20" cm="1">
        <f t="array" ref="K115">J115-H115</f>
        <v>0.13</v>
      </c>
      <c r="L115" s="26">
        <v>0.07199999999999999</v>
      </c>
      <c r="M115" s="26" cm="1">
        <f t="array" ref="M115">1+0.28+0.125</f>
        <v>1.405</v>
      </c>
      <c r="N115" s="26">
        <v>14</v>
      </c>
      <c r="O115" s="20" cm="1">
        <f t="array" ref="O115">K115-I115</f>
        <v>0.008</v>
      </c>
      <c r="P115" t="s" s="22">
        <v>26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ht="13.65" customHeight="1">
      <c r="A116" t="s" s="9">
        <v>25</v>
      </c>
      <c r="B116" s="34">
        <v>45440</v>
      </c>
      <c r="C116" t="s" s="9">
        <v>20</v>
      </c>
      <c r="D116" s="11">
        <v>4</v>
      </c>
      <c r="E116" s="11">
        <v>1</v>
      </c>
      <c r="F116" s="11">
        <v>1</v>
      </c>
      <c r="G116" s="28">
        <v>45439</v>
      </c>
      <c r="H116" s="13">
        <v>0.658</v>
      </c>
      <c r="I116" s="13">
        <v>0.123</v>
      </c>
      <c r="J116" s="13">
        <v>0.783</v>
      </c>
      <c r="K116" s="20" cm="1">
        <f t="array" ref="K116">J116-H116</f>
        <v>0.125</v>
      </c>
      <c r="L116" s="13">
        <v>0.1</v>
      </c>
      <c r="M116" s="13" cm="1">
        <f t="array" ref="M116">0.125+1.15</f>
        <v>1.275</v>
      </c>
      <c r="N116" s="13">
        <v>14</v>
      </c>
      <c r="O116" s="20" cm="1">
        <f t="array" ref="O116">K116-I116</f>
        <v>0.002</v>
      </c>
      <c r="P116" t="s" s="9">
        <v>26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ht="13.65" customHeight="1">
      <c r="A117" t="s" s="16">
        <v>25</v>
      </c>
      <c r="B117" s="35">
        <v>45440</v>
      </c>
      <c r="C117" t="s" s="16">
        <v>20</v>
      </c>
      <c r="D117" s="18">
        <v>4</v>
      </c>
      <c r="E117" s="18">
        <v>1</v>
      </c>
      <c r="F117" s="18">
        <v>2</v>
      </c>
      <c r="G117" s="29">
        <v>45439</v>
      </c>
      <c r="H117" s="20">
        <v>0.647</v>
      </c>
      <c r="I117" s="20">
        <v>0.12</v>
      </c>
      <c r="J117" s="20">
        <v>0.771</v>
      </c>
      <c r="K117" s="20" cm="1">
        <f t="array" ref="K117">J117-H117</f>
        <v>0.124</v>
      </c>
      <c r="L117" s="20">
        <v>0.102</v>
      </c>
      <c r="M117" s="20" cm="1">
        <f t="array" ref="M117">0.125+1.15</f>
        <v>1.275</v>
      </c>
      <c r="N117" s="20">
        <v>14</v>
      </c>
      <c r="O117" s="20" cm="1">
        <f t="array" ref="O117">K117-I117</f>
        <v>0.004</v>
      </c>
      <c r="P117" t="s" s="16">
        <v>26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ht="13.65" customHeight="1">
      <c r="A118" t="s" s="16">
        <v>25</v>
      </c>
      <c r="B118" s="35">
        <v>45440</v>
      </c>
      <c r="C118" t="s" s="16">
        <v>20</v>
      </c>
      <c r="D118" s="18">
        <v>4</v>
      </c>
      <c r="E118" s="18">
        <v>1</v>
      </c>
      <c r="F118" s="18">
        <v>3</v>
      </c>
      <c r="G118" s="29">
        <v>45439</v>
      </c>
      <c r="H118" s="20">
        <v>0.519</v>
      </c>
      <c r="I118" s="20">
        <v>0.12</v>
      </c>
      <c r="J118" s="20">
        <v>0.643</v>
      </c>
      <c r="K118" s="20" cm="1">
        <f t="array" ref="K118">J118-H118</f>
        <v>0.124</v>
      </c>
      <c r="L118" s="20">
        <v>0.102</v>
      </c>
      <c r="M118" s="20" cm="1">
        <f t="array" ref="M118">0.125+1.15</f>
        <v>1.275</v>
      </c>
      <c r="N118" s="20">
        <v>14</v>
      </c>
      <c r="O118" s="20" cm="1">
        <f t="array" ref="O118">K118-I118</f>
        <v>0.004</v>
      </c>
      <c r="P118" t="s" s="16">
        <v>26</v>
      </c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ht="13.65" customHeight="1">
      <c r="A119" t="s" s="22">
        <v>25</v>
      </c>
      <c r="B119" s="36">
        <v>45440</v>
      </c>
      <c r="C119" t="s" s="22">
        <v>20</v>
      </c>
      <c r="D119" s="24">
        <v>4</v>
      </c>
      <c r="E119" s="24">
        <v>1</v>
      </c>
      <c r="F119" s="24">
        <v>4</v>
      </c>
      <c r="G119" s="30">
        <v>45439</v>
      </c>
      <c r="H119" s="26">
        <v>0.512</v>
      </c>
      <c r="I119" s="26">
        <v>0.121</v>
      </c>
      <c r="J119" s="26">
        <v>0.637</v>
      </c>
      <c r="K119" s="20" cm="1">
        <f t="array" ref="K119">J119-H119</f>
        <v>0.125</v>
      </c>
      <c r="L119" s="26">
        <v>0.098</v>
      </c>
      <c r="M119" s="26" cm="1">
        <f t="array" ref="M119">0.125+1.15</f>
        <v>1.275</v>
      </c>
      <c r="N119" s="26">
        <v>14</v>
      </c>
      <c r="O119" s="20" cm="1">
        <f t="array" ref="O119">K119-I119</f>
        <v>0.004</v>
      </c>
      <c r="P119" t="s" s="22">
        <v>26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ht="13.65" customHeight="1">
      <c r="A120" t="s" s="9">
        <v>25</v>
      </c>
      <c r="B120" s="34">
        <v>45440</v>
      </c>
      <c r="C120" t="s" s="9">
        <v>20</v>
      </c>
      <c r="D120" s="11">
        <v>4</v>
      </c>
      <c r="E120" s="11">
        <v>2</v>
      </c>
      <c r="F120" s="11">
        <v>1</v>
      </c>
      <c r="G120" s="28">
        <v>45439</v>
      </c>
      <c r="H120" s="13">
        <v>0.553</v>
      </c>
      <c r="I120" s="13">
        <v>0.121</v>
      </c>
      <c r="J120" s="13">
        <v>0.677</v>
      </c>
      <c r="K120" s="20" cm="1">
        <f t="array" ref="K120">J120-H120</f>
        <v>0.124</v>
      </c>
      <c r="L120" s="13">
        <v>0.122</v>
      </c>
      <c r="M120" s="13" cm="1">
        <f t="array" ref="M120">0.125+0.99</f>
        <v>1.115</v>
      </c>
      <c r="N120" s="13">
        <v>14</v>
      </c>
      <c r="O120" s="20" cm="1">
        <f t="array" ref="O120">K120-I120</f>
        <v>0.003</v>
      </c>
      <c r="P120" t="s" s="9">
        <v>26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ht="13.65" customHeight="1">
      <c r="A121" t="s" s="16">
        <v>25</v>
      </c>
      <c r="B121" s="35">
        <v>45440</v>
      </c>
      <c r="C121" t="s" s="16">
        <v>20</v>
      </c>
      <c r="D121" s="18">
        <v>4</v>
      </c>
      <c r="E121" s="18">
        <v>2</v>
      </c>
      <c r="F121" s="18">
        <v>2</v>
      </c>
      <c r="G121" s="29">
        <v>45439</v>
      </c>
      <c r="H121" s="20">
        <v>0.543</v>
      </c>
      <c r="I121" s="20">
        <v>0.12</v>
      </c>
      <c r="J121" s="20">
        <v>0.668</v>
      </c>
      <c r="K121" s="20" cm="1">
        <f t="array" ref="K121">J121-H121</f>
        <v>0.125</v>
      </c>
      <c r="L121" s="20">
        <v>0.13</v>
      </c>
      <c r="M121" s="20" cm="1">
        <f t="array" ref="M121">0.125+0.99</f>
        <v>1.115</v>
      </c>
      <c r="N121" s="20">
        <v>14</v>
      </c>
      <c r="O121" s="20" cm="1">
        <f t="array" ref="O121">K121-I121</f>
        <v>0.005</v>
      </c>
      <c r="P121" t="s" s="16">
        <v>26</v>
      </c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ht="13.65" customHeight="1">
      <c r="A122" t="s" s="16">
        <v>25</v>
      </c>
      <c r="B122" s="35">
        <v>45440</v>
      </c>
      <c r="C122" t="s" s="16">
        <v>20</v>
      </c>
      <c r="D122" s="18">
        <v>4</v>
      </c>
      <c r="E122" s="18">
        <v>2</v>
      </c>
      <c r="F122" s="18">
        <v>3</v>
      </c>
      <c r="G122" s="29">
        <v>45439</v>
      </c>
      <c r="H122" s="20">
        <v>0.5669999999999999</v>
      </c>
      <c r="I122" s="20">
        <v>0.121</v>
      </c>
      <c r="J122" s="20">
        <v>0.6929999999999999</v>
      </c>
      <c r="K122" s="20" cm="1">
        <f t="array" ref="K122">J122-H122</f>
        <v>0.126</v>
      </c>
      <c r="L122" s="20">
        <v>0.122</v>
      </c>
      <c r="M122" s="20" cm="1">
        <f t="array" ref="M122">0.125+0.99</f>
        <v>1.115</v>
      </c>
      <c r="N122" s="20">
        <v>14</v>
      </c>
      <c r="O122" s="20" cm="1">
        <f t="array" ref="O122">K122-I122</f>
        <v>0.005</v>
      </c>
      <c r="P122" t="s" s="16">
        <v>26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ht="13.65" customHeight="1">
      <c r="A123" t="s" s="22">
        <v>25</v>
      </c>
      <c r="B123" s="36">
        <v>45440</v>
      </c>
      <c r="C123" t="s" s="22">
        <v>20</v>
      </c>
      <c r="D123" s="24">
        <v>4</v>
      </c>
      <c r="E123" s="24">
        <v>2</v>
      </c>
      <c r="F123" s="24">
        <v>4</v>
      </c>
      <c r="G123" s="30">
        <v>45439</v>
      </c>
      <c r="H123" s="26">
        <v>0.522</v>
      </c>
      <c r="I123" s="26">
        <v>0.121</v>
      </c>
      <c r="J123" s="26">
        <v>0.649</v>
      </c>
      <c r="K123" s="20" cm="1">
        <f t="array" ref="K123">J123-H123</f>
        <v>0.127</v>
      </c>
      <c r="L123" s="26">
        <v>0.124</v>
      </c>
      <c r="M123" s="20" cm="1">
        <f t="array" ref="M123">0.125+0.99</f>
        <v>1.115</v>
      </c>
      <c r="N123" s="26">
        <v>14</v>
      </c>
      <c r="O123" s="20" cm="1">
        <f t="array" ref="O123">K123-I123</f>
        <v>0.006</v>
      </c>
      <c r="P123" t="s" s="22">
        <v>26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ht="13.65" customHeight="1">
      <c r="A124" t="s" s="9">
        <v>25</v>
      </c>
      <c r="B124" s="34">
        <v>45440</v>
      </c>
      <c r="C124" t="s" s="9">
        <v>20</v>
      </c>
      <c r="D124" s="11">
        <v>8</v>
      </c>
      <c r="E124" s="11">
        <v>1</v>
      </c>
      <c r="F124" s="11">
        <v>1</v>
      </c>
      <c r="G124" s="28">
        <v>45439</v>
      </c>
      <c r="H124" s="13">
        <v>0.505</v>
      </c>
      <c r="I124" s="13">
        <v>0.121</v>
      </c>
      <c r="J124" s="13">
        <v>0.638</v>
      </c>
      <c r="K124" s="20" cm="1">
        <f t="array" ref="K124">J124-H124</f>
        <v>0.133</v>
      </c>
      <c r="L124" s="13">
        <v>0.102</v>
      </c>
      <c r="M124" s="20" cm="1">
        <f t="array" ref="M124">0.125+1.15</f>
        <v>1.275</v>
      </c>
      <c r="N124" s="13">
        <v>14</v>
      </c>
      <c r="O124" s="20" cm="1">
        <f t="array" ref="O124">K124-I124</f>
        <v>0.012</v>
      </c>
      <c r="P124" t="s" s="9">
        <v>26</v>
      </c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ht="13.65" customHeight="1">
      <c r="A125" t="s" s="16">
        <v>25</v>
      </c>
      <c r="B125" s="35">
        <v>45440</v>
      </c>
      <c r="C125" t="s" s="16">
        <v>20</v>
      </c>
      <c r="D125" s="18">
        <v>8</v>
      </c>
      <c r="E125" s="18">
        <v>1</v>
      </c>
      <c r="F125" s="18">
        <v>2</v>
      </c>
      <c r="G125" s="29">
        <v>45439</v>
      </c>
      <c r="H125" s="20">
        <v>0.497</v>
      </c>
      <c r="I125" s="20">
        <v>0.12</v>
      </c>
      <c r="J125" s="20">
        <v>0.629</v>
      </c>
      <c r="K125" s="20" cm="1">
        <f t="array" ref="K125">J125-H125</f>
        <v>0.132</v>
      </c>
      <c r="L125" s="20">
        <v>0.104</v>
      </c>
      <c r="M125" s="20" cm="1">
        <f t="array" ref="M125">0.125+1.15</f>
        <v>1.275</v>
      </c>
      <c r="N125" s="20">
        <v>14</v>
      </c>
      <c r="O125" s="20" cm="1">
        <f t="array" ref="O125">K125-I125</f>
        <v>0.012</v>
      </c>
      <c r="P125" t="s" s="16">
        <v>26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ht="13.65" customHeight="1">
      <c r="A126" t="s" s="16">
        <v>25</v>
      </c>
      <c r="B126" s="35">
        <v>45440</v>
      </c>
      <c r="C126" t="s" s="16">
        <v>20</v>
      </c>
      <c r="D126" s="18">
        <v>8</v>
      </c>
      <c r="E126" s="18">
        <v>1</v>
      </c>
      <c r="F126" s="18">
        <v>3</v>
      </c>
      <c r="G126" s="29">
        <v>45439</v>
      </c>
      <c r="H126" s="20">
        <v>0.584</v>
      </c>
      <c r="I126" s="20">
        <v>0.122</v>
      </c>
      <c r="J126" s="20">
        <v>0.718</v>
      </c>
      <c r="K126" s="20" cm="1">
        <f t="array" ref="K126">J126-H126</f>
        <v>0.134</v>
      </c>
      <c r="L126" s="20">
        <v>0.1</v>
      </c>
      <c r="M126" s="20" cm="1">
        <f t="array" ref="M126">0.125+1.15</f>
        <v>1.275</v>
      </c>
      <c r="N126" s="20">
        <v>14</v>
      </c>
      <c r="O126" s="20" cm="1">
        <f t="array" ref="O126">K126-I126</f>
        <v>0.012</v>
      </c>
      <c r="P126" t="s" s="16">
        <v>26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ht="13.65" customHeight="1">
      <c r="A127" t="s" s="22">
        <v>25</v>
      </c>
      <c r="B127" s="36">
        <v>45440</v>
      </c>
      <c r="C127" t="s" s="22">
        <v>20</v>
      </c>
      <c r="D127" s="24">
        <v>8</v>
      </c>
      <c r="E127" s="24">
        <v>1</v>
      </c>
      <c r="F127" s="24">
        <v>4</v>
      </c>
      <c r="G127" s="30">
        <v>45439</v>
      </c>
      <c r="H127" s="26">
        <v>0.513</v>
      </c>
      <c r="I127" s="26">
        <v>0.12</v>
      </c>
      <c r="J127" s="26">
        <v>0.646</v>
      </c>
      <c r="K127" s="20" cm="1">
        <f t="array" ref="K127">J127-H127</f>
        <v>0.133</v>
      </c>
      <c r="L127" s="26">
        <v>0.1</v>
      </c>
      <c r="M127" s="26" cm="1">
        <f t="array" ref="M127">0.125+1.15</f>
        <v>1.275</v>
      </c>
      <c r="N127" s="26">
        <v>14</v>
      </c>
      <c r="O127" s="20" cm="1">
        <f t="array" ref="O127">K127-I127</f>
        <v>0.013</v>
      </c>
      <c r="P127" t="s" s="22">
        <v>26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ht="13.65" customHeight="1">
      <c r="A128" t="s" s="9">
        <v>25</v>
      </c>
      <c r="B128" s="34">
        <v>45440</v>
      </c>
      <c r="C128" t="s" s="9">
        <v>20</v>
      </c>
      <c r="D128" s="11">
        <v>8</v>
      </c>
      <c r="E128" s="11">
        <v>2</v>
      </c>
      <c r="F128" s="11">
        <v>1</v>
      </c>
      <c r="G128" s="28">
        <v>45439</v>
      </c>
      <c r="H128" s="13">
        <v>0.613</v>
      </c>
      <c r="I128" s="13">
        <v>0.12</v>
      </c>
      <c r="J128" s="13">
        <v>0.743</v>
      </c>
      <c r="K128" s="20" cm="1">
        <f t="array" ref="K128">J128-H128</f>
        <v>0.13</v>
      </c>
      <c r="L128" s="13">
        <v>0.1</v>
      </c>
      <c r="M128" s="13" cm="1">
        <f t="array" ref="M128">0.125+1.15</f>
        <v>1.275</v>
      </c>
      <c r="N128" s="13">
        <v>14</v>
      </c>
      <c r="O128" s="20" cm="1">
        <f t="array" ref="O128">K128-I128</f>
        <v>0.01</v>
      </c>
      <c r="P128" t="s" s="9">
        <v>26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ht="13.65" customHeight="1">
      <c r="A129" t="s" s="16">
        <v>25</v>
      </c>
      <c r="B129" s="35">
        <v>45440</v>
      </c>
      <c r="C129" t="s" s="16">
        <v>20</v>
      </c>
      <c r="D129" s="18">
        <v>8</v>
      </c>
      <c r="E129" s="18">
        <v>2</v>
      </c>
      <c r="F129" s="18">
        <v>2</v>
      </c>
      <c r="G129" s="29">
        <v>45439</v>
      </c>
      <c r="H129" s="20">
        <v>0.593</v>
      </c>
      <c r="I129" s="20">
        <v>0.123</v>
      </c>
      <c r="J129" s="20">
        <v>0.731</v>
      </c>
      <c r="K129" s="20" cm="1">
        <f t="array" ref="K129">J129-H129</f>
        <v>0.138</v>
      </c>
      <c r="L129" s="20">
        <v>0.098</v>
      </c>
      <c r="M129" s="20" cm="1">
        <f t="array" ref="M129">0.125+1.15</f>
        <v>1.275</v>
      </c>
      <c r="N129" s="20">
        <v>14</v>
      </c>
      <c r="O129" s="20" cm="1">
        <f t="array" ref="O129">K129-I129</f>
        <v>0.015</v>
      </c>
      <c r="P129" t="s" s="16">
        <v>26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ht="13.65" customHeight="1">
      <c r="A130" t="s" s="16">
        <v>25</v>
      </c>
      <c r="B130" s="35">
        <v>45440</v>
      </c>
      <c r="C130" t="s" s="16">
        <v>20</v>
      </c>
      <c r="D130" s="18">
        <v>8</v>
      </c>
      <c r="E130" s="18">
        <v>2</v>
      </c>
      <c r="F130" s="18">
        <v>3</v>
      </c>
      <c r="G130" s="29">
        <v>45439</v>
      </c>
      <c r="H130" s="20">
        <v>0.596</v>
      </c>
      <c r="I130" s="20">
        <v>0.121</v>
      </c>
      <c r="J130" s="20">
        <v>0.733</v>
      </c>
      <c r="K130" s="20" cm="1">
        <f t="array" ref="K130">J130-H130</f>
        <v>0.137</v>
      </c>
      <c r="L130" s="20">
        <v>0.106</v>
      </c>
      <c r="M130" s="20" cm="1">
        <f t="array" ref="M130">0.125+1.15</f>
        <v>1.275</v>
      </c>
      <c r="N130" s="20">
        <v>14</v>
      </c>
      <c r="O130" s="20" cm="1">
        <f t="array" ref="O130">K130-I130</f>
        <v>0.016</v>
      </c>
      <c r="P130" t="s" s="16">
        <v>26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ht="13.65" customHeight="1">
      <c r="A131" t="s" s="22">
        <v>25</v>
      </c>
      <c r="B131" s="36">
        <v>45440</v>
      </c>
      <c r="C131" t="s" s="22">
        <v>20</v>
      </c>
      <c r="D131" s="24">
        <v>8</v>
      </c>
      <c r="E131" s="24">
        <v>2</v>
      </c>
      <c r="F131" s="24">
        <v>4</v>
      </c>
      <c r="G131" s="30">
        <v>45439</v>
      </c>
      <c r="H131" s="26">
        <v>0.477</v>
      </c>
      <c r="I131" s="26">
        <v>0.121</v>
      </c>
      <c r="J131" s="26">
        <v>0.611</v>
      </c>
      <c r="K131" s="20" cm="1">
        <f t="array" ref="K131">J131-H131</f>
        <v>0.134</v>
      </c>
      <c r="L131" s="26">
        <v>0.102</v>
      </c>
      <c r="M131" s="26" cm="1">
        <f t="array" ref="M131">0.125+1.15</f>
        <v>1.275</v>
      </c>
      <c r="N131" s="26">
        <v>14</v>
      </c>
      <c r="O131" s="20" cm="1">
        <f t="array" ref="O131">K131-I131</f>
        <v>0.013</v>
      </c>
      <c r="P131" t="s" s="22">
        <v>26</v>
      </c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ht="13.65" customHeight="1">
      <c r="A132" t="s" s="9">
        <v>27</v>
      </c>
      <c r="B132" s="10">
        <v>45454</v>
      </c>
      <c r="C132" t="s" s="9">
        <v>23</v>
      </c>
      <c r="D132" s="11">
        <v>4</v>
      </c>
      <c r="E132" s="11">
        <v>1</v>
      </c>
      <c r="F132" s="11">
        <v>1</v>
      </c>
      <c r="G132" s="10">
        <v>45453</v>
      </c>
      <c r="H132" s="13">
        <v>1.012</v>
      </c>
      <c r="I132" s="13">
        <v>0.12</v>
      </c>
      <c r="J132" s="13">
        <v>1.136</v>
      </c>
      <c r="K132" s="20" cm="1">
        <f t="array" ref="K132">J132-H132</f>
        <v>0.124</v>
      </c>
      <c r="L132" s="13">
        <v>0.132</v>
      </c>
      <c r="M132" s="13">
        <v>1.125</v>
      </c>
      <c r="N132" s="13">
        <v>14</v>
      </c>
      <c r="O132" s="20" cm="1">
        <f t="array" ref="O132">K132-I132</f>
        <v>0.004</v>
      </c>
      <c r="P132" s="15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ht="13.65" customHeight="1">
      <c r="A133" t="s" s="16">
        <v>27</v>
      </c>
      <c r="B133" s="17">
        <v>45454</v>
      </c>
      <c r="C133" t="s" s="16">
        <v>23</v>
      </c>
      <c r="D133" s="18">
        <v>4</v>
      </c>
      <c r="E133" s="18">
        <v>1</v>
      </c>
      <c r="F133" s="18">
        <v>2</v>
      </c>
      <c r="G133" s="17">
        <v>45453</v>
      </c>
      <c r="H133" s="20">
        <v>0.982</v>
      </c>
      <c r="I133" s="20">
        <v>0.121</v>
      </c>
      <c r="J133" s="20">
        <v>1.109</v>
      </c>
      <c r="K133" s="20" cm="1">
        <f t="array" ref="K133">J133-H133</f>
        <v>0.127</v>
      </c>
      <c r="L133" s="20">
        <v>0.138</v>
      </c>
      <c r="M133" s="20">
        <v>1.125</v>
      </c>
      <c r="N133" s="20">
        <v>14</v>
      </c>
      <c r="O133" s="20" cm="1">
        <f t="array" ref="O133">K133-I133</f>
        <v>0.006</v>
      </c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ht="13.65" customHeight="1">
      <c r="A134" t="s" s="16">
        <v>27</v>
      </c>
      <c r="B134" s="17">
        <v>45454</v>
      </c>
      <c r="C134" t="s" s="16">
        <v>23</v>
      </c>
      <c r="D134" s="18">
        <v>4</v>
      </c>
      <c r="E134" s="18">
        <v>1</v>
      </c>
      <c r="F134" s="18">
        <v>3</v>
      </c>
      <c r="G134" s="17">
        <v>45453</v>
      </c>
      <c r="H134" s="20">
        <v>1.012</v>
      </c>
      <c r="I134" s="20">
        <v>0.12</v>
      </c>
      <c r="J134" s="20">
        <v>1.134</v>
      </c>
      <c r="K134" s="20" cm="1">
        <f t="array" ref="K134">J134-H134</f>
        <v>0.122</v>
      </c>
      <c r="L134" s="20">
        <v>0.126</v>
      </c>
      <c r="M134" s="20">
        <v>1.125</v>
      </c>
      <c r="N134" s="20">
        <v>14</v>
      </c>
      <c r="O134" s="20" cm="1">
        <f t="array" ref="O134">K134-I134</f>
        <v>0.002</v>
      </c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ht="13.65" customHeight="1">
      <c r="A135" t="s" s="16">
        <v>27</v>
      </c>
      <c r="B135" s="17">
        <v>45454</v>
      </c>
      <c r="C135" t="s" s="22">
        <v>23</v>
      </c>
      <c r="D135" s="24">
        <v>4</v>
      </c>
      <c r="E135" s="24">
        <v>1</v>
      </c>
      <c r="F135" s="24">
        <v>4</v>
      </c>
      <c r="G135" s="25">
        <v>45453</v>
      </c>
      <c r="H135" s="26">
        <v>1.017</v>
      </c>
      <c r="I135" s="26">
        <v>0.12</v>
      </c>
      <c r="J135" s="26">
        <v>1.142</v>
      </c>
      <c r="K135" s="20" cm="1">
        <f t="array" ref="K135">J135-H135</f>
        <v>0.125</v>
      </c>
      <c r="L135" s="26">
        <v>0.134</v>
      </c>
      <c r="M135" s="20">
        <v>1.125</v>
      </c>
      <c r="N135" s="26">
        <v>14</v>
      </c>
      <c r="O135" s="20" cm="1">
        <f t="array" ref="O135">K135-I135</f>
        <v>0.005</v>
      </c>
      <c r="P135" s="6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ht="13.65" customHeight="1">
      <c r="A136" t="s" s="16">
        <v>27</v>
      </c>
      <c r="B136" s="17">
        <v>45454</v>
      </c>
      <c r="C136" t="s" s="9">
        <v>23</v>
      </c>
      <c r="D136" s="11">
        <v>4</v>
      </c>
      <c r="E136" s="11">
        <v>2</v>
      </c>
      <c r="F136" s="11">
        <v>1</v>
      </c>
      <c r="G136" s="10">
        <v>45453</v>
      </c>
      <c r="H136" s="13">
        <v>1.01</v>
      </c>
      <c r="I136" s="13">
        <v>0.122</v>
      </c>
      <c r="J136" s="13">
        <v>1.136</v>
      </c>
      <c r="K136" s="20" cm="1">
        <f t="array" ref="K136">J136-H136</f>
        <v>0.126</v>
      </c>
      <c r="L136" s="13">
        <v>0.134</v>
      </c>
      <c r="M136" s="20">
        <v>1.275</v>
      </c>
      <c r="N136" s="13">
        <v>14</v>
      </c>
      <c r="O136" s="20" cm="1">
        <f t="array" ref="O136">K136-I136</f>
        <v>0.004</v>
      </c>
      <c r="P136" s="15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ht="13.65" customHeight="1">
      <c r="A137" t="s" s="16">
        <v>27</v>
      </c>
      <c r="B137" s="17">
        <v>45454</v>
      </c>
      <c r="C137" t="s" s="16">
        <v>23</v>
      </c>
      <c r="D137" s="18">
        <v>4</v>
      </c>
      <c r="E137" s="18">
        <v>2</v>
      </c>
      <c r="F137" s="18">
        <v>2</v>
      </c>
      <c r="G137" s="17">
        <v>45453</v>
      </c>
      <c r="H137" s="20">
        <v>1.033</v>
      </c>
      <c r="I137" s="20">
        <v>0.12</v>
      </c>
      <c r="J137" s="20">
        <v>1.159</v>
      </c>
      <c r="K137" s="20" cm="1">
        <f t="array" ref="K137">J137-H137</f>
        <v>0.126</v>
      </c>
      <c r="L137" s="20">
        <v>0.132</v>
      </c>
      <c r="M137" s="20">
        <v>1.275</v>
      </c>
      <c r="N137" s="20">
        <v>14</v>
      </c>
      <c r="O137" s="20" cm="1">
        <f t="array" ref="O137">K137-I137</f>
        <v>0.006</v>
      </c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ht="13.65" customHeight="1">
      <c r="A138" t="s" s="16">
        <v>27</v>
      </c>
      <c r="B138" s="17">
        <v>45454</v>
      </c>
      <c r="C138" t="s" s="16">
        <v>23</v>
      </c>
      <c r="D138" s="18">
        <v>4</v>
      </c>
      <c r="E138" s="18">
        <v>2</v>
      </c>
      <c r="F138" s="18">
        <v>3</v>
      </c>
      <c r="G138" s="17">
        <v>45453</v>
      </c>
      <c r="H138" s="20">
        <v>1.008</v>
      </c>
      <c r="I138" s="20">
        <v>0.119</v>
      </c>
      <c r="J138" s="20">
        <v>1.131</v>
      </c>
      <c r="K138" s="20" cm="1">
        <f t="array" ref="K138">J138-H138</f>
        <v>0.123</v>
      </c>
      <c r="L138" s="20">
        <v>0.128</v>
      </c>
      <c r="M138" s="20">
        <v>1.275</v>
      </c>
      <c r="N138" s="20">
        <v>14</v>
      </c>
      <c r="O138" s="20" cm="1">
        <f t="array" ref="O138">K138-I138</f>
        <v>0.004</v>
      </c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ht="13.65" customHeight="1">
      <c r="A139" t="s" s="16">
        <v>27</v>
      </c>
      <c r="B139" s="17">
        <v>45454</v>
      </c>
      <c r="C139" t="s" s="22">
        <v>23</v>
      </c>
      <c r="D139" s="24">
        <v>4</v>
      </c>
      <c r="E139" s="24">
        <v>2</v>
      </c>
      <c r="F139" s="24">
        <v>4</v>
      </c>
      <c r="G139" s="25">
        <v>45453</v>
      </c>
      <c r="H139" s="26">
        <v>1.021</v>
      </c>
      <c r="I139" s="26">
        <v>0.121</v>
      </c>
      <c r="J139" s="26">
        <v>1.145</v>
      </c>
      <c r="K139" s="20" cm="1">
        <f t="array" ref="K139">J139-H139</f>
        <v>0.124</v>
      </c>
      <c r="L139" s="26">
        <v>0.13</v>
      </c>
      <c r="M139" s="20">
        <v>1.275</v>
      </c>
      <c r="N139" s="26">
        <v>14</v>
      </c>
      <c r="O139" s="20" cm="1">
        <f t="array" ref="O139">K139-I139</f>
        <v>0.003</v>
      </c>
      <c r="P139" s="6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ht="13.65" customHeight="1">
      <c r="A140" t="s" s="16">
        <v>27</v>
      </c>
      <c r="B140" s="17">
        <v>45454</v>
      </c>
      <c r="C140" t="s" s="9">
        <v>23</v>
      </c>
      <c r="D140" s="11">
        <v>8</v>
      </c>
      <c r="E140" s="11">
        <v>1</v>
      </c>
      <c r="F140" s="11">
        <v>1</v>
      </c>
      <c r="G140" s="10">
        <v>45453</v>
      </c>
      <c r="H140" s="13">
        <v>1.01</v>
      </c>
      <c r="I140" s="13">
        <v>0.119</v>
      </c>
      <c r="J140" s="13">
        <v>1.139</v>
      </c>
      <c r="K140" s="20" cm="1">
        <f t="array" ref="K140">J140-H140</f>
        <v>0.129</v>
      </c>
      <c r="L140" s="13">
        <v>0.098</v>
      </c>
      <c r="M140" s="20">
        <v>1.22</v>
      </c>
      <c r="N140" s="13">
        <v>14</v>
      </c>
      <c r="O140" s="20" cm="1">
        <f t="array" ref="O140">K140-I140</f>
        <v>0.01</v>
      </c>
      <c r="P140" s="15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ht="13.65" customHeight="1">
      <c r="A141" t="s" s="16">
        <v>27</v>
      </c>
      <c r="B141" s="17">
        <v>45454</v>
      </c>
      <c r="C141" t="s" s="16">
        <v>23</v>
      </c>
      <c r="D141" s="18">
        <v>8</v>
      </c>
      <c r="E141" s="18">
        <v>1</v>
      </c>
      <c r="F141" s="18">
        <v>2</v>
      </c>
      <c r="G141" s="17">
        <v>45453</v>
      </c>
      <c r="H141" s="20">
        <v>0.996</v>
      </c>
      <c r="I141" s="20">
        <v>0.122</v>
      </c>
      <c r="J141" s="20">
        <v>1.129</v>
      </c>
      <c r="K141" s="20" cm="1">
        <f t="array" ref="K141">J141-H141</f>
        <v>0.133</v>
      </c>
      <c r="L141" s="20">
        <v>0.096</v>
      </c>
      <c r="M141" s="20">
        <v>1.22</v>
      </c>
      <c r="N141" s="20">
        <v>14</v>
      </c>
      <c r="O141" s="20" cm="1">
        <f t="array" ref="O141">K141-I141</f>
        <v>0.011</v>
      </c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ht="13.65" customHeight="1">
      <c r="A142" t="s" s="16">
        <v>27</v>
      </c>
      <c r="B142" s="17">
        <v>45454</v>
      </c>
      <c r="C142" t="s" s="16">
        <v>23</v>
      </c>
      <c r="D142" s="18">
        <v>8</v>
      </c>
      <c r="E142" s="18">
        <v>1</v>
      </c>
      <c r="F142" s="18">
        <v>3</v>
      </c>
      <c r="G142" s="17">
        <v>45453</v>
      </c>
      <c r="H142" s="20">
        <v>1.008</v>
      </c>
      <c r="I142" s="20">
        <v>0.124</v>
      </c>
      <c r="J142" s="20">
        <v>1.142</v>
      </c>
      <c r="K142" s="20" cm="1">
        <f t="array" ref="K142">J142-H142</f>
        <v>0.134</v>
      </c>
      <c r="L142" s="20">
        <v>0.102</v>
      </c>
      <c r="M142" s="20">
        <v>1.22</v>
      </c>
      <c r="N142" s="20">
        <v>14</v>
      </c>
      <c r="O142" s="20" cm="1">
        <f t="array" ref="O142">K142-I142</f>
        <v>0.01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ht="13.65" customHeight="1">
      <c r="A143" t="s" s="16">
        <v>27</v>
      </c>
      <c r="B143" s="17">
        <v>45454</v>
      </c>
      <c r="C143" t="s" s="22">
        <v>23</v>
      </c>
      <c r="D143" s="24">
        <v>8</v>
      </c>
      <c r="E143" s="24">
        <v>1</v>
      </c>
      <c r="F143" s="24">
        <v>4</v>
      </c>
      <c r="G143" s="25">
        <v>45453</v>
      </c>
      <c r="H143" s="26">
        <v>1.011</v>
      </c>
      <c r="I143" s="26">
        <v>0.12</v>
      </c>
      <c r="J143" s="26">
        <v>1.141</v>
      </c>
      <c r="K143" s="20" cm="1">
        <f t="array" ref="K143">J143-H143</f>
        <v>0.13</v>
      </c>
      <c r="L143" s="26">
        <v>0.1</v>
      </c>
      <c r="M143" s="20">
        <v>1.22</v>
      </c>
      <c r="N143" s="26">
        <v>14</v>
      </c>
      <c r="O143" s="20" cm="1">
        <f t="array" ref="O143">K143-I143</f>
        <v>0.01</v>
      </c>
      <c r="P143" s="6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ht="13.65" customHeight="1">
      <c r="A144" t="s" s="16">
        <v>27</v>
      </c>
      <c r="B144" s="17">
        <v>45454</v>
      </c>
      <c r="C144" t="s" s="9">
        <v>23</v>
      </c>
      <c r="D144" s="11">
        <v>8</v>
      </c>
      <c r="E144" s="11">
        <v>2</v>
      </c>
      <c r="F144" s="11">
        <v>1</v>
      </c>
      <c r="G144" s="10">
        <v>45453</v>
      </c>
      <c r="H144" s="13">
        <v>1.036</v>
      </c>
      <c r="I144" s="13">
        <v>0.121</v>
      </c>
      <c r="J144" s="13">
        <v>1.167</v>
      </c>
      <c r="K144" s="20" cm="1">
        <f t="array" ref="K144">J144-H144</f>
        <v>0.131</v>
      </c>
      <c r="L144" s="13">
        <v>0.098</v>
      </c>
      <c r="M144" s="20">
        <v>1.355</v>
      </c>
      <c r="N144" s="13">
        <v>14</v>
      </c>
      <c r="O144" s="20" cm="1">
        <f t="array" ref="O144">K144-I144</f>
        <v>0.01</v>
      </c>
      <c r="P144" s="15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ht="13.65" customHeight="1">
      <c r="A145" t="s" s="16">
        <v>27</v>
      </c>
      <c r="B145" s="17">
        <v>45454</v>
      </c>
      <c r="C145" t="s" s="16">
        <v>23</v>
      </c>
      <c r="D145" s="18">
        <v>8</v>
      </c>
      <c r="E145" s="18">
        <v>2</v>
      </c>
      <c r="F145" s="18">
        <v>2</v>
      </c>
      <c r="G145" s="17">
        <v>45453</v>
      </c>
      <c r="H145" s="20">
        <v>1.021</v>
      </c>
      <c r="I145" s="20">
        <v>0.122</v>
      </c>
      <c r="J145" s="20">
        <v>1.153</v>
      </c>
      <c r="K145" s="20" cm="1">
        <f t="array" ref="K145">J145-H145</f>
        <v>0.132</v>
      </c>
      <c r="L145" s="20">
        <v>0.1</v>
      </c>
      <c r="M145" s="20">
        <v>1.355</v>
      </c>
      <c r="N145" s="20">
        <v>14</v>
      </c>
      <c r="O145" s="20" cm="1">
        <f t="array" ref="O145">K145-I145</f>
        <v>0.01</v>
      </c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ht="13.65" customHeight="1">
      <c r="A146" t="s" s="16">
        <v>27</v>
      </c>
      <c r="B146" s="17">
        <v>45454</v>
      </c>
      <c r="C146" t="s" s="16">
        <v>23</v>
      </c>
      <c r="D146" s="18">
        <v>8</v>
      </c>
      <c r="E146" s="18">
        <v>2</v>
      </c>
      <c r="F146" s="18">
        <v>3</v>
      </c>
      <c r="G146" s="17">
        <v>45453</v>
      </c>
      <c r="H146" s="20">
        <v>0.995</v>
      </c>
      <c r="I146" s="20">
        <v>0.119</v>
      </c>
      <c r="J146" s="20">
        <v>1.124</v>
      </c>
      <c r="K146" s="20" cm="1">
        <f t="array" ref="K146">J146-H146</f>
        <v>0.129</v>
      </c>
      <c r="L146" s="20">
        <v>0.11</v>
      </c>
      <c r="M146" s="20">
        <v>1.355</v>
      </c>
      <c r="N146" s="20">
        <v>14</v>
      </c>
      <c r="O146" s="20" cm="1">
        <f t="array" ref="O146">K146-I146</f>
        <v>0.01</v>
      </c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ht="13.65" customHeight="1">
      <c r="A147" t="s" s="16">
        <v>27</v>
      </c>
      <c r="B147" s="17">
        <v>45454</v>
      </c>
      <c r="C147" t="s" s="22">
        <v>23</v>
      </c>
      <c r="D147" s="24">
        <v>8</v>
      </c>
      <c r="E147" s="24">
        <v>2</v>
      </c>
      <c r="F147" s="24">
        <v>4</v>
      </c>
      <c r="G147" s="25">
        <v>45453</v>
      </c>
      <c r="H147" s="26">
        <v>1.011</v>
      </c>
      <c r="I147" s="26">
        <v>0.12</v>
      </c>
      <c r="J147" s="26">
        <v>1.143</v>
      </c>
      <c r="K147" s="20" cm="1">
        <f t="array" ref="K147">J147-H147</f>
        <v>0.132</v>
      </c>
      <c r="L147" s="26">
        <v>0.098</v>
      </c>
      <c r="M147" s="20">
        <v>1.355</v>
      </c>
      <c r="N147" s="26">
        <v>14</v>
      </c>
      <c r="O147" s="20" cm="1">
        <f t="array" ref="O147">K147-I147</f>
        <v>0.012</v>
      </c>
      <c r="P147" s="6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ht="13.65" customHeight="1">
      <c r="A148" t="s" s="16">
        <v>27</v>
      </c>
      <c r="B148" s="17">
        <v>45454</v>
      </c>
      <c r="C148" t="s" s="9">
        <v>20</v>
      </c>
      <c r="D148" s="11">
        <v>4</v>
      </c>
      <c r="E148" s="11">
        <v>1</v>
      </c>
      <c r="F148" s="11">
        <v>1</v>
      </c>
      <c r="G148" s="10">
        <v>45453</v>
      </c>
      <c r="H148" s="13">
        <v>1.034</v>
      </c>
      <c r="I148" s="13">
        <v>0.122</v>
      </c>
      <c r="J148" s="13">
        <v>1.158</v>
      </c>
      <c r="K148" s="20" cm="1">
        <f t="array" ref="K148">J148-H148</f>
        <v>0.124</v>
      </c>
      <c r="L148" s="13">
        <v>0.096</v>
      </c>
      <c r="M148" s="20">
        <v>1.14</v>
      </c>
      <c r="N148" s="13">
        <v>14</v>
      </c>
      <c r="O148" s="20" cm="1">
        <f t="array" ref="O148">K148-I148</f>
        <v>0.002</v>
      </c>
      <c r="P148" s="15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ht="13.65" customHeight="1">
      <c r="A149" t="s" s="16">
        <v>27</v>
      </c>
      <c r="B149" s="17">
        <v>45454</v>
      </c>
      <c r="C149" t="s" s="16">
        <v>20</v>
      </c>
      <c r="D149" s="18">
        <v>4</v>
      </c>
      <c r="E149" s="18">
        <v>1</v>
      </c>
      <c r="F149" s="18">
        <v>2</v>
      </c>
      <c r="G149" s="17">
        <v>45453</v>
      </c>
      <c r="H149" s="20">
        <v>1.002</v>
      </c>
      <c r="I149" s="20">
        <v>0.121</v>
      </c>
      <c r="J149" s="20">
        <v>1.127</v>
      </c>
      <c r="K149" s="20" cm="1">
        <f t="array" ref="K149">J149-H149</f>
        <v>0.125</v>
      </c>
      <c r="L149" s="20">
        <v>0.098</v>
      </c>
      <c r="M149" s="20">
        <v>1.14</v>
      </c>
      <c r="N149" s="20">
        <v>14</v>
      </c>
      <c r="O149" s="20" cm="1">
        <f t="array" ref="O149">K149-I149</f>
        <v>0.004</v>
      </c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ht="13.65" customHeight="1">
      <c r="A150" t="s" s="16">
        <v>27</v>
      </c>
      <c r="B150" s="17">
        <v>45454</v>
      </c>
      <c r="C150" t="s" s="16">
        <v>20</v>
      </c>
      <c r="D150" s="18">
        <v>4</v>
      </c>
      <c r="E150" s="18">
        <v>1</v>
      </c>
      <c r="F150" s="18">
        <v>3</v>
      </c>
      <c r="G150" s="17">
        <v>45453</v>
      </c>
      <c r="H150" s="20">
        <v>1.024</v>
      </c>
      <c r="I150" s="20">
        <v>0.122</v>
      </c>
      <c r="J150" s="20">
        <v>1.149</v>
      </c>
      <c r="K150" s="20" cm="1">
        <f t="array" ref="K150">J150-H150</f>
        <v>0.125</v>
      </c>
      <c r="L150" s="20">
        <v>0.1</v>
      </c>
      <c r="M150" s="20">
        <v>1.14</v>
      </c>
      <c r="N150" s="20">
        <v>14</v>
      </c>
      <c r="O150" s="20" cm="1">
        <f t="array" ref="O150">K150-I150</f>
        <v>0.003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ht="13.65" customHeight="1">
      <c r="A151" t="s" s="16">
        <v>27</v>
      </c>
      <c r="B151" s="17">
        <v>45454</v>
      </c>
      <c r="C151" t="s" s="22">
        <v>20</v>
      </c>
      <c r="D151" s="24">
        <v>4</v>
      </c>
      <c r="E151" s="24">
        <v>1</v>
      </c>
      <c r="F151" s="24">
        <v>4</v>
      </c>
      <c r="G151" s="25">
        <v>45453</v>
      </c>
      <c r="H151" s="26">
        <v>1.042</v>
      </c>
      <c r="I151" s="26">
        <v>0.121</v>
      </c>
      <c r="J151" s="26">
        <v>1.164</v>
      </c>
      <c r="K151" s="20" cm="1">
        <f t="array" ref="K151">J151-H151</f>
        <v>0.122</v>
      </c>
      <c r="L151" s="26">
        <v>0.1</v>
      </c>
      <c r="M151" s="20">
        <v>1.14</v>
      </c>
      <c r="N151" s="26">
        <v>14</v>
      </c>
      <c r="O151" s="20" cm="1">
        <f t="array" ref="O151">K151-I151</f>
        <v>0.001</v>
      </c>
      <c r="P151" s="6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ht="13.65" customHeight="1">
      <c r="A152" t="s" s="16">
        <v>27</v>
      </c>
      <c r="B152" s="17">
        <v>45454</v>
      </c>
      <c r="C152" t="s" s="9">
        <v>20</v>
      </c>
      <c r="D152" s="11">
        <v>4</v>
      </c>
      <c r="E152" s="11">
        <v>2</v>
      </c>
      <c r="F152" s="11">
        <v>1</v>
      </c>
      <c r="G152" s="10">
        <v>45453</v>
      </c>
      <c r="H152" s="13">
        <v>1.03</v>
      </c>
      <c r="I152" s="13">
        <v>0.123</v>
      </c>
      <c r="J152" s="13">
        <v>1.155</v>
      </c>
      <c r="K152" s="20" cm="1">
        <f t="array" ref="K152">J152-H152</f>
        <v>0.125</v>
      </c>
      <c r="L152" s="13">
        <v>0.11</v>
      </c>
      <c r="M152" s="20">
        <v>1.26</v>
      </c>
      <c r="N152" s="13">
        <v>14</v>
      </c>
      <c r="O152" s="20" cm="1">
        <f t="array" ref="O152">K152-I152</f>
        <v>0.002</v>
      </c>
      <c r="P152" s="15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ht="13.65" customHeight="1">
      <c r="A153" t="s" s="16">
        <v>27</v>
      </c>
      <c r="B153" s="17">
        <v>45454</v>
      </c>
      <c r="C153" t="s" s="16">
        <v>20</v>
      </c>
      <c r="D153" s="18">
        <v>4</v>
      </c>
      <c r="E153" s="18">
        <v>2</v>
      </c>
      <c r="F153" s="18">
        <v>2</v>
      </c>
      <c r="G153" s="17">
        <v>45453</v>
      </c>
      <c r="H153" s="20">
        <v>1.015</v>
      </c>
      <c r="I153" s="20">
        <v>0.123</v>
      </c>
      <c r="J153" s="20">
        <v>1.142</v>
      </c>
      <c r="K153" s="20" cm="1">
        <f t="array" ref="K153">J153-H153</f>
        <v>0.127</v>
      </c>
      <c r="L153" s="20">
        <v>0.11</v>
      </c>
      <c r="M153" s="20">
        <v>1.26</v>
      </c>
      <c r="N153" s="20">
        <v>14</v>
      </c>
      <c r="O153" s="20" cm="1">
        <f t="array" ref="O153">K153-I153</f>
        <v>0.004</v>
      </c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ht="13.65" customHeight="1">
      <c r="A154" t="s" s="16">
        <v>27</v>
      </c>
      <c r="B154" s="17">
        <v>45454</v>
      </c>
      <c r="C154" t="s" s="16">
        <v>20</v>
      </c>
      <c r="D154" s="18">
        <v>4</v>
      </c>
      <c r="E154" s="18">
        <v>2</v>
      </c>
      <c r="F154" s="18">
        <v>3</v>
      </c>
      <c r="G154" s="17">
        <v>45453</v>
      </c>
      <c r="H154" s="20">
        <v>1.018</v>
      </c>
      <c r="I154" s="20">
        <v>0.12</v>
      </c>
      <c r="J154" s="20">
        <v>1.141</v>
      </c>
      <c r="K154" s="20" cm="1">
        <f t="array" ref="K154">J154-H154</f>
        <v>0.123</v>
      </c>
      <c r="L154" s="20">
        <v>0.11</v>
      </c>
      <c r="M154" s="20">
        <v>1.26</v>
      </c>
      <c r="N154" s="20">
        <v>14</v>
      </c>
      <c r="O154" s="20" cm="1">
        <f t="array" ref="O154">K154-I154</f>
        <v>0.003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ht="13.65" customHeight="1">
      <c r="A155" t="s" s="16">
        <v>27</v>
      </c>
      <c r="B155" s="17">
        <v>45454</v>
      </c>
      <c r="C155" t="s" s="22">
        <v>20</v>
      </c>
      <c r="D155" s="24">
        <v>4</v>
      </c>
      <c r="E155" s="24">
        <v>2</v>
      </c>
      <c r="F155" s="24">
        <v>4</v>
      </c>
      <c r="G155" s="25">
        <v>45453</v>
      </c>
      <c r="H155" s="26">
        <v>1.035</v>
      </c>
      <c r="I155" s="26">
        <v>0.125</v>
      </c>
      <c r="J155" s="26">
        <v>1.163</v>
      </c>
      <c r="K155" s="20" cm="1">
        <f t="array" ref="K155">J155-H155</f>
        <v>0.128</v>
      </c>
      <c r="L155" s="26">
        <v>0.108</v>
      </c>
      <c r="M155" s="20">
        <v>1.26</v>
      </c>
      <c r="N155" s="26">
        <v>14</v>
      </c>
      <c r="O155" s="20" cm="1">
        <f t="array" ref="O155">K155-I155</f>
        <v>0.003</v>
      </c>
      <c r="P155" s="6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ht="13.65" customHeight="1">
      <c r="A156" t="s" s="16">
        <v>27</v>
      </c>
      <c r="B156" s="17">
        <v>45454</v>
      </c>
      <c r="C156" t="s" s="9">
        <v>20</v>
      </c>
      <c r="D156" s="11">
        <v>8</v>
      </c>
      <c r="E156" s="11">
        <v>1</v>
      </c>
      <c r="F156" s="11">
        <v>1</v>
      </c>
      <c r="G156" s="10">
        <v>45453</v>
      </c>
      <c r="H156" s="13">
        <v>1.008</v>
      </c>
      <c r="I156" s="13">
        <v>0.12</v>
      </c>
      <c r="J156" s="13">
        <v>1.134</v>
      </c>
      <c r="K156" s="20" cm="1">
        <f t="array" ref="K156">J156-H156</f>
        <v>0.126</v>
      </c>
      <c r="L156" s="13">
        <v>0.108</v>
      </c>
      <c r="M156" s="20">
        <v>1.21</v>
      </c>
      <c r="N156" s="13">
        <v>14</v>
      </c>
      <c r="O156" s="20" cm="1">
        <f t="array" ref="O156">K156-I156</f>
        <v>0.006</v>
      </c>
      <c r="P156" s="15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ht="13.65" customHeight="1">
      <c r="A157" t="s" s="16">
        <v>27</v>
      </c>
      <c r="B157" s="17">
        <v>45454</v>
      </c>
      <c r="C157" t="s" s="16">
        <v>20</v>
      </c>
      <c r="D157" s="18">
        <v>8</v>
      </c>
      <c r="E157" s="18">
        <v>1</v>
      </c>
      <c r="F157" s="18">
        <v>2</v>
      </c>
      <c r="G157" s="17">
        <v>45453</v>
      </c>
      <c r="H157" s="20">
        <v>1.004</v>
      </c>
      <c r="I157" s="20">
        <v>0.12</v>
      </c>
      <c r="J157" s="20">
        <v>1.131</v>
      </c>
      <c r="K157" s="20" cm="1">
        <f t="array" ref="K157">J157-H157</f>
        <v>0.127</v>
      </c>
      <c r="L157" s="20">
        <v>0.106</v>
      </c>
      <c r="M157" s="20">
        <v>1.21</v>
      </c>
      <c r="N157" s="20">
        <v>14</v>
      </c>
      <c r="O157" s="20" cm="1">
        <f t="array" ref="O157">K157-I157</f>
        <v>0.007</v>
      </c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ht="13.65" customHeight="1">
      <c r="A158" t="s" s="16">
        <v>27</v>
      </c>
      <c r="B158" s="17">
        <v>45454</v>
      </c>
      <c r="C158" t="s" s="16">
        <v>20</v>
      </c>
      <c r="D158" s="18">
        <v>8</v>
      </c>
      <c r="E158" s="18">
        <v>1</v>
      </c>
      <c r="F158" s="18">
        <v>3</v>
      </c>
      <c r="G158" s="17">
        <v>45453</v>
      </c>
      <c r="H158" s="20">
        <v>1.026</v>
      </c>
      <c r="I158" s="20">
        <v>0.123</v>
      </c>
      <c r="J158" s="20">
        <v>1.155</v>
      </c>
      <c r="K158" s="20" cm="1">
        <f t="array" ref="K158">J158-H158</f>
        <v>0.129</v>
      </c>
      <c r="L158" s="20">
        <v>0.108</v>
      </c>
      <c r="M158" s="20">
        <v>1.21</v>
      </c>
      <c r="N158" s="20">
        <v>14</v>
      </c>
      <c r="O158" s="20" cm="1">
        <f t="array" ref="O158">K158-I158</f>
        <v>0.006</v>
      </c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ht="13.65" customHeight="1">
      <c r="A159" t="s" s="16">
        <v>27</v>
      </c>
      <c r="B159" s="17">
        <v>45454</v>
      </c>
      <c r="C159" t="s" s="22">
        <v>20</v>
      </c>
      <c r="D159" s="24">
        <v>8</v>
      </c>
      <c r="E159" s="24">
        <v>1</v>
      </c>
      <c r="F159" s="24">
        <v>4</v>
      </c>
      <c r="G159" s="25">
        <v>45453</v>
      </c>
      <c r="H159" s="26">
        <v>1.017</v>
      </c>
      <c r="I159" s="26">
        <v>0.12</v>
      </c>
      <c r="J159" s="26">
        <v>1.143</v>
      </c>
      <c r="K159" s="20" cm="1">
        <f t="array" ref="K159">J159-H159</f>
        <v>0.126</v>
      </c>
      <c r="L159" s="26">
        <v>0.1</v>
      </c>
      <c r="M159" s="20">
        <v>1.21</v>
      </c>
      <c r="N159" s="26">
        <v>14</v>
      </c>
      <c r="O159" s="20" cm="1">
        <f t="array" ref="O159">K159-I159</f>
        <v>0.006</v>
      </c>
      <c r="P159" s="6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ht="13.65" customHeight="1">
      <c r="A160" t="s" s="16">
        <v>27</v>
      </c>
      <c r="B160" s="17">
        <v>45454</v>
      </c>
      <c r="C160" t="s" s="9">
        <v>20</v>
      </c>
      <c r="D160" s="11">
        <v>8</v>
      </c>
      <c r="E160" s="11">
        <v>2</v>
      </c>
      <c r="F160" s="11">
        <v>1</v>
      </c>
      <c r="G160" s="10">
        <v>45453</v>
      </c>
      <c r="H160" s="13">
        <v>1.007</v>
      </c>
      <c r="I160" s="13">
        <v>0.122</v>
      </c>
      <c r="J160" s="13">
        <v>1.134</v>
      </c>
      <c r="K160" s="20" cm="1">
        <f t="array" ref="K160">J160-H160</f>
        <v>0.127</v>
      </c>
      <c r="L160" s="13">
        <v>0.098</v>
      </c>
      <c r="M160" s="20">
        <v>1.37</v>
      </c>
      <c r="N160" s="13">
        <v>14</v>
      </c>
      <c r="O160" s="20" cm="1">
        <f t="array" ref="O160">K160-I160</f>
        <v>0.005</v>
      </c>
      <c r="P160" s="15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ht="13.65" customHeight="1">
      <c r="A161" t="s" s="16">
        <v>27</v>
      </c>
      <c r="B161" s="17">
        <v>45454</v>
      </c>
      <c r="C161" t="s" s="16">
        <v>20</v>
      </c>
      <c r="D161" s="18">
        <v>8</v>
      </c>
      <c r="E161" s="18">
        <v>2</v>
      </c>
      <c r="F161" s="18">
        <v>2</v>
      </c>
      <c r="G161" s="17">
        <v>45453</v>
      </c>
      <c r="H161" s="20">
        <v>1.011</v>
      </c>
      <c r="I161" s="20">
        <v>0.123</v>
      </c>
      <c r="J161" s="20">
        <v>1.141</v>
      </c>
      <c r="K161" s="20" cm="1">
        <f t="array" ref="K161">J161-H161</f>
        <v>0.13</v>
      </c>
      <c r="L161" s="20">
        <v>0.1</v>
      </c>
      <c r="M161" s="20">
        <v>1.37</v>
      </c>
      <c r="N161" s="20">
        <v>14</v>
      </c>
      <c r="O161" s="20" cm="1">
        <f t="array" ref="O161">K161-I161</f>
        <v>0.007</v>
      </c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ht="13.65" customHeight="1">
      <c r="A162" t="s" s="16">
        <v>27</v>
      </c>
      <c r="B162" s="17">
        <v>45454</v>
      </c>
      <c r="C162" t="s" s="16">
        <v>20</v>
      </c>
      <c r="D162" s="18">
        <v>8</v>
      </c>
      <c r="E162" s="18">
        <v>2</v>
      </c>
      <c r="F162" s="18">
        <v>3</v>
      </c>
      <c r="G162" s="17">
        <v>45453</v>
      </c>
      <c r="H162" s="20">
        <v>1.005</v>
      </c>
      <c r="I162" s="20">
        <v>0.121</v>
      </c>
      <c r="J162" s="20">
        <v>1.132</v>
      </c>
      <c r="K162" s="20" cm="1">
        <f t="array" ref="K162">J162-H162</f>
        <v>0.127</v>
      </c>
      <c r="L162" s="20">
        <v>0.098</v>
      </c>
      <c r="M162" s="20">
        <v>1.37</v>
      </c>
      <c r="N162" s="20">
        <v>14</v>
      </c>
      <c r="O162" s="20" cm="1">
        <f t="array" ref="O162">K162-I162</f>
        <v>0.006</v>
      </c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ht="13.65" customHeight="1">
      <c r="A163" t="s" s="16">
        <v>27</v>
      </c>
      <c r="B163" s="17">
        <v>45454</v>
      </c>
      <c r="C163" t="s" s="22">
        <v>20</v>
      </c>
      <c r="D163" s="24">
        <v>8</v>
      </c>
      <c r="E163" s="24">
        <v>2</v>
      </c>
      <c r="F163" s="24">
        <v>4</v>
      </c>
      <c r="G163" s="25">
        <v>45453</v>
      </c>
      <c r="H163" s="26">
        <v>1.01</v>
      </c>
      <c r="I163" s="26">
        <v>0.121</v>
      </c>
      <c r="J163" s="26">
        <v>1.139</v>
      </c>
      <c r="K163" s="20" cm="1">
        <f t="array" ref="K163">J163-H163</f>
        <v>0.129</v>
      </c>
      <c r="L163" s="26">
        <v>0.1</v>
      </c>
      <c r="M163" s="20">
        <v>1.37</v>
      </c>
      <c r="N163" s="26">
        <v>14</v>
      </c>
      <c r="O163" s="20" cm="1">
        <f t="array" ref="O163">K163-I163</f>
        <v>0.008</v>
      </c>
      <c r="P163" s="6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ht="13.65" customHeight="1">
      <c r="A164" t="s" s="16">
        <v>27</v>
      </c>
      <c r="B164" s="25">
        <v>45468</v>
      </c>
      <c r="C164" t="s" s="9">
        <v>19</v>
      </c>
      <c r="D164" s="11">
        <v>4</v>
      </c>
      <c r="E164" s="11">
        <v>1</v>
      </c>
      <c r="F164" s="11">
        <v>1</v>
      </c>
      <c r="G164" s="12">
        <v>45467</v>
      </c>
      <c r="H164" s="13">
        <v>1.008</v>
      </c>
      <c r="I164" s="13">
        <v>0.12</v>
      </c>
      <c r="J164" s="13">
        <v>1.13</v>
      </c>
      <c r="K164" s="20" cm="1">
        <f t="array" ref="K164">J164-H164</f>
        <v>0.122</v>
      </c>
      <c r="L164" s="13">
        <v>0.128</v>
      </c>
      <c r="M164" s="20">
        <v>1.11</v>
      </c>
      <c r="N164" s="13">
        <v>14</v>
      </c>
      <c r="O164" s="20" cm="1">
        <f t="array" ref="O164">K164-I164</f>
        <v>0.002</v>
      </c>
      <c r="P164" s="15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ht="13.65" customHeight="1">
      <c r="A165" t="s" s="16">
        <v>27</v>
      </c>
      <c r="B165" s="37">
        <v>45468</v>
      </c>
      <c r="C165" t="s" s="16">
        <v>19</v>
      </c>
      <c r="D165" s="18">
        <v>4</v>
      </c>
      <c r="E165" s="18">
        <v>1</v>
      </c>
      <c r="F165" s="18">
        <v>2</v>
      </c>
      <c r="G165" s="19">
        <v>45467</v>
      </c>
      <c r="H165" s="20">
        <v>0.992</v>
      </c>
      <c r="I165" s="20">
        <v>0.124</v>
      </c>
      <c r="J165" s="20">
        <v>1.119</v>
      </c>
      <c r="K165" s="20" cm="1">
        <f t="array" ref="K165">J165-H165</f>
        <v>0.127</v>
      </c>
      <c r="L165" s="20">
        <v>0.128</v>
      </c>
      <c r="M165" s="20">
        <v>1.11</v>
      </c>
      <c r="N165" s="20">
        <v>14</v>
      </c>
      <c r="O165" s="20" cm="1">
        <f t="array" ref="O165">K165-I165</f>
        <v>0.003</v>
      </c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ht="13.65" customHeight="1">
      <c r="A166" t="s" s="16">
        <v>27</v>
      </c>
      <c r="B166" s="37">
        <v>45468</v>
      </c>
      <c r="C166" t="s" s="16">
        <v>19</v>
      </c>
      <c r="D166" s="18">
        <v>4</v>
      </c>
      <c r="E166" s="18">
        <v>1</v>
      </c>
      <c r="F166" s="18">
        <v>3</v>
      </c>
      <c r="G166" s="19">
        <v>45467</v>
      </c>
      <c r="H166" s="20">
        <v>0.987</v>
      </c>
      <c r="I166" s="20">
        <v>0.121</v>
      </c>
      <c r="J166" s="20">
        <v>1.112</v>
      </c>
      <c r="K166" s="20" cm="1">
        <f t="array" ref="K166">J166-H166</f>
        <v>0.125</v>
      </c>
      <c r="L166" s="20">
        <v>0.128</v>
      </c>
      <c r="M166" s="20">
        <v>1.11</v>
      </c>
      <c r="N166" s="20">
        <v>14</v>
      </c>
      <c r="O166" s="20" cm="1">
        <f t="array" ref="O166">K166-I166</f>
        <v>0.004</v>
      </c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ht="13.65" customHeight="1">
      <c r="A167" t="s" s="16">
        <v>27</v>
      </c>
      <c r="B167" s="37">
        <v>45468</v>
      </c>
      <c r="C167" t="s" s="16">
        <v>19</v>
      </c>
      <c r="D167" s="18">
        <v>4</v>
      </c>
      <c r="E167" s="24">
        <v>1</v>
      </c>
      <c r="F167" s="24">
        <v>4</v>
      </c>
      <c r="G167" s="19">
        <v>45467</v>
      </c>
      <c r="H167" s="26">
        <v>0.994</v>
      </c>
      <c r="I167" s="20">
        <v>0.124</v>
      </c>
      <c r="J167" s="20">
        <v>1.122</v>
      </c>
      <c r="K167" s="20" cm="1">
        <f t="array" ref="K167">J167-H167</f>
        <v>0.128</v>
      </c>
      <c r="L167" s="26">
        <v>0.13</v>
      </c>
      <c r="M167" s="20">
        <v>1.11</v>
      </c>
      <c r="N167" s="26">
        <v>14</v>
      </c>
      <c r="O167" s="20" cm="1">
        <f t="array" ref="O167">K167-I167</f>
        <v>0.004</v>
      </c>
      <c r="P167" s="6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ht="13.65" customHeight="1">
      <c r="A168" t="s" s="16">
        <v>27</v>
      </c>
      <c r="B168" s="37">
        <v>45468</v>
      </c>
      <c r="C168" t="s" s="16">
        <v>19</v>
      </c>
      <c r="D168" s="18">
        <v>4</v>
      </c>
      <c r="E168" s="11">
        <v>2</v>
      </c>
      <c r="F168" s="11">
        <v>1</v>
      </c>
      <c r="G168" s="19">
        <v>45467</v>
      </c>
      <c r="H168" s="13">
        <v>0.987</v>
      </c>
      <c r="I168" s="20">
        <v>0.121</v>
      </c>
      <c r="J168" s="20">
        <v>1.112</v>
      </c>
      <c r="K168" s="20" cm="1">
        <f t="array" ref="K168">J168-H168</f>
        <v>0.125</v>
      </c>
      <c r="L168" s="13">
        <v>0.132</v>
      </c>
      <c r="M168" s="20">
        <v>1.28</v>
      </c>
      <c r="N168" s="13">
        <v>14</v>
      </c>
      <c r="O168" s="20" cm="1">
        <f t="array" ref="O168">K168-I168</f>
        <v>0.004</v>
      </c>
      <c r="P168" s="15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ht="13.65" customHeight="1">
      <c r="A169" t="s" s="16">
        <v>27</v>
      </c>
      <c r="B169" s="37">
        <v>45468</v>
      </c>
      <c r="C169" t="s" s="16">
        <v>19</v>
      </c>
      <c r="D169" s="18">
        <v>4</v>
      </c>
      <c r="E169" s="18">
        <v>2</v>
      </c>
      <c r="F169" s="18">
        <v>2</v>
      </c>
      <c r="G169" s="19">
        <v>45467</v>
      </c>
      <c r="H169" s="20">
        <v>1.01</v>
      </c>
      <c r="I169" s="20">
        <v>0.121</v>
      </c>
      <c r="J169" s="20">
        <v>1.136</v>
      </c>
      <c r="K169" s="20" cm="1">
        <f t="array" ref="K169">J169-H169</f>
        <v>0.126</v>
      </c>
      <c r="L169" s="20">
        <v>0.128</v>
      </c>
      <c r="M169" s="20">
        <v>1.28</v>
      </c>
      <c r="N169" s="20">
        <v>14</v>
      </c>
      <c r="O169" s="20" cm="1">
        <f t="array" ref="O169">K169-I169</f>
        <v>0.005</v>
      </c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ht="13.65" customHeight="1">
      <c r="A170" t="s" s="16">
        <v>27</v>
      </c>
      <c r="B170" s="37">
        <v>45468</v>
      </c>
      <c r="C170" t="s" s="16">
        <v>19</v>
      </c>
      <c r="D170" s="18">
        <v>4</v>
      </c>
      <c r="E170" s="18">
        <v>2</v>
      </c>
      <c r="F170" s="18">
        <v>3</v>
      </c>
      <c r="G170" s="19">
        <v>45467</v>
      </c>
      <c r="H170" s="20">
        <v>0.978</v>
      </c>
      <c r="I170" s="20">
        <v>0.12</v>
      </c>
      <c r="J170" s="20">
        <v>1.102</v>
      </c>
      <c r="K170" s="20" cm="1">
        <f t="array" ref="K170">J170-H170</f>
        <v>0.124</v>
      </c>
      <c r="L170" s="20">
        <v>0.128</v>
      </c>
      <c r="M170" s="20">
        <v>1.28</v>
      </c>
      <c r="N170" s="20">
        <v>14</v>
      </c>
      <c r="O170" s="20" cm="1">
        <f t="array" ref="O170">K170-I170</f>
        <v>0.004</v>
      </c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ht="13.65" customHeight="1">
      <c r="A171" t="s" s="16">
        <v>27</v>
      </c>
      <c r="B171" s="37">
        <v>45468</v>
      </c>
      <c r="C171" t="s" s="16">
        <v>19</v>
      </c>
      <c r="D171" s="18">
        <v>4</v>
      </c>
      <c r="E171" s="24">
        <v>2</v>
      </c>
      <c r="F171" s="24">
        <v>4</v>
      </c>
      <c r="G171" s="19">
        <v>45467</v>
      </c>
      <c r="H171" s="26">
        <v>1.01</v>
      </c>
      <c r="I171" s="26">
        <v>0.121</v>
      </c>
      <c r="J171" s="26">
        <v>1.135</v>
      </c>
      <c r="K171" s="20" cm="1">
        <f t="array" ref="K171">J171-H171</f>
        <v>0.125</v>
      </c>
      <c r="L171" s="26">
        <v>0.132</v>
      </c>
      <c r="M171" s="20">
        <v>1.28</v>
      </c>
      <c r="N171" s="26">
        <v>14</v>
      </c>
      <c r="O171" s="20" cm="1">
        <f t="array" ref="O171">K171-I171</f>
        <v>0.004</v>
      </c>
      <c r="P171" s="6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ht="13.65" customHeight="1">
      <c r="A172" t="s" s="16">
        <v>27</v>
      </c>
      <c r="B172" s="37">
        <v>45468</v>
      </c>
      <c r="C172" t="s" s="16">
        <v>19</v>
      </c>
      <c r="D172" s="18">
        <v>8</v>
      </c>
      <c r="E172" s="11">
        <v>1</v>
      </c>
      <c r="F172" s="11">
        <v>1</v>
      </c>
      <c r="G172" s="19">
        <v>45467</v>
      </c>
      <c r="H172" s="13">
        <v>1.007</v>
      </c>
      <c r="I172" s="13">
        <v>0.121</v>
      </c>
      <c r="J172" s="13">
        <v>1.137</v>
      </c>
      <c r="K172" s="20" cm="1">
        <f t="array" ref="K172">J172-H172</f>
        <v>0.13</v>
      </c>
      <c r="L172" s="13">
        <v>0.11</v>
      </c>
      <c r="M172" s="20">
        <v>1.2</v>
      </c>
      <c r="N172" s="13">
        <v>14</v>
      </c>
      <c r="O172" s="20" cm="1">
        <f t="array" ref="O172">K172-I172</f>
        <v>0.008999999999999999</v>
      </c>
      <c r="P172" s="15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ht="13.65" customHeight="1">
      <c r="A173" t="s" s="16">
        <v>27</v>
      </c>
      <c r="B173" s="37">
        <v>45468</v>
      </c>
      <c r="C173" t="s" s="16">
        <v>19</v>
      </c>
      <c r="D173" s="18">
        <v>8</v>
      </c>
      <c r="E173" s="18">
        <v>1</v>
      </c>
      <c r="F173" s="18">
        <v>2</v>
      </c>
      <c r="G173" s="19">
        <v>45467</v>
      </c>
      <c r="H173" s="20">
        <v>1.023</v>
      </c>
      <c r="I173" s="20">
        <v>0.121</v>
      </c>
      <c r="J173" s="20">
        <v>1.154</v>
      </c>
      <c r="K173" s="20" cm="1">
        <f t="array" ref="K173">J173-H173</f>
        <v>0.131</v>
      </c>
      <c r="L173" s="20">
        <v>0.11</v>
      </c>
      <c r="M173" s="20">
        <v>1.2</v>
      </c>
      <c r="N173" s="20">
        <v>14</v>
      </c>
      <c r="O173" s="20" cm="1">
        <f t="array" ref="O173">K173-I173</f>
        <v>0.01</v>
      </c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ht="13.65" customHeight="1">
      <c r="A174" t="s" s="16">
        <v>27</v>
      </c>
      <c r="B174" s="37">
        <v>45468</v>
      </c>
      <c r="C174" t="s" s="16">
        <v>19</v>
      </c>
      <c r="D174" s="18">
        <v>8</v>
      </c>
      <c r="E174" s="18">
        <v>1</v>
      </c>
      <c r="F174" s="18">
        <v>3</v>
      </c>
      <c r="G174" s="19">
        <v>45467</v>
      </c>
      <c r="H174" s="20">
        <v>1.008</v>
      </c>
      <c r="I174" s="20">
        <v>0.122</v>
      </c>
      <c r="J174" s="20">
        <v>1.14</v>
      </c>
      <c r="K174" s="20" cm="1">
        <f t="array" ref="K174">J174-H174</f>
        <v>0.132</v>
      </c>
      <c r="L174" s="20">
        <v>0.114</v>
      </c>
      <c r="M174" s="20">
        <v>1.2</v>
      </c>
      <c r="N174" s="20">
        <v>14</v>
      </c>
      <c r="O174" s="20" cm="1">
        <f t="array" ref="O174">K174-I174</f>
        <v>0.01</v>
      </c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ht="13.65" customHeight="1">
      <c r="A175" t="s" s="16">
        <v>27</v>
      </c>
      <c r="B175" s="37">
        <v>45468</v>
      </c>
      <c r="C175" t="s" s="16">
        <v>19</v>
      </c>
      <c r="D175" s="18">
        <v>8</v>
      </c>
      <c r="E175" s="24">
        <v>1</v>
      </c>
      <c r="F175" s="24">
        <v>4</v>
      </c>
      <c r="G175" s="19">
        <v>45467</v>
      </c>
      <c r="H175" s="26">
        <v>1.001</v>
      </c>
      <c r="I175" s="26">
        <v>0.121</v>
      </c>
      <c r="J175" s="26">
        <v>1.133</v>
      </c>
      <c r="K175" s="20" cm="1">
        <f t="array" ref="K175">J175-H175</f>
        <v>0.132</v>
      </c>
      <c r="L175" s="26">
        <v>0.114</v>
      </c>
      <c r="M175" s="26">
        <v>1.2</v>
      </c>
      <c r="N175" s="26">
        <v>14</v>
      </c>
      <c r="O175" s="20" cm="1">
        <f t="array" ref="O175">K175-I175</f>
        <v>0.011</v>
      </c>
      <c r="P175" s="6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ht="13.65" customHeight="1">
      <c r="A176" t="s" s="16">
        <v>27</v>
      </c>
      <c r="B176" s="37">
        <v>45468</v>
      </c>
      <c r="C176" t="s" s="16">
        <v>19</v>
      </c>
      <c r="D176" s="18">
        <v>8</v>
      </c>
      <c r="E176" s="11">
        <v>2</v>
      </c>
      <c r="F176" s="11">
        <v>1</v>
      </c>
      <c r="G176" s="19">
        <v>45467</v>
      </c>
      <c r="H176" s="13">
        <v>0.996</v>
      </c>
      <c r="I176" s="13">
        <v>0.121</v>
      </c>
      <c r="J176" s="13">
        <v>1.126</v>
      </c>
      <c r="K176" s="20" cm="1">
        <f t="array" ref="K176">J176-H176</f>
        <v>0.13</v>
      </c>
      <c r="L176" s="13">
        <v>0.112</v>
      </c>
      <c r="M176" s="13">
        <v>1.34</v>
      </c>
      <c r="N176" s="13">
        <v>14</v>
      </c>
      <c r="O176" s="20" cm="1">
        <f t="array" ref="O176">K176-I176</f>
        <v>0.008999999999999999</v>
      </c>
      <c r="P176" s="15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ht="13.65" customHeight="1">
      <c r="A177" t="s" s="16">
        <v>27</v>
      </c>
      <c r="B177" s="37">
        <v>45468</v>
      </c>
      <c r="C177" t="s" s="16">
        <v>19</v>
      </c>
      <c r="D177" s="18">
        <v>8</v>
      </c>
      <c r="E177" s="18">
        <v>2</v>
      </c>
      <c r="F177" s="18">
        <v>2</v>
      </c>
      <c r="G177" s="19">
        <v>45467</v>
      </c>
      <c r="H177" s="20">
        <v>1.005</v>
      </c>
      <c r="I177" s="20">
        <v>0.121</v>
      </c>
      <c r="J177" s="20">
        <v>1.135</v>
      </c>
      <c r="K177" s="20" cm="1">
        <f t="array" ref="K177">J177-H177</f>
        <v>0.13</v>
      </c>
      <c r="L177" s="20">
        <v>0.112</v>
      </c>
      <c r="M177" s="20">
        <v>1.34</v>
      </c>
      <c r="N177" s="20">
        <v>14</v>
      </c>
      <c r="O177" s="20" cm="1">
        <f t="array" ref="O177">K177-I177</f>
        <v>0.008999999999999999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ht="13.65" customHeight="1">
      <c r="A178" t="s" s="16">
        <v>27</v>
      </c>
      <c r="B178" s="37">
        <v>45468</v>
      </c>
      <c r="C178" t="s" s="16">
        <v>19</v>
      </c>
      <c r="D178" s="18">
        <v>8</v>
      </c>
      <c r="E178" s="18">
        <v>2</v>
      </c>
      <c r="F178" s="18">
        <v>3</v>
      </c>
      <c r="G178" s="19">
        <v>45467</v>
      </c>
      <c r="H178" s="20">
        <v>1.015</v>
      </c>
      <c r="I178" s="20">
        <v>0.121</v>
      </c>
      <c r="J178" s="20">
        <v>1.144</v>
      </c>
      <c r="K178" s="20" cm="1">
        <f t="array" ref="K178">J178-H178</f>
        <v>0.129</v>
      </c>
      <c r="L178" s="20">
        <v>0.112</v>
      </c>
      <c r="M178" s="20">
        <v>1.34</v>
      </c>
      <c r="N178" s="20">
        <v>14</v>
      </c>
      <c r="O178" s="20" cm="1">
        <f t="array" ref="O178">K178-I178</f>
        <v>0.008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ht="13.65" customHeight="1">
      <c r="A179" t="s" s="16">
        <v>27</v>
      </c>
      <c r="B179" s="37">
        <v>45468</v>
      </c>
      <c r="C179" t="s" s="16">
        <v>19</v>
      </c>
      <c r="D179" s="18">
        <v>8</v>
      </c>
      <c r="E179" s="24">
        <v>2</v>
      </c>
      <c r="F179" s="24">
        <v>4</v>
      </c>
      <c r="G179" s="19">
        <v>45467</v>
      </c>
      <c r="H179" s="26">
        <v>1.008</v>
      </c>
      <c r="I179" s="26">
        <v>0.121</v>
      </c>
      <c r="J179" s="26">
        <v>1.138</v>
      </c>
      <c r="K179" s="20" cm="1">
        <f t="array" ref="K179">J179-H179</f>
        <v>0.13</v>
      </c>
      <c r="L179" s="26">
        <v>0.112</v>
      </c>
      <c r="M179" s="26">
        <v>1.34</v>
      </c>
      <c r="N179" s="26">
        <v>14</v>
      </c>
      <c r="O179" s="20" cm="1">
        <f t="array" ref="O179">K179-I179</f>
        <v>0.008999999999999999</v>
      </c>
      <c r="P179" s="6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ht="13.65" customHeight="1">
      <c r="A180" t="s" s="16">
        <v>27</v>
      </c>
      <c r="B180" s="34">
        <v>45468</v>
      </c>
      <c r="C180" t="s" s="16">
        <v>20</v>
      </c>
      <c r="D180" s="18">
        <v>4</v>
      </c>
      <c r="E180" s="11">
        <v>1</v>
      </c>
      <c r="F180" s="11">
        <v>1</v>
      </c>
      <c r="G180" s="19">
        <v>45467</v>
      </c>
      <c r="H180" s="13">
        <v>0.994</v>
      </c>
      <c r="I180" s="13">
        <v>0.124</v>
      </c>
      <c r="J180" s="13">
        <v>1.121</v>
      </c>
      <c r="K180" s="20" cm="1">
        <f t="array" ref="K180">J180-H180</f>
        <v>0.127</v>
      </c>
      <c r="L180" s="13">
        <v>0.112</v>
      </c>
      <c r="M180" s="13">
        <v>1.1</v>
      </c>
      <c r="N180" s="13">
        <v>14</v>
      </c>
      <c r="O180" s="20" cm="1">
        <f t="array" ref="O180">K180-I180</f>
        <v>0.003</v>
      </c>
      <c r="P180" s="15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ht="13.65" customHeight="1">
      <c r="A181" t="s" s="16">
        <v>27</v>
      </c>
      <c r="B181" s="35">
        <v>45468</v>
      </c>
      <c r="C181" t="s" s="16">
        <v>20</v>
      </c>
      <c r="D181" s="18">
        <v>4</v>
      </c>
      <c r="E181" s="18">
        <v>1</v>
      </c>
      <c r="F181" s="18">
        <v>2</v>
      </c>
      <c r="G181" s="19">
        <v>45467</v>
      </c>
      <c r="H181" s="20">
        <v>0.997</v>
      </c>
      <c r="I181" s="20">
        <v>0.123</v>
      </c>
      <c r="J181" s="20">
        <v>1.126</v>
      </c>
      <c r="K181" s="20" cm="1">
        <f t="array" ref="K181">J181-H181</f>
        <v>0.129</v>
      </c>
      <c r="L181" s="20">
        <v>0.11</v>
      </c>
      <c r="M181" s="20">
        <v>1.1</v>
      </c>
      <c r="N181" s="20">
        <v>14</v>
      </c>
      <c r="O181" s="20" cm="1">
        <f t="array" ref="O181">K181-I181</f>
        <v>0.006</v>
      </c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ht="13.65" customHeight="1">
      <c r="A182" t="s" s="16">
        <v>27</v>
      </c>
      <c r="B182" s="35">
        <v>45468</v>
      </c>
      <c r="C182" t="s" s="16">
        <v>20</v>
      </c>
      <c r="D182" s="18">
        <v>4</v>
      </c>
      <c r="E182" s="18">
        <v>1</v>
      </c>
      <c r="F182" s="18">
        <v>3</v>
      </c>
      <c r="G182" s="19">
        <v>45467</v>
      </c>
      <c r="H182" s="20">
        <v>0.986</v>
      </c>
      <c r="I182" s="20">
        <v>0.12</v>
      </c>
      <c r="J182" s="20">
        <v>1.111</v>
      </c>
      <c r="K182" s="20" cm="1">
        <f t="array" ref="K182">J182-H182</f>
        <v>0.125</v>
      </c>
      <c r="L182" s="20">
        <v>0.128</v>
      </c>
      <c r="M182" s="20">
        <v>1.1</v>
      </c>
      <c r="N182" s="20">
        <v>14</v>
      </c>
      <c r="O182" s="20" cm="1">
        <f t="array" ref="O182">K182-I182</f>
        <v>0.005</v>
      </c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ht="13.65" customHeight="1">
      <c r="A183" t="s" s="16">
        <v>27</v>
      </c>
      <c r="B183" s="35">
        <v>45468</v>
      </c>
      <c r="C183" t="s" s="16">
        <v>20</v>
      </c>
      <c r="D183" s="24">
        <v>4</v>
      </c>
      <c r="E183" s="24">
        <v>1</v>
      </c>
      <c r="F183" s="24">
        <v>4</v>
      </c>
      <c r="G183" s="19">
        <v>45467</v>
      </c>
      <c r="H183" s="26">
        <v>1.021</v>
      </c>
      <c r="I183" s="26">
        <v>0.122</v>
      </c>
      <c r="J183" s="26">
        <v>1.147</v>
      </c>
      <c r="K183" s="20" cm="1">
        <f t="array" ref="K183">J183-H183</f>
        <v>0.126</v>
      </c>
      <c r="L183" s="26">
        <v>0.128</v>
      </c>
      <c r="M183" s="26">
        <v>1.1</v>
      </c>
      <c r="N183" s="26">
        <v>14</v>
      </c>
      <c r="O183" s="20" cm="1">
        <f t="array" ref="O183">K183-I183</f>
        <v>0.004</v>
      </c>
      <c r="P183" s="6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ht="13.65" customHeight="1">
      <c r="A184" t="s" s="16">
        <v>27</v>
      </c>
      <c r="B184" s="35">
        <v>45468</v>
      </c>
      <c r="C184" t="s" s="16">
        <v>20</v>
      </c>
      <c r="D184" s="11">
        <v>4</v>
      </c>
      <c r="E184" s="11">
        <v>2</v>
      </c>
      <c r="F184" s="11">
        <v>1</v>
      </c>
      <c r="G184" s="19">
        <v>45467</v>
      </c>
      <c r="H184" s="13">
        <v>1.017</v>
      </c>
      <c r="I184" s="13">
        <v>0.122</v>
      </c>
      <c r="J184" s="13">
        <v>1.141</v>
      </c>
      <c r="K184" s="20" cm="1">
        <f t="array" ref="K184">J184-H184</f>
        <v>0.124</v>
      </c>
      <c r="L184" s="13">
        <v>0.128</v>
      </c>
      <c r="M184" s="13">
        <v>1.24</v>
      </c>
      <c r="N184" s="13">
        <v>14</v>
      </c>
      <c r="O184" s="20" cm="1">
        <f t="array" ref="O184">K184-I184</f>
        <v>0.002</v>
      </c>
      <c r="P184" s="15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ht="13.65" customHeight="1">
      <c r="A185" t="s" s="16">
        <v>27</v>
      </c>
      <c r="B185" s="35">
        <v>45468</v>
      </c>
      <c r="C185" t="s" s="16">
        <v>20</v>
      </c>
      <c r="D185" s="18">
        <v>4</v>
      </c>
      <c r="E185" s="18">
        <v>2</v>
      </c>
      <c r="F185" s="18">
        <v>2</v>
      </c>
      <c r="G185" s="19">
        <v>45467</v>
      </c>
      <c r="H185" s="20">
        <v>1.035</v>
      </c>
      <c r="I185" s="20">
        <v>0.121</v>
      </c>
      <c r="J185" s="20">
        <v>1.159</v>
      </c>
      <c r="K185" s="20" cm="1">
        <f t="array" ref="K185">J185-H185</f>
        <v>0.124</v>
      </c>
      <c r="L185" s="20">
        <v>0.134</v>
      </c>
      <c r="M185" s="20">
        <v>1.24</v>
      </c>
      <c r="N185" s="20">
        <v>14</v>
      </c>
      <c r="O185" s="20" cm="1">
        <f t="array" ref="O185">K185-I185</f>
        <v>0.003</v>
      </c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ht="13.65" customHeight="1">
      <c r="A186" t="s" s="16">
        <v>27</v>
      </c>
      <c r="B186" s="35">
        <v>45468</v>
      </c>
      <c r="C186" t="s" s="16">
        <v>20</v>
      </c>
      <c r="D186" s="18">
        <v>4</v>
      </c>
      <c r="E186" s="18">
        <v>2</v>
      </c>
      <c r="F186" s="18">
        <v>3</v>
      </c>
      <c r="G186" s="19">
        <v>45467</v>
      </c>
      <c r="H186" s="20">
        <v>0.989</v>
      </c>
      <c r="I186" s="20">
        <v>0.123</v>
      </c>
      <c r="J186" s="20">
        <v>1.116</v>
      </c>
      <c r="K186" s="20" cm="1">
        <f t="array" ref="K186">J186-H186</f>
        <v>0.127</v>
      </c>
      <c r="L186" s="20">
        <v>0.138</v>
      </c>
      <c r="M186" s="20">
        <v>1.24</v>
      </c>
      <c r="N186" s="20">
        <v>14</v>
      </c>
      <c r="O186" s="20" cm="1">
        <f t="array" ref="O186">K186-I186</f>
        <v>0.004</v>
      </c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ht="13.65" customHeight="1">
      <c r="A187" t="s" s="16">
        <v>27</v>
      </c>
      <c r="B187" s="35">
        <v>45468</v>
      </c>
      <c r="C187" t="s" s="16">
        <v>20</v>
      </c>
      <c r="D187" s="24">
        <v>4</v>
      </c>
      <c r="E187" s="24">
        <v>2</v>
      </c>
      <c r="F187" s="24">
        <v>4</v>
      </c>
      <c r="G187" s="19">
        <v>45467</v>
      </c>
      <c r="H187" s="26">
        <v>1.017</v>
      </c>
      <c r="I187" s="26">
        <v>0.122</v>
      </c>
      <c r="J187" s="26">
        <v>1.143</v>
      </c>
      <c r="K187" s="20" cm="1">
        <f t="array" ref="K187">J187-H187</f>
        <v>0.126</v>
      </c>
      <c r="L187" s="26">
        <v>0.13</v>
      </c>
      <c r="M187" s="26">
        <v>1.24</v>
      </c>
      <c r="N187" s="26">
        <v>14</v>
      </c>
      <c r="O187" s="20" cm="1">
        <f t="array" ref="O187">K187-I187</f>
        <v>0.004</v>
      </c>
      <c r="P187" s="6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ht="13.65" customHeight="1">
      <c r="A188" t="s" s="16">
        <v>27</v>
      </c>
      <c r="B188" s="35">
        <v>45468</v>
      </c>
      <c r="C188" t="s" s="16">
        <v>20</v>
      </c>
      <c r="D188" s="11">
        <v>8</v>
      </c>
      <c r="E188" s="11">
        <v>1</v>
      </c>
      <c r="F188" s="11">
        <v>1</v>
      </c>
      <c r="G188" s="19">
        <v>45467</v>
      </c>
      <c r="H188" s="13">
        <v>1</v>
      </c>
      <c r="I188" s="13">
        <v>0.121</v>
      </c>
      <c r="J188" s="13">
        <v>1.126</v>
      </c>
      <c r="K188" s="20" cm="1">
        <f t="array" ref="K188">J188-H188</f>
        <v>0.126</v>
      </c>
      <c r="L188" s="13">
        <v>0.112</v>
      </c>
      <c r="M188" s="13">
        <v>1.1</v>
      </c>
      <c r="N188" s="13">
        <v>14</v>
      </c>
      <c r="O188" s="20" cm="1">
        <f t="array" ref="O188">K188-I188</f>
        <v>0.005</v>
      </c>
      <c r="P188" s="15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ht="13.65" customHeight="1">
      <c r="A189" t="s" s="16">
        <v>27</v>
      </c>
      <c r="B189" s="35">
        <v>45468</v>
      </c>
      <c r="C189" t="s" s="16">
        <v>20</v>
      </c>
      <c r="D189" s="18">
        <v>8</v>
      </c>
      <c r="E189" s="18">
        <v>1</v>
      </c>
      <c r="F189" s="18">
        <v>2</v>
      </c>
      <c r="G189" s="19">
        <v>45467</v>
      </c>
      <c r="H189" s="20">
        <v>1</v>
      </c>
      <c r="I189" s="20">
        <v>0.123</v>
      </c>
      <c r="J189" s="20">
        <v>1.128</v>
      </c>
      <c r="K189" s="20" cm="1">
        <f t="array" ref="K189">J189-H189</f>
        <v>0.128</v>
      </c>
      <c r="L189" s="20">
        <v>0.11</v>
      </c>
      <c r="M189" s="20">
        <v>1.1</v>
      </c>
      <c r="N189" s="20">
        <v>14</v>
      </c>
      <c r="O189" s="20" cm="1">
        <f t="array" ref="O189">K189-I189</f>
        <v>0.005</v>
      </c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ht="13.65" customHeight="1">
      <c r="A190" t="s" s="16">
        <v>27</v>
      </c>
      <c r="B190" s="35">
        <v>45468</v>
      </c>
      <c r="C190" t="s" s="16">
        <v>20</v>
      </c>
      <c r="D190" s="18">
        <v>8</v>
      </c>
      <c r="E190" s="18">
        <v>1</v>
      </c>
      <c r="F190" s="18">
        <v>3</v>
      </c>
      <c r="G190" s="19">
        <v>45467</v>
      </c>
      <c r="H190" s="20">
        <v>1.028</v>
      </c>
      <c r="I190" s="20">
        <v>0.12</v>
      </c>
      <c r="J190" s="20">
        <v>1.155</v>
      </c>
      <c r="K190" s="20" cm="1">
        <f t="array" ref="K190">J190-H190</f>
        <v>0.127</v>
      </c>
      <c r="L190" s="20">
        <v>0.11</v>
      </c>
      <c r="M190" s="20">
        <v>1.1</v>
      </c>
      <c r="N190" s="20">
        <v>14</v>
      </c>
      <c r="O190" s="20" cm="1">
        <f t="array" ref="O190">K190-I190</f>
        <v>0.007</v>
      </c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ht="13.65" customHeight="1">
      <c r="A191" t="s" s="16">
        <v>27</v>
      </c>
      <c r="B191" s="35">
        <v>45468</v>
      </c>
      <c r="C191" t="s" s="16">
        <v>20</v>
      </c>
      <c r="D191" s="24">
        <v>8</v>
      </c>
      <c r="E191" s="24">
        <v>1</v>
      </c>
      <c r="F191" s="24">
        <v>4</v>
      </c>
      <c r="G191" s="19">
        <v>45467</v>
      </c>
      <c r="H191" s="26">
        <v>1.028</v>
      </c>
      <c r="I191" s="26">
        <v>0.121</v>
      </c>
      <c r="J191" s="26">
        <v>1.154</v>
      </c>
      <c r="K191" s="20" cm="1">
        <f t="array" ref="K191">J191-H191</f>
        <v>0.126</v>
      </c>
      <c r="L191" s="26">
        <v>0.112</v>
      </c>
      <c r="M191" s="26">
        <v>1.1</v>
      </c>
      <c r="N191" s="26">
        <v>14</v>
      </c>
      <c r="O191" s="20" cm="1">
        <f t="array" ref="O191">K191-I191</f>
        <v>0.005</v>
      </c>
      <c r="P191" s="6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ht="13.65" customHeight="1">
      <c r="A192" t="s" s="16">
        <v>27</v>
      </c>
      <c r="B192" s="35">
        <v>45468</v>
      </c>
      <c r="C192" t="s" s="16">
        <v>20</v>
      </c>
      <c r="D192" s="11">
        <v>8</v>
      </c>
      <c r="E192" s="11">
        <v>2</v>
      </c>
      <c r="F192" s="11">
        <v>1</v>
      </c>
      <c r="G192" s="19">
        <v>45467</v>
      </c>
      <c r="H192" s="13">
        <v>1.018</v>
      </c>
      <c r="I192" s="13">
        <v>0.12</v>
      </c>
      <c r="J192" s="13">
        <v>1.143</v>
      </c>
      <c r="K192" s="20" cm="1">
        <f t="array" ref="K192">J192-H192</f>
        <v>0.125</v>
      </c>
      <c r="L192" s="13">
        <v>0.112</v>
      </c>
      <c r="M192" s="13">
        <v>1.28</v>
      </c>
      <c r="N192" s="13">
        <v>14</v>
      </c>
      <c r="O192" s="20" cm="1">
        <f t="array" ref="O192">K192-I192</f>
        <v>0.005</v>
      </c>
      <c r="P192" s="15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ht="13.65" customHeight="1">
      <c r="A193" t="s" s="16">
        <v>27</v>
      </c>
      <c r="B193" s="35">
        <v>45468</v>
      </c>
      <c r="C193" t="s" s="16">
        <v>20</v>
      </c>
      <c r="D193" s="18">
        <v>8</v>
      </c>
      <c r="E193" s="18">
        <v>2</v>
      </c>
      <c r="F193" s="18">
        <v>2</v>
      </c>
      <c r="G193" s="19">
        <v>45467</v>
      </c>
      <c r="H193" s="20">
        <v>1.032</v>
      </c>
      <c r="I193" s="20">
        <v>0.121</v>
      </c>
      <c r="J193" s="20">
        <v>1.157</v>
      </c>
      <c r="K193" s="20" cm="1">
        <f t="array" ref="K193">J193-H193</f>
        <v>0.125</v>
      </c>
      <c r="L193" s="20">
        <v>0.11</v>
      </c>
      <c r="M193" s="20">
        <v>1.28</v>
      </c>
      <c r="N193" s="20">
        <v>14</v>
      </c>
      <c r="O193" s="20" cm="1">
        <f t="array" ref="O193">K193-I193</f>
        <v>0.004</v>
      </c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ht="13.65" customHeight="1">
      <c r="A194" t="s" s="16">
        <v>27</v>
      </c>
      <c r="B194" s="35">
        <v>45468</v>
      </c>
      <c r="C194" t="s" s="16">
        <v>20</v>
      </c>
      <c r="D194" s="18">
        <v>8</v>
      </c>
      <c r="E194" s="18">
        <v>2</v>
      </c>
      <c r="F194" s="18">
        <v>3</v>
      </c>
      <c r="G194" s="19">
        <v>45467</v>
      </c>
      <c r="H194" s="20">
        <v>1.027</v>
      </c>
      <c r="I194" s="20">
        <v>0.121</v>
      </c>
      <c r="J194" s="20">
        <v>1.152</v>
      </c>
      <c r="K194" s="20" cm="1">
        <f t="array" ref="K194">J194-H194</f>
        <v>0.125</v>
      </c>
      <c r="L194" s="20">
        <v>0.11</v>
      </c>
      <c r="M194" s="20">
        <v>1.28</v>
      </c>
      <c r="N194" s="20">
        <v>14</v>
      </c>
      <c r="O194" s="20" cm="1">
        <f t="array" ref="O194">K194-I194</f>
        <v>0.004</v>
      </c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ht="13.65" customHeight="1">
      <c r="A195" t="s" s="22">
        <v>27</v>
      </c>
      <c r="B195" s="36">
        <v>45468</v>
      </c>
      <c r="C195" t="s" s="22">
        <v>20</v>
      </c>
      <c r="D195" s="24">
        <v>8</v>
      </c>
      <c r="E195" s="24">
        <v>2</v>
      </c>
      <c r="F195" s="24">
        <v>4</v>
      </c>
      <c r="G195" s="25">
        <v>45467</v>
      </c>
      <c r="H195" s="26">
        <v>1.012</v>
      </c>
      <c r="I195" s="26">
        <v>0.12</v>
      </c>
      <c r="J195" s="26">
        <v>1.138</v>
      </c>
      <c r="K195" s="20" cm="1">
        <f t="array" ref="K195">J195-H195</f>
        <v>0.126</v>
      </c>
      <c r="L195" s="26">
        <v>0.116</v>
      </c>
      <c r="M195" s="26">
        <v>1.28</v>
      </c>
      <c r="N195" s="26">
        <v>14</v>
      </c>
      <c r="O195" s="20" cm="1">
        <f t="array" ref="O195">K195-I195</f>
        <v>0.006</v>
      </c>
      <c r="P195" s="6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ht="13.65" customHeight="1">
      <c r="A196" t="s" s="9">
        <v>27</v>
      </c>
      <c r="B196" s="10">
        <v>45482</v>
      </c>
      <c r="C196" t="s" s="9">
        <v>19</v>
      </c>
      <c r="D196" s="11">
        <v>4</v>
      </c>
      <c r="E196" s="11">
        <v>1</v>
      </c>
      <c r="F196" s="11">
        <v>1</v>
      </c>
      <c r="G196" s="12">
        <v>45481</v>
      </c>
      <c r="H196" s="13">
        <v>0.989</v>
      </c>
      <c r="I196" s="13">
        <v>0.124</v>
      </c>
      <c r="J196" s="13">
        <v>1.117</v>
      </c>
      <c r="K196" s="20" cm="1">
        <f t="array" ref="K196">J196-H196</f>
        <v>0.128</v>
      </c>
      <c r="L196" s="13">
        <v>0.132</v>
      </c>
      <c r="M196" s="13">
        <v>1.11</v>
      </c>
      <c r="N196" s="13">
        <v>14</v>
      </c>
      <c r="O196" s="20" cm="1">
        <f t="array" ref="O196">K196-I196</f>
        <v>0.004</v>
      </c>
      <c r="P196" s="15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ht="13.65" customHeight="1">
      <c r="A197" t="s" s="16">
        <v>27</v>
      </c>
      <c r="B197" s="17">
        <v>45482</v>
      </c>
      <c r="C197" t="s" s="16">
        <v>19</v>
      </c>
      <c r="D197" s="18">
        <v>4</v>
      </c>
      <c r="E197" s="18">
        <v>1</v>
      </c>
      <c r="F197" s="18">
        <v>2</v>
      </c>
      <c r="G197" s="19">
        <v>45481</v>
      </c>
      <c r="H197" s="20">
        <v>1.004</v>
      </c>
      <c r="I197" s="20">
        <v>0.119</v>
      </c>
      <c r="J197" s="20">
        <v>1.128</v>
      </c>
      <c r="K197" s="20" cm="1">
        <f t="array" ref="K197">J197-H197</f>
        <v>0.124</v>
      </c>
      <c r="L197" s="20">
        <v>0.128</v>
      </c>
      <c r="M197" s="20">
        <v>1.11</v>
      </c>
      <c r="N197" s="20">
        <v>14</v>
      </c>
      <c r="O197" s="20" cm="1">
        <f t="array" ref="O197">K197-I197</f>
        <v>0.005</v>
      </c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ht="13.65" customHeight="1">
      <c r="A198" t="s" s="16">
        <v>27</v>
      </c>
      <c r="B198" s="17">
        <v>45482</v>
      </c>
      <c r="C198" t="s" s="16">
        <v>19</v>
      </c>
      <c r="D198" s="18">
        <v>4</v>
      </c>
      <c r="E198" s="18">
        <v>1</v>
      </c>
      <c r="F198" s="18">
        <v>3</v>
      </c>
      <c r="G198" s="19">
        <v>45481</v>
      </c>
      <c r="H198" s="20">
        <v>1.034</v>
      </c>
      <c r="I198" s="20">
        <v>0.123</v>
      </c>
      <c r="J198" s="20">
        <v>1.16</v>
      </c>
      <c r="K198" s="20" cm="1">
        <f t="array" ref="K198">J198-H198</f>
        <v>0.126</v>
      </c>
      <c r="L198" s="20">
        <v>0.122</v>
      </c>
      <c r="M198" s="20">
        <v>1.11</v>
      </c>
      <c r="N198" s="20">
        <v>14</v>
      </c>
      <c r="O198" s="20" cm="1">
        <f t="array" ref="O198">K198-I198</f>
        <v>0.003</v>
      </c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ht="13.65" customHeight="1">
      <c r="A199" t="s" s="22">
        <v>27</v>
      </c>
      <c r="B199" s="23">
        <v>45482</v>
      </c>
      <c r="C199" t="s" s="22">
        <v>19</v>
      </c>
      <c r="D199" s="24">
        <v>4</v>
      </c>
      <c r="E199" s="24">
        <v>1</v>
      </c>
      <c r="F199" s="24">
        <v>4</v>
      </c>
      <c r="G199" s="19">
        <v>45481</v>
      </c>
      <c r="H199" s="26">
        <v>1.047</v>
      </c>
      <c r="I199" s="26">
        <v>0.12</v>
      </c>
      <c r="J199" s="26">
        <v>1.169</v>
      </c>
      <c r="K199" s="20" cm="1">
        <f t="array" ref="K199">J199-H199</f>
        <v>0.122</v>
      </c>
      <c r="L199" s="26">
        <v>0.12</v>
      </c>
      <c r="M199" s="26">
        <v>1.11</v>
      </c>
      <c r="N199" s="26">
        <v>14</v>
      </c>
      <c r="O199" s="20" cm="1">
        <f t="array" ref="O199">K199-I199</f>
        <v>0.002</v>
      </c>
      <c r="P199" s="6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ht="13.65" customHeight="1">
      <c r="A200" t="s" s="9">
        <v>27</v>
      </c>
      <c r="B200" s="10">
        <v>45482</v>
      </c>
      <c r="C200" t="s" s="9">
        <v>19</v>
      </c>
      <c r="D200" s="11">
        <v>4</v>
      </c>
      <c r="E200" s="11">
        <v>2</v>
      </c>
      <c r="F200" s="11">
        <v>1</v>
      </c>
      <c r="G200" s="19">
        <v>45481</v>
      </c>
      <c r="H200" s="13">
        <v>1.041</v>
      </c>
      <c r="I200" s="13">
        <v>0.119</v>
      </c>
      <c r="J200" s="13">
        <v>1.165</v>
      </c>
      <c r="K200" s="20" cm="1">
        <f t="array" ref="K200">J200-H200</f>
        <v>0.124</v>
      </c>
      <c r="L200" s="13">
        <v>0.122</v>
      </c>
      <c r="M200" s="13">
        <v>1.23</v>
      </c>
      <c r="N200" s="13">
        <v>14</v>
      </c>
      <c r="O200" s="20" cm="1">
        <f t="array" ref="O200">K200-I200</f>
        <v>0.005</v>
      </c>
      <c r="P200" s="15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ht="13.65" customHeight="1">
      <c r="A201" t="s" s="16">
        <v>27</v>
      </c>
      <c r="B201" s="17">
        <v>45482</v>
      </c>
      <c r="C201" t="s" s="16">
        <v>19</v>
      </c>
      <c r="D201" s="18">
        <v>4</v>
      </c>
      <c r="E201" s="18">
        <v>2</v>
      </c>
      <c r="F201" s="18">
        <v>2</v>
      </c>
      <c r="G201" s="19">
        <v>45481</v>
      </c>
      <c r="H201" s="20">
        <v>1.044</v>
      </c>
      <c r="I201" s="20">
        <v>0.121</v>
      </c>
      <c r="J201" s="20">
        <v>1.17</v>
      </c>
      <c r="K201" s="20" cm="1">
        <f t="array" ref="K201">J201-H201</f>
        <v>0.126</v>
      </c>
      <c r="L201" s="20">
        <v>0.12</v>
      </c>
      <c r="M201" s="20">
        <v>1.23</v>
      </c>
      <c r="N201" s="20">
        <v>14</v>
      </c>
      <c r="O201" s="20" cm="1">
        <f t="array" ref="O201">K201-I201</f>
        <v>0.005</v>
      </c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ht="13.65" customHeight="1">
      <c r="A202" t="s" s="16">
        <v>27</v>
      </c>
      <c r="B202" s="17">
        <v>45482</v>
      </c>
      <c r="C202" t="s" s="16">
        <v>19</v>
      </c>
      <c r="D202" s="18">
        <v>4</v>
      </c>
      <c r="E202" s="18">
        <v>2</v>
      </c>
      <c r="F202" s="18">
        <v>3</v>
      </c>
      <c r="G202" s="19">
        <v>45481</v>
      </c>
      <c r="H202" s="20">
        <v>1.011</v>
      </c>
      <c r="I202" s="20">
        <v>0.121</v>
      </c>
      <c r="J202" s="20">
        <v>1.134</v>
      </c>
      <c r="K202" s="20" cm="1">
        <f t="array" ref="K202">J202-H202</f>
        <v>0.123</v>
      </c>
      <c r="L202" s="20">
        <v>0.118</v>
      </c>
      <c r="M202" s="20">
        <v>1.23</v>
      </c>
      <c r="N202" s="20">
        <v>14</v>
      </c>
      <c r="O202" s="20" cm="1">
        <f t="array" ref="O202">K202-I202</f>
        <v>0.002</v>
      </c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ht="13.65" customHeight="1">
      <c r="A203" t="s" s="22">
        <v>27</v>
      </c>
      <c r="B203" s="23">
        <v>45482</v>
      </c>
      <c r="C203" t="s" s="22">
        <v>19</v>
      </c>
      <c r="D203" s="24">
        <v>4</v>
      </c>
      <c r="E203" s="24">
        <v>2</v>
      </c>
      <c r="F203" s="24">
        <v>4</v>
      </c>
      <c r="G203" s="19">
        <v>45481</v>
      </c>
      <c r="H203" s="26">
        <v>1.039</v>
      </c>
      <c r="I203" s="26">
        <v>0.12</v>
      </c>
      <c r="J203" s="26">
        <v>1.162</v>
      </c>
      <c r="K203" s="20" cm="1">
        <f t="array" ref="K203">J203-H203</f>
        <v>0.123</v>
      </c>
      <c r="L203" s="26">
        <v>0.122</v>
      </c>
      <c r="M203" s="26">
        <v>1.23</v>
      </c>
      <c r="N203" s="26">
        <v>14</v>
      </c>
      <c r="O203" s="20" cm="1">
        <f t="array" ref="O203">K203-I203</f>
        <v>0.003</v>
      </c>
      <c r="P203" s="6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ht="13.65" customHeight="1">
      <c r="A204" t="s" s="9">
        <v>27</v>
      </c>
      <c r="B204" s="10">
        <v>45482</v>
      </c>
      <c r="C204" t="s" s="9">
        <v>19</v>
      </c>
      <c r="D204" s="11">
        <v>8</v>
      </c>
      <c r="E204" s="11">
        <v>1</v>
      </c>
      <c r="F204" s="11">
        <v>1</v>
      </c>
      <c r="G204" s="19">
        <v>45481</v>
      </c>
      <c r="H204" s="13">
        <v>1.045</v>
      </c>
      <c r="I204" s="13">
        <v>0.123</v>
      </c>
      <c r="J204" s="13">
        <v>1.179</v>
      </c>
      <c r="K204" s="20" cm="1">
        <f t="array" ref="K204">J204-H204</f>
        <v>0.134</v>
      </c>
      <c r="L204" s="13">
        <v>0.116</v>
      </c>
      <c r="M204" s="13">
        <v>1</v>
      </c>
      <c r="N204" s="13">
        <v>14</v>
      </c>
      <c r="O204" s="20" cm="1">
        <f t="array" ref="O204">K204-I204</f>
        <v>0.011</v>
      </c>
      <c r="P204" s="15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ht="13.65" customHeight="1">
      <c r="A205" t="s" s="16">
        <v>27</v>
      </c>
      <c r="B205" s="17">
        <v>45482</v>
      </c>
      <c r="C205" t="s" s="16">
        <v>19</v>
      </c>
      <c r="D205" s="18">
        <v>8</v>
      </c>
      <c r="E205" s="18">
        <v>1</v>
      </c>
      <c r="F205" s="18">
        <v>2</v>
      </c>
      <c r="G205" s="19">
        <v>45481</v>
      </c>
      <c r="H205" s="20">
        <v>1.031</v>
      </c>
      <c r="I205" s="20">
        <v>0.122</v>
      </c>
      <c r="J205" s="20">
        <v>1.164</v>
      </c>
      <c r="K205" s="20" cm="1">
        <f t="array" ref="K205">J205-H205</f>
        <v>0.133</v>
      </c>
      <c r="L205" s="20">
        <v>0.118</v>
      </c>
      <c r="M205" s="20">
        <v>1</v>
      </c>
      <c r="N205" s="20">
        <v>14</v>
      </c>
      <c r="O205" s="20" cm="1">
        <f t="array" ref="O205">K205-I205</f>
        <v>0.011</v>
      </c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ht="13.65" customHeight="1">
      <c r="A206" t="s" s="16">
        <v>27</v>
      </c>
      <c r="B206" s="17">
        <v>45482</v>
      </c>
      <c r="C206" t="s" s="16">
        <v>19</v>
      </c>
      <c r="D206" s="18">
        <v>8</v>
      </c>
      <c r="E206" s="18">
        <v>1</v>
      </c>
      <c r="F206" s="18">
        <v>3</v>
      </c>
      <c r="G206" s="19">
        <v>45481</v>
      </c>
      <c r="H206" s="20">
        <v>1.029</v>
      </c>
      <c r="I206" s="20">
        <v>0.12</v>
      </c>
      <c r="J206" s="20">
        <v>1.159</v>
      </c>
      <c r="K206" s="20" cm="1">
        <f t="array" ref="K206">J206-H206</f>
        <v>0.13</v>
      </c>
      <c r="L206" s="20">
        <v>0.112</v>
      </c>
      <c r="M206" s="20">
        <v>1</v>
      </c>
      <c r="N206" s="20">
        <v>14</v>
      </c>
      <c r="O206" s="20" cm="1">
        <f t="array" ref="O206">K206-I206</f>
        <v>0.01</v>
      </c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ht="13.65" customHeight="1">
      <c r="A207" t="s" s="22">
        <v>27</v>
      </c>
      <c r="B207" s="23">
        <v>45482</v>
      </c>
      <c r="C207" t="s" s="22">
        <v>19</v>
      </c>
      <c r="D207" s="24">
        <v>8</v>
      </c>
      <c r="E207" s="24">
        <v>1</v>
      </c>
      <c r="F207" s="24">
        <v>4</v>
      </c>
      <c r="G207" s="19">
        <v>45481</v>
      </c>
      <c r="H207" s="26">
        <v>1.011</v>
      </c>
      <c r="I207" s="26">
        <v>0.123</v>
      </c>
      <c r="J207" s="26">
        <v>1.144</v>
      </c>
      <c r="K207" s="20" cm="1">
        <f t="array" ref="K207">J207-H207</f>
        <v>0.133</v>
      </c>
      <c r="L207" s="26">
        <v>0.1</v>
      </c>
      <c r="M207" s="26">
        <v>1</v>
      </c>
      <c r="N207" s="26">
        <v>14</v>
      </c>
      <c r="O207" s="20" cm="1">
        <f t="array" ref="O207">K207-I207</f>
        <v>0.01</v>
      </c>
      <c r="P207" s="6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ht="13.65" customHeight="1">
      <c r="A208" t="s" s="9">
        <v>27</v>
      </c>
      <c r="B208" s="10">
        <v>45482</v>
      </c>
      <c r="C208" t="s" s="9">
        <v>19</v>
      </c>
      <c r="D208" s="11">
        <v>8</v>
      </c>
      <c r="E208" s="11">
        <v>2</v>
      </c>
      <c r="F208" s="11">
        <v>1</v>
      </c>
      <c r="G208" s="19">
        <v>45481</v>
      </c>
      <c r="H208" s="13">
        <v>1.021</v>
      </c>
      <c r="I208" s="13">
        <v>0.12</v>
      </c>
      <c r="J208" s="13">
        <v>1.152</v>
      </c>
      <c r="K208" s="20" cm="1">
        <f t="array" ref="K208">J208-H208</f>
        <v>0.131</v>
      </c>
      <c r="L208" s="13">
        <v>0.098</v>
      </c>
      <c r="M208" s="13">
        <v>1.3</v>
      </c>
      <c r="N208" s="13">
        <v>14</v>
      </c>
      <c r="O208" s="20" cm="1">
        <f t="array" ref="O208">K208-I208</f>
        <v>0.011</v>
      </c>
      <c r="P208" s="15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ht="13.65" customHeight="1">
      <c r="A209" t="s" s="16">
        <v>27</v>
      </c>
      <c r="B209" s="17">
        <v>45482</v>
      </c>
      <c r="C209" t="s" s="16">
        <v>19</v>
      </c>
      <c r="D209" s="18">
        <v>8</v>
      </c>
      <c r="E209" s="18">
        <v>2</v>
      </c>
      <c r="F209" s="18">
        <v>2</v>
      </c>
      <c r="G209" s="19">
        <v>45481</v>
      </c>
      <c r="H209" s="20">
        <v>1.001</v>
      </c>
      <c r="I209" s="20">
        <v>0.121</v>
      </c>
      <c r="J209" s="20">
        <v>1.132</v>
      </c>
      <c r="K209" s="20" cm="1">
        <f t="array" ref="K209">J209-H209</f>
        <v>0.131</v>
      </c>
      <c r="L209" s="20">
        <v>0.098</v>
      </c>
      <c r="M209" s="20">
        <v>1.3</v>
      </c>
      <c r="N209" s="20">
        <v>14</v>
      </c>
      <c r="O209" s="20" cm="1">
        <f t="array" ref="O209">K209-I209</f>
        <v>0.01</v>
      </c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ht="13.65" customHeight="1">
      <c r="A210" t="s" s="16">
        <v>27</v>
      </c>
      <c r="B210" s="17">
        <v>45482</v>
      </c>
      <c r="C210" t="s" s="16">
        <v>19</v>
      </c>
      <c r="D210" s="18">
        <v>8</v>
      </c>
      <c r="E210" s="18">
        <v>2</v>
      </c>
      <c r="F210" s="18">
        <v>3</v>
      </c>
      <c r="G210" s="19">
        <v>45481</v>
      </c>
      <c r="H210" s="20">
        <v>0.999</v>
      </c>
      <c r="I210" s="20">
        <v>0.121</v>
      </c>
      <c r="J210" s="20">
        <v>1.13</v>
      </c>
      <c r="K210" s="20" cm="1">
        <f t="array" ref="K210">J210-H210</f>
        <v>0.131</v>
      </c>
      <c r="L210" s="20">
        <v>0.106</v>
      </c>
      <c r="M210" s="20">
        <v>1.3</v>
      </c>
      <c r="N210" s="20">
        <v>14</v>
      </c>
      <c r="O210" s="20" cm="1">
        <f t="array" ref="O210">K210-I210</f>
        <v>0.01</v>
      </c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ht="13.65" customHeight="1">
      <c r="A211" t="s" s="22">
        <v>27</v>
      </c>
      <c r="B211" s="23">
        <v>45482</v>
      </c>
      <c r="C211" t="s" s="22">
        <v>19</v>
      </c>
      <c r="D211" s="24">
        <v>8</v>
      </c>
      <c r="E211" s="24">
        <v>2</v>
      </c>
      <c r="F211" s="24">
        <v>4</v>
      </c>
      <c r="G211" s="25">
        <v>45481</v>
      </c>
      <c r="H211" s="26">
        <v>1.004</v>
      </c>
      <c r="I211" s="26">
        <v>0.121</v>
      </c>
      <c r="J211" s="26">
        <v>1.135</v>
      </c>
      <c r="K211" s="20" cm="1">
        <f t="array" ref="K211">J211-H211</f>
        <v>0.131</v>
      </c>
      <c r="L211" s="26">
        <v>0.104</v>
      </c>
      <c r="M211" s="26">
        <v>1.3</v>
      </c>
      <c r="N211" s="26">
        <v>14</v>
      </c>
      <c r="O211" s="20" cm="1">
        <f t="array" ref="O211">K211-I211</f>
        <v>0.01</v>
      </c>
      <c r="P211" s="6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ht="13.65" customHeight="1">
      <c r="A212" t="s" s="9">
        <v>27</v>
      </c>
      <c r="B212" s="10">
        <v>45482</v>
      </c>
      <c r="C212" t="s" s="9">
        <v>20</v>
      </c>
      <c r="D212" s="11">
        <v>4</v>
      </c>
      <c r="E212" s="11">
        <v>1</v>
      </c>
      <c r="F212" s="11">
        <v>1</v>
      </c>
      <c r="G212" s="12">
        <v>45481</v>
      </c>
      <c r="H212" s="13">
        <v>1.026</v>
      </c>
      <c r="I212" s="13">
        <v>0.121</v>
      </c>
      <c r="J212" s="13">
        <v>1.159</v>
      </c>
      <c r="K212" s="20" cm="1">
        <f t="array" ref="K212">J212-H212</f>
        <v>0.133</v>
      </c>
      <c r="L212" s="13">
        <v>0.118</v>
      </c>
      <c r="M212" s="13">
        <v>1.115</v>
      </c>
      <c r="N212" s="13">
        <v>14</v>
      </c>
      <c r="O212" s="20" cm="1">
        <f t="array" ref="O212">K212-I212</f>
        <v>0.012</v>
      </c>
      <c r="P212" s="15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ht="13.65" customHeight="1">
      <c r="A213" t="s" s="16">
        <v>27</v>
      </c>
      <c r="B213" s="17">
        <v>45482</v>
      </c>
      <c r="C213" t="s" s="16">
        <v>20</v>
      </c>
      <c r="D213" s="18">
        <v>4</v>
      </c>
      <c r="E213" s="18">
        <v>1</v>
      </c>
      <c r="F213" s="18">
        <v>2</v>
      </c>
      <c r="G213" s="19">
        <v>45481</v>
      </c>
      <c r="H213" s="20">
        <v>1.028</v>
      </c>
      <c r="I213" s="20">
        <v>0.124</v>
      </c>
      <c r="J213" s="20">
        <v>1.159</v>
      </c>
      <c r="K213" s="20" cm="1">
        <f t="array" ref="K213">J213-H213</f>
        <v>0.131</v>
      </c>
      <c r="L213" s="20">
        <v>0.12</v>
      </c>
      <c r="M213" s="20">
        <v>1.115</v>
      </c>
      <c r="N213" s="20">
        <v>14</v>
      </c>
      <c r="O213" s="20" cm="1">
        <f t="array" ref="O213">K213-I213</f>
        <v>0.007</v>
      </c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ht="13.65" customHeight="1">
      <c r="A214" t="s" s="16">
        <v>27</v>
      </c>
      <c r="B214" s="17">
        <v>45482</v>
      </c>
      <c r="C214" t="s" s="16">
        <v>20</v>
      </c>
      <c r="D214" s="18">
        <v>4</v>
      </c>
      <c r="E214" s="18">
        <v>1</v>
      </c>
      <c r="F214" s="18">
        <v>3</v>
      </c>
      <c r="G214" s="19">
        <v>45481</v>
      </c>
      <c r="H214" s="20">
        <v>1.013</v>
      </c>
      <c r="I214" s="20">
        <v>0.121</v>
      </c>
      <c r="J214" s="20">
        <v>1.143</v>
      </c>
      <c r="K214" s="20" cm="1">
        <f t="array" ref="K214">J214-H214</f>
        <v>0.13</v>
      </c>
      <c r="L214" s="20">
        <v>0.1</v>
      </c>
      <c r="M214" s="20">
        <v>1.115</v>
      </c>
      <c r="N214" s="20">
        <v>14</v>
      </c>
      <c r="O214" s="20" cm="1">
        <f t="array" ref="O214">K214-I214</f>
        <v>0.008999999999999999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ht="13.65" customHeight="1">
      <c r="A215" t="s" s="22">
        <v>27</v>
      </c>
      <c r="B215" s="23">
        <v>45482</v>
      </c>
      <c r="C215" t="s" s="22">
        <v>20</v>
      </c>
      <c r="D215" s="24">
        <v>4</v>
      </c>
      <c r="E215" s="24">
        <v>1</v>
      </c>
      <c r="F215" s="24">
        <v>4</v>
      </c>
      <c r="G215" s="19">
        <v>45481</v>
      </c>
      <c r="H215" s="26">
        <v>1.008</v>
      </c>
      <c r="I215" s="26">
        <v>0.119</v>
      </c>
      <c r="J215" s="26">
        <v>1.136</v>
      </c>
      <c r="K215" s="20" cm="1">
        <f t="array" ref="K215">J215-H215</f>
        <v>0.128</v>
      </c>
      <c r="L215" s="26">
        <v>0.104</v>
      </c>
      <c r="M215" s="26">
        <v>1.115</v>
      </c>
      <c r="N215" s="26">
        <v>14</v>
      </c>
      <c r="O215" s="20" cm="1">
        <f t="array" ref="O215">K215-I215</f>
        <v>0.008999999999999999</v>
      </c>
      <c r="P215" s="6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ht="13.65" customHeight="1">
      <c r="A216" t="s" s="9">
        <v>27</v>
      </c>
      <c r="B216" s="10">
        <v>45482</v>
      </c>
      <c r="C216" t="s" s="9">
        <v>20</v>
      </c>
      <c r="D216" s="11">
        <v>4</v>
      </c>
      <c r="E216" s="11">
        <v>2</v>
      </c>
      <c r="F216" s="11">
        <v>1</v>
      </c>
      <c r="G216" s="19">
        <v>45481</v>
      </c>
      <c r="H216" s="13">
        <v>1.029</v>
      </c>
      <c r="I216" s="13">
        <v>0.123</v>
      </c>
      <c r="J216" s="13">
        <v>1.159</v>
      </c>
      <c r="K216" s="20" cm="1">
        <f t="array" ref="K216">J216-H216</f>
        <v>0.13</v>
      </c>
      <c r="L216" s="13">
        <v>0.1</v>
      </c>
      <c r="M216" s="13">
        <v>1.35</v>
      </c>
      <c r="N216" s="13">
        <v>14</v>
      </c>
      <c r="O216" s="20" cm="1">
        <f t="array" ref="O216">K216-I216</f>
        <v>0.007</v>
      </c>
      <c r="P216" s="15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ht="13.65" customHeight="1">
      <c r="A217" t="s" s="16">
        <v>27</v>
      </c>
      <c r="B217" s="17">
        <v>45482</v>
      </c>
      <c r="C217" t="s" s="16">
        <v>20</v>
      </c>
      <c r="D217" s="18">
        <v>4</v>
      </c>
      <c r="E217" s="18">
        <v>2</v>
      </c>
      <c r="F217" s="18">
        <v>2</v>
      </c>
      <c r="G217" s="19">
        <v>45481</v>
      </c>
      <c r="H217" s="20">
        <v>1.013</v>
      </c>
      <c r="I217" s="20">
        <v>0.119</v>
      </c>
      <c r="J217" s="20">
        <v>1.143</v>
      </c>
      <c r="K217" s="20" cm="1">
        <f t="array" ref="K217">J217-H217</f>
        <v>0.13</v>
      </c>
      <c r="L217" s="20">
        <v>0.1</v>
      </c>
      <c r="M217" s="20">
        <v>1.35</v>
      </c>
      <c r="N217" s="20">
        <v>14</v>
      </c>
      <c r="O217" s="20" cm="1">
        <f t="array" ref="O217">K217-I217</f>
        <v>0.011</v>
      </c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ht="13.65" customHeight="1">
      <c r="A218" t="s" s="16">
        <v>27</v>
      </c>
      <c r="B218" s="17">
        <v>45482</v>
      </c>
      <c r="C218" t="s" s="16">
        <v>20</v>
      </c>
      <c r="D218" s="18">
        <v>4</v>
      </c>
      <c r="E218" s="18">
        <v>2</v>
      </c>
      <c r="F218" s="18">
        <v>3</v>
      </c>
      <c r="G218" s="19">
        <v>45481</v>
      </c>
      <c r="H218" s="20">
        <v>1.034</v>
      </c>
      <c r="I218" s="20">
        <v>0.118</v>
      </c>
      <c r="J218" s="20">
        <v>1.16</v>
      </c>
      <c r="K218" s="20" cm="1">
        <f t="array" ref="K218">J218-H218</f>
        <v>0.126</v>
      </c>
      <c r="L218" s="20">
        <v>0.102</v>
      </c>
      <c r="M218" s="20">
        <v>1.35</v>
      </c>
      <c r="N218" s="20">
        <v>14</v>
      </c>
      <c r="O218" s="20" cm="1">
        <f t="array" ref="O218">K218-I218</f>
        <v>0.008</v>
      </c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ht="13.65" customHeight="1">
      <c r="A219" t="s" s="22">
        <v>27</v>
      </c>
      <c r="B219" s="23">
        <v>45482</v>
      </c>
      <c r="C219" t="s" s="22">
        <v>20</v>
      </c>
      <c r="D219" s="24">
        <v>4</v>
      </c>
      <c r="E219" s="24">
        <v>2</v>
      </c>
      <c r="F219" s="24">
        <v>4</v>
      </c>
      <c r="G219" s="19">
        <v>45481</v>
      </c>
      <c r="H219" s="26">
        <v>1.007</v>
      </c>
      <c r="I219" s="26">
        <v>0.122</v>
      </c>
      <c r="J219" s="26">
        <v>1.14</v>
      </c>
      <c r="K219" s="20" cm="1">
        <f t="array" ref="K219">J219-H219</f>
        <v>0.133</v>
      </c>
      <c r="L219" s="26">
        <v>0.098</v>
      </c>
      <c r="M219" s="26">
        <v>1.35</v>
      </c>
      <c r="N219" s="26">
        <v>14</v>
      </c>
      <c r="O219" s="20" cm="1">
        <f t="array" ref="O219">K219-I219</f>
        <v>0.011</v>
      </c>
      <c r="P219" s="6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ht="13.65" customHeight="1">
      <c r="A220" t="s" s="9">
        <v>27</v>
      </c>
      <c r="B220" s="10">
        <v>45482</v>
      </c>
      <c r="C220" t="s" s="9">
        <v>20</v>
      </c>
      <c r="D220" s="11">
        <v>8</v>
      </c>
      <c r="E220" s="11">
        <v>1</v>
      </c>
      <c r="F220" s="11">
        <v>1</v>
      </c>
      <c r="G220" s="19">
        <v>45481</v>
      </c>
      <c r="H220" s="13">
        <v>1.017</v>
      </c>
      <c r="I220" s="13">
        <v>0.118</v>
      </c>
      <c r="J220" s="13">
        <v>1.146</v>
      </c>
      <c r="K220" s="20" cm="1">
        <f t="array" ref="K220">J220-H220</f>
        <v>0.129</v>
      </c>
      <c r="L220" s="13">
        <v>0.096</v>
      </c>
      <c r="M220" s="13">
        <v>1.2</v>
      </c>
      <c r="N220" s="13">
        <v>14</v>
      </c>
      <c r="O220" s="20" cm="1">
        <f t="array" ref="O220">K220-I220</f>
        <v>0.011</v>
      </c>
      <c r="P220" s="15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ht="13.65" customHeight="1">
      <c r="A221" t="s" s="16">
        <v>27</v>
      </c>
      <c r="B221" s="17">
        <v>45482</v>
      </c>
      <c r="C221" t="s" s="16">
        <v>20</v>
      </c>
      <c r="D221" s="18">
        <v>8</v>
      </c>
      <c r="E221" s="18">
        <v>1</v>
      </c>
      <c r="F221" s="18">
        <v>2</v>
      </c>
      <c r="G221" s="19">
        <v>45481</v>
      </c>
      <c r="H221" s="20">
        <v>1.029</v>
      </c>
      <c r="I221" s="20">
        <v>0.12</v>
      </c>
      <c r="J221" s="20">
        <v>1.16</v>
      </c>
      <c r="K221" s="20" cm="1">
        <f t="array" ref="K221">J221-H221</f>
        <v>0.131</v>
      </c>
      <c r="L221" s="20">
        <v>0.1</v>
      </c>
      <c r="M221" s="20">
        <v>1.2</v>
      </c>
      <c r="N221" s="20">
        <v>14</v>
      </c>
      <c r="O221" s="20" cm="1">
        <f t="array" ref="O221">K221-I221</f>
        <v>0.011</v>
      </c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ht="13.65" customHeight="1">
      <c r="A222" t="s" s="16">
        <v>27</v>
      </c>
      <c r="B222" s="17">
        <v>45482</v>
      </c>
      <c r="C222" t="s" s="16">
        <v>20</v>
      </c>
      <c r="D222" s="18">
        <v>8</v>
      </c>
      <c r="E222" s="18">
        <v>1</v>
      </c>
      <c r="F222" s="18">
        <v>3</v>
      </c>
      <c r="G222" s="19">
        <v>45481</v>
      </c>
      <c r="H222" s="20">
        <v>1.014</v>
      </c>
      <c r="I222" s="20">
        <v>0.12</v>
      </c>
      <c r="J222" s="20">
        <v>1.146</v>
      </c>
      <c r="K222" s="20" cm="1">
        <f t="array" ref="K222">J222-H222</f>
        <v>0.132</v>
      </c>
      <c r="L222" s="20">
        <v>0.096</v>
      </c>
      <c r="M222" s="20">
        <v>1.2</v>
      </c>
      <c r="N222" s="20">
        <v>14</v>
      </c>
      <c r="O222" s="20" cm="1">
        <f t="array" ref="O222">K222-I222</f>
        <v>0.012</v>
      </c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ht="13.65" customHeight="1">
      <c r="A223" t="s" s="22">
        <v>27</v>
      </c>
      <c r="B223" s="23">
        <v>45482</v>
      </c>
      <c r="C223" t="s" s="22">
        <v>20</v>
      </c>
      <c r="D223" s="24">
        <v>8</v>
      </c>
      <c r="E223" s="24">
        <v>1</v>
      </c>
      <c r="F223" s="24">
        <v>4</v>
      </c>
      <c r="G223" s="19">
        <v>45481</v>
      </c>
      <c r="H223" s="26">
        <v>1.03</v>
      </c>
      <c r="I223" s="26">
        <v>0.121</v>
      </c>
      <c r="J223" s="26">
        <v>1.161</v>
      </c>
      <c r="K223" s="20" cm="1">
        <f t="array" ref="K223">J223-H223</f>
        <v>0.131</v>
      </c>
      <c r="L223" s="26">
        <v>0.094</v>
      </c>
      <c r="M223" s="26">
        <v>1.2</v>
      </c>
      <c r="N223" s="26">
        <v>14</v>
      </c>
      <c r="O223" s="20" cm="1">
        <f t="array" ref="O223">K223-I223</f>
        <v>0.01</v>
      </c>
      <c r="P223" s="6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ht="13.65" customHeight="1">
      <c r="A224" t="s" s="9">
        <v>27</v>
      </c>
      <c r="B224" s="10">
        <v>45482</v>
      </c>
      <c r="C224" t="s" s="9">
        <v>20</v>
      </c>
      <c r="D224" s="11">
        <v>8</v>
      </c>
      <c r="E224" s="11">
        <v>2</v>
      </c>
      <c r="F224" s="11">
        <v>1</v>
      </c>
      <c r="G224" s="19">
        <v>45481</v>
      </c>
      <c r="H224" s="13">
        <v>1.016</v>
      </c>
      <c r="I224" s="13">
        <v>0.12</v>
      </c>
      <c r="J224" s="13">
        <v>1.145</v>
      </c>
      <c r="K224" s="20" cm="1">
        <f t="array" ref="K224">J224-H224</f>
        <v>0.129</v>
      </c>
      <c r="L224" s="13">
        <v>0.094</v>
      </c>
      <c r="M224" s="38">
        <v>1.35</v>
      </c>
      <c r="N224" s="13">
        <v>14</v>
      </c>
      <c r="O224" s="20" cm="1">
        <f t="array" ref="O224">K224-I224</f>
        <v>0.008999999999999999</v>
      </c>
      <c r="P224" s="15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ht="13.65" customHeight="1">
      <c r="A225" t="s" s="16">
        <v>27</v>
      </c>
      <c r="B225" s="17">
        <v>45482</v>
      </c>
      <c r="C225" t="s" s="16">
        <v>20</v>
      </c>
      <c r="D225" s="18">
        <v>8</v>
      </c>
      <c r="E225" s="18">
        <v>2</v>
      </c>
      <c r="F225" s="18">
        <v>2</v>
      </c>
      <c r="G225" s="19">
        <v>45481</v>
      </c>
      <c r="H225" s="20">
        <v>1.034</v>
      </c>
      <c r="I225" s="20">
        <v>0.123</v>
      </c>
      <c r="J225" s="20">
        <v>1.165</v>
      </c>
      <c r="K225" s="20" cm="1">
        <f t="array" ref="K225">J225-H225</f>
        <v>0.131</v>
      </c>
      <c r="L225" s="20">
        <v>0.1</v>
      </c>
      <c r="M225" s="38">
        <v>1.35</v>
      </c>
      <c r="N225" s="20">
        <v>14</v>
      </c>
      <c r="O225" s="20" cm="1">
        <f t="array" ref="O225">K225-I225</f>
        <v>0.008</v>
      </c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ht="13.65" customHeight="1">
      <c r="A226" t="s" s="16">
        <v>27</v>
      </c>
      <c r="B226" s="17">
        <v>45482</v>
      </c>
      <c r="C226" t="s" s="16">
        <v>20</v>
      </c>
      <c r="D226" s="18">
        <v>8</v>
      </c>
      <c r="E226" s="18">
        <v>2</v>
      </c>
      <c r="F226" s="18">
        <v>3</v>
      </c>
      <c r="G226" s="19">
        <v>45481</v>
      </c>
      <c r="H226" s="20">
        <v>1.01</v>
      </c>
      <c r="I226" s="20">
        <v>0.122</v>
      </c>
      <c r="J226" s="20">
        <v>1.138</v>
      </c>
      <c r="K226" s="20" cm="1">
        <f t="array" ref="K226">J226-H226</f>
        <v>0.128</v>
      </c>
      <c r="L226" s="20">
        <v>0.098</v>
      </c>
      <c r="M226" s="38">
        <v>1.35</v>
      </c>
      <c r="N226" s="20">
        <v>14</v>
      </c>
      <c r="O226" s="20" cm="1">
        <f t="array" ref="O226">K226-I226</f>
        <v>0.006</v>
      </c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ht="13.65" customHeight="1">
      <c r="A227" t="s" s="22">
        <v>27</v>
      </c>
      <c r="B227" s="23">
        <v>45482</v>
      </c>
      <c r="C227" t="s" s="22">
        <v>20</v>
      </c>
      <c r="D227" s="24">
        <v>8</v>
      </c>
      <c r="E227" s="24">
        <v>2</v>
      </c>
      <c r="F227" s="24">
        <v>4</v>
      </c>
      <c r="G227" s="25">
        <v>45481</v>
      </c>
      <c r="H227" s="26">
        <v>1</v>
      </c>
      <c r="I227" s="26">
        <v>0.12</v>
      </c>
      <c r="J227" s="26">
        <v>1.127</v>
      </c>
      <c r="K227" s="20" cm="1">
        <f t="array" ref="K227">J227-H227</f>
        <v>0.127</v>
      </c>
      <c r="L227" s="26">
        <v>0.097</v>
      </c>
      <c r="M227" s="38">
        <v>1.35</v>
      </c>
      <c r="N227" s="26">
        <v>14</v>
      </c>
      <c r="O227" s="20" cm="1">
        <f t="array" ref="O227">K227-I227</f>
        <v>0.007</v>
      </c>
      <c r="P227" s="6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ht="13.65" customHeight="1">
      <c r="A228" t="s" s="9">
        <v>28</v>
      </c>
      <c r="B228" s="34">
        <v>45496</v>
      </c>
      <c r="C228" t="s" s="9">
        <v>19</v>
      </c>
      <c r="D228" s="11">
        <v>4</v>
      </c>
      <c r="E228" s="11">
        <v>1</v>
      </c>
      <c r="F228" s="11">
        <v>1</v>
      </c>
      <c r="G228" s="12">
        <v>45495</v>
      </c>
      <c r="H228" s="13">
        <v>1.014</v>
      </c>
      <c r="I228" s="13">
        <v>0.122</v>
      </c>
      <c r="J228" s="13">
        <v>1.141</v>
      </c>
      <c r="K228" s="20" cm="1">
        <f t="array" ref="K228">J228-H228</f>
        <v>0.127</v>
      </c>
      <c r="L228" s="13">
        <v>0.12</v>
      </c>
      <c r="M228" s="13" cm="1">
        <f t="array" ref="M228">1.16+0.125</f>
        <v>1.285</v>
      </c>
      <c r="N228" s="13">
        <v>14</v>
      </c>
      <c r="O228" s="20" cm="1">
        <f t="array" ref="O228">K228-I228</f>
        <v>0.005</v>
      </c>
      <c r="P228" s="15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ht="13.65" customHeight="1">
      <c r="A229" t="s" s="16">
        <v>28</v>
      </c>
      <c r="B229" s="35">
        <v>45496</v>
      </c>
      <c r="C229" t="s" s="16">
        <v>19</v>
      </c>
      <c r="D229" s="18">
        <v>4</v>
      </c>
      <c r="E229" s="18">
        <v>1</v>
      </c>
      <c r="F229" s="18">
        <v>2</v>
      </c>
      <c r="G229" s="19">
        <v>45495</v>
      </c>
      <c r="H229" s="20">
        <v>1.021</v>
      </c>
      <c r="I229" s="20">
        <v>0.12</v>
      </c>
      <c r="J229" s="20">
        <v>1.147</v>
      </c>
      <c r="K229" s="20" cm="1">
        <f t="array" ref="K229">J229-H229</f>
        <v>0.126</v>
      </c>
      <c r="L229" s="20">
        <v>0.098</v>
      </c>
      <c r="M229" s="20" cm="1">
        <f t="array" ref="M229">1.16+0.125</f>
        <v>1.285</v>
      </c>
      <c r="N229" s="20">
        <v>14</v>
      </c>
      <c r="O229" s="20" cm="1">
        <f t="array" ref="O229">K229-I229</f>
        <v>0.006</v>
      </c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ht="13.65" customHeight="1">
      <c r="A230" t="s" s="16">
        <v>28</v>
      </c>
      <c r="B230" s="35">
        <v>45496</v>
      </c>
      <c r="C230" t="s" s="16">
        <v>19</v>
      </c>
      <c r="D230" s="18">
        <v>4</v>
      </c>
      <c r="E230" s="18">
        <v>1</v>
      </c>
      <c r="F230" s="18">
        <v>3</v>
      </c>
      <c r="G230" s="19">
        <v>45495</v>
      </c>
      <c r="H230" s="20">
        <v>0.998</v>
      </c>
      <c r="I230" s="20">
        <v>0.123</v>
      </c>
      <c r="J230" s="20">
        <v>1.128</v>
      </c>
      <c r="K230" s="20" cm="1">
        <f t="array" ref="K230">J230-H230</f>
        <v>0.13</v>
      </c>
      <c r="L230" s="20">
        <v>0.102</v>
      </c>
      <c r="M230" s="20" cm="1">
        <f t="array" ref="M230">1.16+0.125</f>
        <v>1.285</v>
      </c>
      <c r="N230" s="20">
        <v>14</v>
      </c>
      <c r="O230" s="20" cm="1">
        <f t="array" ref="O230">K230-I230</f>
        <v>0.007</v>
      </c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ht="13.65" customHeight="1">
      <c r="A231" t="s" s="22">
        <v>28</v>
      </c>
      <c r="B231" s="36">
        <v>45496</v>
      </c>
      <c r="C231" t="s" s="22">
        <v>19</v>
      </c>
      <c r="D231" s="24">
        <v>4</v>
      </c>
      <c r="E231" s="24">
        <v>1</v>
      </c>
      <c r="F231" s="24">
        <v>4</v>
      </c>
      <c r="G231" s="25">
        <v>45495</v>
      </c>
      <c r="H231" s="26">
        <v>1.004</v>
      </c>
      <c r="I231" s="26">
        <v>0.119</v>
      </c>
      <c r="J231" s="26">
        <v>1.129</v>
      </c>
      <c r="K231" s="20" cm="1">
        <f t="array" ref="K231">J231-H231</f>
        <v>0.125</v>
      </c>
      <c r="L231" s="26">
        <v>0.1</v>
      </c>
      <c r="M231" s="26" cm="1">
        <f t="array" ref="M231">1.16+0.125</f>
        <v>1.285</v>
      </c>
      <c r="N231" s="26">
        <v>14</v>
      </c>
      <c r="O231" s="20" cm="1">
        <f t="array" ref="O231">K231-I231</f>
        <v>0.006</v>
      </c>
      <c r="P231" s="6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ht="13.65" customHeight="1">
      <c r="A232" t="s" s="9">
        <v>28</v>
      </c>
      <c r="B232" s="34">
        <v>45496</v>
      </c>
      <c r="C232" t="s" s="9">
        <v>19</v>
      </c>
      <c r="D232" s="11">
        <v>4</v>
      </c>
      <c r="E232" s="11">
        <v>2</v>
      </c>
      <c r="F232" s="11">
        <v>1</v>
      </c>
      <c r="G232" s="12">
        <v>45495</v>
      </c>
      <c r="H232" s="13">
        <v>0.993</v>
      </c>
      <c r="I232" s="13">
        <v>0.119</v>
      </c>
      <c r="J232" s="13">
        <v>1.117</v>
      </c>
      <c r="K232" s="20" cm="1">
        <f t="array" ref="K232">J232-H232</f>
        <v>0.124</v>
      </c>
      <c r="L232" s="13">
        <v>0.104</v>
      </c>
      <c r="M232" s="14" cm="1">
        <f t="array" ref="M232">0.7+0.62</f>
        <v>1.32</v>
      </c>
      <c r="N232" s="13">
        <v>14</v>
      </c>
      <c r="O232" s="20" cm="1">
        <f t="array" ref="O232">K232-I232</f>
        <v>0.005</v>
      </c>
      <c r="P232" s="15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ht="13.65" customHeight="1">
      <c r="A233" t="s" s="16">
        <v>28</v>
      </c>
      <c r="B233" s="35">
        <v>45496</v>
      </c>
      <c r="C233" t="s" s="16">
        <v>19</v>
      </c>
      <c r="D233" s="18">
        <v>4</v>
      </c>
      <c r="E233" s="18">
        <v>2</v>
      </c>
      <c r="F233" s="18">
        <v>2</v>
      </c>
      <c r="G233" s="19">
        <v>45495</v>
      </c>
      <c r="H233" s="20">
        <v>1.013</v>
      </c>
      <c r="I233" s="20">
        <v>0.121</v>
      </c>
      <c r="J233" s="20">
        <v>1.14</v>
      </c>
      <c r="K233" s="20" cm="1">
        <f t="array" ref="K233">J233-H233</f>
        <v>0.127</v>
      </c>
      <c r="L233" s="20">
        <v>0.104</v>
      </c>
      <c r="M233" s="21" cm="1">
        <f t="array" ref="M233">0.7+0.62</f>
        <v>1.32</v>
      </c>
      <c r="N233" s="20">
        <v>14</v>
      </c>
      <c r="O233" s="20" cm="1">
        <f t="array" ref="O233">K233-I233</f>
        <v>0.006</v>
      </c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ht="13.65" customHeight="1">
      <c r="A234" t="s" s="16">
        <v>28</v>
      </c>
      <c r="B234" s="35">
        <v>45496</v>
      </c>
      <c r="C234" t="s" s="16">
        <v>19</v>
      </c>
      <c r="D234" s="18">
        <v>4</v>
      </c>
      <c r="E234" s="18">
        <v>2</v>
      </c>
      <c r="F234" s="18">
        <v>3</v>
      </c>
      <c r="G234" s="19">
        <v>45495</v>
      </c>
      <c r="H234" s="20">
        <v>1.029</v>
      </c>
      <c r="I234" s="20">
        <v>0.119</v>
      </c>
      <c r="J234" s="20">
        <v>1.155</v>
      </c>
      <c r="K234" s="20" cm="1">
        <f t="array" ref="K234">J234-H234</f>
        <v>0.126</v>
      </c>
      <c r="L234" s="20">
        <v>0.102</v>
      </c>
      <c r="M234" s="21" cm="1">
        <f t="array" ref="M234">0.7+0.62</f>
        <v>1.32</v>
      </c>
      <c r="N234" s="20">
        <v>14</v>
      </c>
      <c r="O234" s="20" cm="1">
        <f t="array" ref="O234">K234-I234</f>
        <v>0.007</v>
      </c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ht="13.65" customHeight="1">
      <c r="A235" t="s" s="22">
        <v>28</v>
      </c>
      <c r="B235" s="36">
        <v>45496</v>
      </c>
      <c r="C235" t="s" s="22">
        <v>19</v>
      </c>
      <c r="D235" s="24">
        <v>4</v>
      </c>
      <c r="E235" s="24">
        <v>2</v>
      </c>
      <c r="F235" s="24">
        <v>4</v>
      </c>
      <c r="G235" s="25">
        <v>45495</v>
      </c>
      <c r="H235" s="26">
        <v>0.987</v>
      </c>
      <c r="I235" s="26">
        <v>0.12</v>
      </c>
      <c r="J235" s="26">
        <v>1.112</v>
      </c>
      <c r="K235" s="20" cm="1">
        <f t="array" ref="K235">J235-H235</f>
        <v>0.125</v>
      </c>
      <c r="L235" s="26">
        <v>0.102</v>
      </c>
      <c r="M235" s="27" cm="1">
        <f t="array" ref="M235">0.7+0.62</f>
        <v>1.32</v>
      </c>
      <c r="N235" s="26">
        <v>14</v>
      </c>
      <c r="O235" s="20" cm="1">
        <f t="array" ref="O235">K235-I235</f>
        <v>0.005</v>
      </c>
      <c r="P235" s="6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ht="13.65" customHeight="1">
      <c r="A236" t="s" s="9">
        <v>28</v>
      </c>
      <c r="B236" s="34">
        <v>45496</v>
      </c>
      <c r="C236" t="s" s="9">
        <v>19</v>
      </c>
      <c r="D236" s="11">
        <v>8</v>
      </c>
      <c r="E236" s="11">
        <v>1</v>
      </c>
      <c r="F236" s="11">
        <v>1</v>
      </c>
      <c r="G236" s="12">
        <v>45495</v>
      </c>
      <c r="H236" s="13">
        <v>1.006</v>
      </c>
      <c r="I236" s="13">
        <v>0.119</v>
      </c>
      <c r="J236" s="13">
        <v>1.14</v>
      </c>
      <c r="K236" s="20" cm="1">
        <f t="array" ref="K236">J236-H236</f>
        <v>0.134</v>
      </c>
      <c r="L236" s="13">
        <v>0.104</v>
      </c>
      <c r="M236" s="13" cm="1">
        <f t="array" ref="M236">0.125+0.53+0.7</f>
        <v>1.355</v>
      </c>
      <c r="N236" s="13">
        <v>14</v>
      </c>
      <c r="O236" s="20" cm="1">
        <f t="array" ref="O236">K236-I236</f>
        <v>0.015</v>
      </c>
      <c r="P236" s="15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ht="13.65" customHeight="1">
      <c r="A237" t="s" s="16">
        <v>28</v>
      </c>
      <c r="B237" s="35">
        <v>45496</v>
      </c>
      <c r="C237" t="s" s="16">
        <v>19</v>
      </c>
      <c r="D237" s="18">
        <v>8</v>
      </c>
      <c r="E237" s="18">
        <v>1</v>
      </c>
      <c r="F237" s="18">
        <v>2</v>
      </c>
      <c r="G237" s="19">
        <v>45495</v>
      </c>
      <c r="H237" s="20">
        <v>1.004</v>
      </c>
      <c r="I237" s="20">
        <v>0.122</v>
      </c>
      <c r="J237" s="20">
        <v>1.138</v>
      </c>
      <c r="K237" s="20" cm="1">
        <f t="array" ref="K237">J237-H237</f>
        <v>0.134</v>
      </c>
      <c r="L237" s="20">
        <v>0.092</v>
      </c>
      <c r="M237" s="20" cm="1">
        <f t="array" ref="M237">0.125+0.53+0.7</f>
        <v>1.355</v>
      </c>
      <c r="N237" s="20">
        <v>14</v>
      </c>
      <c r="O237" s="20" cm="1">
        <f t="array" ref="O237">K237-I237</f>
        <v>0.012</v>
      </c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ht="13.65" customHeight="1">
      <c r="A238" t="s" s="16">
        <v>28</v>
      </c>
      <c r="B238" s="35">
        <v>45496</v>
      </c>
      <c r="C238" t="s" s="16">
        <v>19</v>
      </c>
      <c r="D238" s="18">
        <v>8</v>
      </c>
      <c r="E238" s="18">
        <v>1</v>
      </c>
      <c r="F238" s="18">
        <v>3</v>
      </c>
      <c r="G238" s="19">
        <v>45495</v>
      </c>
      <c r="H238" s="20">
        <v>1.026</v>
      </c>
      <c r="I238" s="20">
        <v>0.12</v>
      </c>
      <c r="J238" s="20">
        <v>1.159</v>
      </c>
      <c r="K238" s="20" cm="1">
        <f t="array" ref="K238">J238-H238</f>
        <v>0.133</v>
      </c>
      <c r="L238" s="20">
        <v>0.094</v>
      </c>
      <c r="M238" s="20" cm="1">
        <f t="array" ref="M238">0.125+0.53+0.7</f>
        <v>1.355</v>
      </c>
      <c r="N238" s="20">
        <v>14</v>
      </c>
      <c r="O238" s="20" cm="1">
        <f t="array" ref="O238">K238-I238</f>
        <v>0.013</v>
      </c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ht="13.65" customHeight="1">
      <c r="A239" t="s" s="22">
        <v>28</v>
      </c>
      <c r="B239" s="36">
        <v>45496</v>
      </c>
      <c r="C239" t="s" s="22">
        <v>19</v>
      </c>
      <c r="D239" s="24">
        <v>8</v>
      </c>
      <c r="E239" s="24">
        <v>1</v>
      </c>
      <c r="F239" s="24">
        <v>4</v>
      </c>
      <c r="G239" s="25">
        <v>45495</v>
      </c>
      <c r="H239" s="26">
        <v>1.029</v>
      </c>
      <c r="I239" s="26">
        <v>0.12</v>
      </c>
      <c r="J239" s="26">
        <v>1.161</v>
      </c>
      <c r="K239" s="20" cm="1">
        <f t="array" ref="K239">J239-H239</f>
        <v>0.132</v>
      </c>
      <c r="L239" s="26">
        <v>0.09</v>
      </c>
      <c r="M239" s="26" cm="1">
        <f t="array" ref="M239">0.125+0.53+0.7</f>
        <v>1.355</v>
      </c>
      <c r="N239" s="26">
        <v>14</v>
      </c>
      <c r="O239" s="20" cm="1">
        <f t="array" ref="O239">K239-I239</f>
        <v>0.012</v>
      </c>
      <c r="P239" s="6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ht="13.65" customHeight="1">
      <c r="A240" t="s" s="9">
        <v>28</v>
      </c>
      <c r="B240" s="34">
        <v>45496</v>
      </c>
      <c r="C240" t="s" s="9">
        <v>19</v>
      </c>
      <c r="D240" s="11">
        <v>8</v>
      </c>
      <c r="E240" s="11">
        <v>2</v>
      </c>
      <c r="F240" s="11">
        <v>1</v>
      </c>
      <c r="G240" s="12">
        <v>45495</v>
      </c>
      <c r="H240" s="13">
        <v>1.002</v>
      </c>
      <c r="I240" s="13">
        <v>0.121</v>
      </c>
      <c r="J240" s="13">
        <v>1.133</v>
      </c>
      <c r="K240" s="20" cm="1">
        <f t="array" ref="K240">J240-H240</f>
        <v>0.131</v>
      </c>
      <c r="L240" s="13">
        <v>0.094</v>
      </c>
      <c r="M240" s="13">
        <v>1.185</v>
      </c>
      <c r="N240" s="13">
        <v>14</v>
      </c>
      <c r="O240" s="20" cm="1">
        <f t="array" ref="O240">K240-I240</f>
        <v>0.01</v>
      </c>
      <c r="P240" s="15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ht="13.65" customHeight="1">
      <c r="A241" t="s" s="16">
        <v>28</v>
      </c>
      <c r="B241" s="35">
        <v>45496</v>
      </c>
      <c r="C241" t="s" s="16">
        <v>19</v>
      </c>
      <c r="D241" s="18">
        <v>8</v>
      </c>
      <c r="E241" s="18">
        <v>2</v>
      </c>
      <c r="F241" s="18">
        <v>2</v>
      </c>
      <c r="G241" s="19">
        <v>45495</v>
      </c>
      <c r="H241" s="20">
        <v>1.007</v>
      </c>
      <c r="I241" s="20">
        <v>0.12</v>
      </c>
      <c r="J241" s="20">
        <v>1.139</v>
      </c>
      <c r="K241" s="20" cm="1">
        <f t="array" ref="K241">J241-H241</f>
        <v>0.132</v>
      </c>
      <c r="L241" s="20">
        <v>0.092</v>
      </c>
      <c r="M241" s="20">
        <v>1.185</v>
      </c>
      <c r="N241" s="20">
        <v>14</v>
      </c>
      <c r="O241" s="20" cm="1">
        <f t="array" ref="O241">K241-I241</f>
        <v>0.012</v>
      </c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ht="13.65" customHeight="1">
      <c r="A242" t="s" s="16">
        <v>28</v>
      </c>
      <c r="B242" s="35">
        <v>45496</v>
      </c>
      <c r="C242" t="s" s="16">
        <v>19</v>
      </c>
      <c r="D242" s="18">
        <v>8</v>
      </c>
      <c r="E242" s="18">
        <v>2</v>
      </c>
      <c r="F242" s="18">
        <v>3</v>
      </c>
      <c r="G242" s="19">
        <v>45495</v>
      </c>
      <c r="H242" s="20">
        <v>0.997</v>
      </c>
      <c r="I242" s="20">
        <v>0.119</v>
      </c>
      <c r="J242" s="20">
        <v>1.128</v>
      </c>
      <c r="K242" s="20" cm="1">
        <f t="array" ref="K242">J242-H242</f>
        <v>0.131</v>
      </c>
      <c r="L242" s="20">
        <v>0.09</v>
      </c>
      <c r="M242" s="20">
        <v>1.185</v>
      </c>
      <c r="N242" s="20">
        <v>14</v>
      </c>
      <c r="O242" s="20" cm="1">
        <f t="array" ref="O242">K242-I242</f>
        <v>0.012</v>
      </c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ht="13.65" customHeight="1">
      <c r="A243" t="s" s="22">
        <v>28</v>
      </c>
      <c r="B243" s="36">
        <v>45496</v>
      </c>
      <c r="C243" t="s" s="22">
        <v>19</v>
      </c>
      <c r="D243" s="24">
        <v>8</v>
      </c>
      <c r="E243" s="24">
        <v>2</v>
      </c>
      <c r="F243" s="24">
        <v>4</v>
      </c>
      <c r="G243" s="25">
        <v>45495</v>
      </c>
      <c r="H243" s="26">
        <v>1.024</v>
      </c>
      <c r="I243" s="26">
        <v>0.122</v>
      </c>
      <c r="J243" s="26">
        <v>1.157</v>
      </c>
      <c r="K243" s="20" cm="1">
        <f t="array" ref="K243">J243-H243</f>
        <v>0.133</v>
      </c>
      <c r="L243" s="26">
        <v>0.09</v>
      </c>
      <c r="M243" s="26">
        <v>1.185</v>
      </c>
      <c r="N243" s="26">
        <v>14</v>
      </c>
      <c r="O243" s="20" cm="1">
        <f t="array" ref="O243">K243-I243</f>
        <v>0.011</v>
      </c>
      <c r="P243" s="6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ht="13.65" customHeight="1">
      <c r="A244" t="s" s="9">
        <v>28</v>
      </c>
      <c r="B244" s="34">
        <v>45496</v>
      </c>
      <c r="C244" t="s" s="9">
        <v>20</v>
      </c>
      <c r="D244" s="11">
        <v>4</v>
      </c>
      <c r="E244" s="11">
        <v>1</v>
      </c>
      <c r="F244" s="11">
        <v>1</v>
      </c>
      <c r="G244" s="12">
        <v>45495</v>
      </c>
      <c r="H244" s="13">
        <v>0.996</v>
      </c>
      <c r="I244" s="13">
        <v>0.121</v>
      </c>
      <c r="J244" s="13">
        <v>1.126</v>
      </c>
      <c r="K244" s="20" cm="1">
        <f t="array" ref="K244">J244-H244</f>
        <v>0.13</v>
      </c>
      <c r="L244" s="13">
        <v>0.104</v>
      </c>
      <c r="M244" s="13" cm="1">
        <f t="array" ref="M244">0.825+0.53</f>
        <v>1.355</v>
      </c>
      <c r="N244" s="13">
        <v>14</v>
      </c>
      <c r="O244" s="20" cm="1">
        <f t="array" ref="O244">K244-I244</f>
        <v>0.008999999999999999</v>
      </c>
      <c r="P244" s="15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ht="13.65" customHeight="1">
      <c r="A245" t="s" s="16">
        <v>28</v>
      </c>
      <c r="B245" s="35">
        <v>45496</v>
      </c>
      <c r="C245" t="s" s="16">
        <v>20</v>
      </c>
      <c r="D245" s="18">
        <v>4</v>
      </c>
      <c r="E245" s="18">
        <v>1</v>
      </c>
      <c r="F245" s="18">
        <v>2</v>
      </c>
      <c r="G245" s="19">
        <v>45495</v>
      </c>
      <c r="H245" s="20">
        <v>1.012</v>
      </c>
      <c r="I245" s="20">
        <v>0.121</v>
      </c>
      <c r="J245" s="20">
        <v>1.141</v>
      </c>
      <c r="K245" s="20" cm="1">
        <f t="array" ref="K245">J245-H245</f>
        <v>0.129</v>
      </c>
      <c r="L245" s="20">
        <v>0.092</v>
      </c>
      <c r="M245" s="20" cm="1">
        <f t="array" ref="M245">0.825+0.53</f>
        <v>1.355</v>
      </c>
      <c r="N245" s="20">
        <v>14</v>
      </c>
      <c r="O245" s="20" cm="1">
        <f t="array" ref="O245">K245-I245</f>
        <v>0.008</v>
      </c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ht="13.65" customHeight="1">
      <c r="A246" t="s" s="16">
        <v>28</v>
      </c>
      <c r="B246" s="35">
        <v>45496</v>
      </c>
      <c r="C246" t="s" s="16">
        <v>20</v>
      </c>
      <c r="D246" s="18">
        <v>4</v>
      </c>
      <c r="E246" s="18">
        <v>1</v>
      </c>
      <c r="F246" s="18">
        <v>3</v>
      </c>
      <c r="G246" s="19">
        <v>45495</v>
      </c>
      <c r="H246" s="20">
        <v>1.004</v>
      </c>
      <c r="I246" s="20">
        <v>0.121</v>
      </c>
      <c r="J246" s="20">
        <v>1.133</v>
      </c>
      <c r="K246" s="20" cm="1">
        <f t="array" ref="K246">J246-H246</f>
        <v>0.129</v>
      </c>
      <c r="L246" s="20">
        <v>0.092</v>
      </c>
      <c r="M246" s="20" cm="1">
        <f t="array" ref="M246">0.825+0.53</f>
        <v>1.355</v>
      </c>
      <c r="N246" s="20">
        <v>14</v>
      </c>
      <c r="O246" s="20" cm="1">
        <f t="array" ref="O246">K246-I246</f>
        <v>0.008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ht="13.65" customHeight="1">
      <c r="A247" t="s" s="16">
        <v>28</v>
      </c>
      <c r="B247" s="35">
        <v>45496</v>
      </c>
      <c r="C247" t="s" s="22">
        <v>20</v>
      </c>
      <c r="D247" s="24">
        <v>4</v>
      </c>
      <c r="E247" s="24">
        <v>1</v>
      </c>
      <c r="F247" s="24">
        <v>4</v>
      </c>
      <c r="G247" s="25">
        <v>45495</v>
      </c>
      <c r="H247" s="26">
        <v>1.025</v>
      </c>
      <c r="I247" s="26">
        <v>0.118</v>
      </c>
      <c r="J247" s="26">
        <v>1.151</v>
      </c>
      <c r="K247" s="20" cm="1">
        <f t="array" ref="K247">J247-H247</f>
        <v>0.126</v>
      </c>
      <c r="L247" s="26">
        <v>0.098</v>
      </c>
      <c r="M247" s="26" cm="1">
        <f t="array" ref="M247">0.825+0.53</f>
        <v>1.355</v>
      </c>
      <c r="N247" s="26">
        <v>14</v>
      </c>
      <c r="O247" s="20" cm="1">
        <f t="array" ref="O247">K247-I247</f>
        <v>0.008</v>
      </c>
      <c r="P247" s="6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ht="13.65" customHeight="1">
      <c r="A248" t="s" s="16">
        <v>28</v>
      </c>
      <c r="B248" s="35">
        <v>45496</v>
      </c>
      <c r="C248" t="s" s="9">
        <v>20</v>
      </c>
      <c r="D248" s="11">
        <v>4</v>
      </c>
      <c r="E248" s="11">
        <v>2</v>
      </c>
      <c r="F248" s="11">
        <v>1</v>
      </c>
      <c r="G248" s="12">
        <v>45495</v>
      </c>
      <c r="H248" s="13">
        <v>1.033</v>
      </c>
      <c r="I248" s="13">
        <v>0.122</v>
      </c>
      <c r="J248" s="13">
        <v>1.163</v>
      </c>
      <c r="K248" s="20" cm="1">
        <f t="array" ref="K248">J248-H248</f>
        <v>0.13</v>
      </c>
      <c r="L248" s="13">
        <v>0.094</v>
      </c>
      <c r="M248" s="13" cm="1">
        <f t="array" ref="M248">0.7+0.67</f>
        <v>1.37</v>
      </c>
      <c r="N248" s="13">
        <v>14</v>
      </c>
      <c r="O248" s="20" cm="1">
        <f t="array" ref="O248">K248-I248</f>
        <v>0.008</v>
      </c>
      <c r="P248" s="15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ht="13.65" customHeight="1">
      <c r="A249" t="s" s="16">
        <v>28</v>
      </c>
      <c r="B249" s="35">
        <v>45496</v>
      </c>
      <c r="C249" t="s" s="16">
        <v>20</v>
      </c>
      <c r="D249" s="18">
        <v>4</v>
      </c>
      <c r="E249" s="18">
        <v>2</v>
      </c>
      <c r="F249" s="18">
        <v>2</v>
      </c>
      <c r="G249" s="19">
        <v>45495</v>
      </c>
      <c r="H249" s="20">
        <v>1.016</v>
      </c>
      <c r="I249" s="20">
        <v>0.121</v>
      </c>
      <c r="J249" s="20">
        <v>1.145</v>
      </c>
      <c r="K249" s="20" cm="1">
        <f t="array" ref="K249">J249-H249</f>
        <v>0.129</v>
      </c>
      <c r="L249" s="20">
        <v>0.09</v>
      </c>
      <c r="M249" s="20" cm="1">
        <f t="array" ref="M249">0.7+0.67</f>
        <v>1.37</v>
      </c>
      <c r="N249" s="20">
        <v>14</v>
      </c>
      <c r="O249" s="20" cm="1">
        <f t="array" ref="O249">K249-I249</f>
        <v>0.008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ht="13.65" customHeight="1">
      <c r="A250" t="s" s="16">
        <v>28</v>
      </c>
      <c r="B250" s="35">
        <v>45496</v>
      </c>
      <c r="C250" t="s" s="16">
        <v>20</v>
      </c>
      <c r="D250" s="18">
        <v>4</v>
      </c>
      <c r="E250" s="18">
        <v>2</v>
      </c>
      <c r="F250" s="18">
        <v>3</v>
      </c>
      <c r="G250" s="19">
        <v>45495</v>
      </c>
      <c r="H250" s="20">
        <v>1.005</v>
      </c>
      <c r="I250" s="20">
        <v>0.121</v>
      </c>
      <c r="J250" s="20">
        <v>1.134</v>
      </c>
      <c r="K250" s="20" cm="1">
        <f t="array" ref="K250">J250-H250</f>
        <v>0.129</v>
      </c>
      <c r="L250" s="20">
        <v>0.09</v>
      </c>
      <c r="M250" s="20" cm="1">
        <f t="array" ref="M250">0.7+0.67</f>
        <v>1.37</v>
      </c>
      <c r="N250" s="20">
        <v>14</v>
      </c>
      <c r="O250" s="20" cm="1">
        <f t="array" ref="O250">K250-I250</f>
        <v>0.008</v>
      </c>
      <c r="P250" t="s" s="16">
        <v>29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ht="13.65" customHeight="1">
      <c r="A251" t="s" s="16">
        <v>28</v>
      </c>
      <c r="B251" s="35">
        <v>45496</v>
      </c>
      <c r="C251" t="s" s="22">
        <v>20</v>
      </c>
      <c r="D251" s="24">
        <v>4</v>
      </c>
      <c r="E251" s="24">
        <v>2</v>
      </c>
      <c r="F251" s="24">
        <v>4</v>
      </c>
      <c r="G251" s="25">
        <v>45495</v>
      </c>
      <c r="H251" s="26">
        <v>1.029</v>
      </c>
      <c r="I251" s="26">
        <v>0.119</v>
      </c>
      <c r="J251" s="26">
        <v>1.155</v>
      </c>
      <c r="K251" s="20" cm="1">
        <f t="array" ref="K251">J251-H251</f>
        <v>0.126</v>
      </c>
      <c r="L251" s="26">
        <v>0.09</v>
      </c>
      <c r="M251" s="26" cm="1">
        <f t="array" ref="M251">0.7+0.67</f>
        <v>1.37</v>
      </c>
      <c r="N251" s="26">
        <v>14</v>
      </c>
      <c r="O251" s="20" cm="1">
        <f t="array" ref="O251">K251-I251</f>
        <v>0.007</v>
      </c>
      <c r="P251" s="6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ht="13.65" customHeight="1">
      <c r="A252" t="s" s="16">
        <v>28</v>
      </c>
      <c r="B252" s="35">
        <v>45496</v>
      </c>
      <c r="C252" t="s" s="9">
        <v>20</v>
      </c>
      <c r="D252" s="11">
        <v>8</v>
      </c>
      <c r="E252" s="11">
        <v>1</v>
      </c>
      <c r="F252" s="11">
        <v>1</v>
      </c>
      <c r="G252" s="12">
        <v>45495</v>
      </c>
      <c r="H252" s="13">
        <v>1.018</v>
      </c>
      <c r="I252" s="13">
        <v>0.124</v>
      </c>
      <c r="J252" s="13">
        <v>1.154</v>
      </c>
      <c r="K252" s="20" cm="1">
        <f t="array" ref="K252">J252-H252</f>
        <v>0.136</v>
      </c>
      <c r="L252" s="13">
        <v>0.09</v>
      </c>
      <c r="M252" s="13" cm="1">
        <f t="array" ref="M252">0.125+0.7+0.54</f>
        <v>1.365</v>
      </c>
      <c r="N252" s="13">
        <v>14</v>
      </c>
      <c r="O252" s="20" cm="1">
        <f t="array" ref="O252">K252-I252</f>
        <v>0.012</v>
      </c>
      <c r="P252" s="15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ht="13.65" customHeight="1">
      <c r="A253" t="s" s="16">
        <v>28</v>
      </c>
      <c r="B253" s="35">
        <v>45496</v>
      </c>
      <c r="C253" t="s" s="16">
        <v>20</v>
      </c>
      <c r="D253" s="18">
        <v>8</v>
      </c>
      <c r="E253" s="18">
        <v>1</v>
      </c>
      <c r="F253" s="18">
        <v>2</v>
      </c>
      <c r="G253" s="19">
        <v>45495</v>
      </c>
      <c r="H253" s="20">
        <v>1.006</v>
      </c>
      <c r="I253" s="20">
        <v>0.123</v>
      </c>
      <c r="J253" s="20">
        <v>1.141</v>
      </c>
      <c r="K253" s="20" cm="1">
        <f t="array" ref="K253">J253-H253</f>
        <v>0.135</v>
      </c>
      <c r="L253" s="20">
        <v>0.092</v>
      </c>
      <c r="M253" s="20" cm="1">
        <f t="array" ref="M253">0.125+0.7+0.54</f>
        <v>1.365</v>
      </c>
      <c r="N253" s="20">
        <v>14</v>
      </c>
      <c r="O253" s="20" cm="1">
        <f t="array" ref="O253">K253-I253</f>
        <v>0.012</v>
      </c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ht="13.65" customHeight="1">
      <c r="A254" t="s" s="16">
        <v>28</v>
      </c>
      <c r="B254" s="35">
        <v>45496</v>
      </c>
      <c r="C254" t="s" s="16">
        <v>20</v>
      </c>
      <c r="D254" s="18">
        <v>8</v>
      </c>
      <c r="E254" s="18">
        <v>1</v>
      </c>
      <c r="F254" s="18">
        <v>3</v>
      </c>
      <c r="G254" s="19">
        <v>45495</v>
      </c>
      <c r="H254" s="20">
        <v>0.992</v>
      </c>
      <c r="I254" s="20">
        <v>0.121</v>
      </c>
      <c r="J254" s="20">
        <v>1.126</v>
      </c>
      <c r="K254" s="20" cm="1">
        <f t="array" ref="K254">J254-H254</f>
        <v>0.134</v>
      </c>
      <c r="L254" s="20">
        <v>0.096</v>
      </c>
      <c r="M254" s="20" cm="1">
        <f t="array" ref="M254">0.125+0.7+0.54</f>
        <v>1.365</v>
      </c>
      <c r="N254" s="20">
        <v>14</v>
      </c>
      <c r="O254" s="20" cm="1">
        <f t="array" ref="O254">K254-I254</f>
        <v>0.013</v>
      </c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ht="13.65" customHeight="1">
      <c r="A255" t="s" s="16">
        <v>28</v>
      </c>
      <c r="B255" s="35">
        <v>45496</v>
      </c>
      <c r="C255" t="s" s="22">
        <v>20</v>
      </c>
      <c r="D255" s="24">
        <v>8</v>
      </c>
      <c r="E255" s="24">
        <v>1</v>
      </c>
      <c r="F255" s="24">
        <v>4</v>
      </c>
      <c r="G255" s="25">
        <v>45495</v>
      </c>
      <c r="H255" s="26">
        <v>0.986</v>
      </c>
      <c r="I255" s="26">
        <v>0.12</v>
      </c>
      <c r="J255" s="26">
        <v>1.119</v>
      </c>
      <c r="K255" s="20" cm="1">
        <f t="array" ref="K255">J255-H255</f>
        <v>0.133</v>
      </c>
      <c r="L255" s="26">
        <v>0.09</v>
      </c>
      <c r="M255" s="26" cm="1">
        <f t="array" ref="M255">0.125+0.7+0.54</f>
        <v>1.365</v>
      </c>
      <c r="N255" s="26">
        <v>14</v>
      </c>
      <c r="O255" s="20" cm="1">
        <f t="array" ref="O255">K255-I255</f>
        <v>0.013</v>
      </c>
      <c r="P255" s="6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ht="13.65" customHeight="1">
      <c r="A256" t="s" s="16">
        <v>28</v>
      </c>
      <c r="B256" s="35">
        <v>45496</v>
      </c>
      <c r="C256" t="s" s="9">
        <v>20</v>
      </c>
      <c r="D256" s="11">
        <v>8</v>
      </c>
      <c r="E256" s="11">
        <v>2</v>
      </c>
      <c r="F256" s="11">
        <v>1</v>
      </c>
      <c r="G256" s="12">
        <v>45495</v>
      </c>
      <c r="H256" s="13">
        <v>0.99</v>
      </c>
      <c r="I256" s="13">
        <v>0.119</v>
      </c>
      <c r="J256" s="13">
        <v>1.12</v>
      </c>
      <c r="K256" s="20" cm="1">
        <f t="array" ref="K256">J256-H256</f>
        <v>0.13</v>
      </c>
      <c r="L256" s="13">
        <v>0.092</v>
      </c>
      <c r="M256" s="13">
        <v>1.4</v>
      </c>
      <c r="N256" s="13">
        <v>14</v>
      </c>
      <c r="O256" s="20" cm="1">
        <f t="array" ref="O256">K256-I256</f>
        <v>0.011</v>
      </c>
      <c r="P256" s="15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ht="13.65" customHeight="1">
      <c r="A257" t="s" s="16">
        <v>28</v>
      </c>
      <c r="B257" s="35">
        <v>45496</v>
      </c>
      <c r="C257" t="s" s="16">
        <v>20</v>
      </c>
      <c r="D257" s="18">
        <v>8</v>
      </c>
      <c r="E257" s="18">
        <v>2</v>
      </c>
      <c r="F257" s="18">
        <v>2</v>
      </c>
      <c r="G257" s="19">
        <v>45495</v>
      </c>
      <c r="H257" s="20">
        <v>0.987</v>
      </c>
      <c r="I257" s="20">
        <v>0.121</v>
      </c>
      <c r="J257" s="20">
        <v>1.119</v>
      </c>
      <c r="K257" s="20" cm="1">
        <f t="array" ref="K257">J257-H257</f>
        <v>0.132</v>
      </c>
      <c r="L257" s="20">
        <v>0.094</v>
      </c>
      <c r="M257" s="20">
        <v>1.4</v>
      </c>
      <c r="N257" s="20">
        <v>14</v>
      </c>
      <c r="O257" s="20" cm="1">
        <f t="array" ref="O257">K257-I257</f>
        <v>0.011</v>
      </c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ht="13.65" customHeight="1">
      <c r="A258" t="s" s="16">
        <v>28</v>
      </c>
      <c r="B258" s="35">
        <v>45496</v>
      </c>
      <c r="C258" t="s" s="16">
        <v>20</v>
      </c>
      <c r="D258" s="18">
        <v>8</v>
      </c>
      <c r="E258" s="18">
        <v>2</v>
      </c>
      <c r="F258" s="18">
        <v>3</v>
      </c>
      <c r="G258" s="19">
        <v>45495</v>
      </c>
      <c r="H258" s="20">
        <v>1.006</v>
      </c>
      <c r="I258" s="20">
        <v>0.12</v>
      </c>
      <c r="J258" s="20">
        <v>1.138</v>
      </c>
      <c r="K258" s="20" cm="1">
        <f t="array" ref="K258">J258-H258</f>
        <v>0.132</v>
      </c>
      <c r="L258" s="20">
        <v>0.09</v>
      </c>
      <c r="M258" s="20">
        <v>1.4</v>
      </c>
      <c r="N258" s="20">
        <v>14</v>
      </c>
      <c r="O258" s="20" cm="1">
        <f t="array" ref="O258">K258-I258</f>
        <v>0.012</v>
      </c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ht="13.65" customHeight="1">
      <c r="A259" t="s" s="16">
        <v>28</v>
      </c>
      <c r="B259" s="35">
        <v>45496</v>
      </c>
      <c r="C259" t="s" s="22">
        <v>20</v>
      </c>
      <c r="D259" s="24">
        <v>8</v>
      </c>
      <c r="E259" s="24">
        <v>2</v>
      </c>
      <c r="F259" s="24">
        <v>4</v>
      </c>
      <c r="G259" s="25">
        <v>45495</v>
      </c>
      <c r="H259" s="26">
        <v>1.004</v>
      </c>
      <c r="I259" s="26">
        <v>0.121</v>
      </c>
      <c r="J259" s="26">
        <v>1.136</v>
      </c>
      <c r="K259" s="20" cm="1">
        <f t="array" ref="K259">J259-H259</f>
        <v>0.132</v>
      </c>
      <c r="L259" s="26">
        <v>0.094</v>
      </c>
      <c r="M259" s="26">
        <v>1.4</v>
      </c>
      <c r="N259" s="26">
        <v>14</v>
      </c>
      <c r="O259" s="20" cm="1">
        <f t="array" ref="O259">K259-I259</f>
        <v>0.011</v>
      </c>
      <c r="P259" s="6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ht="13.65" customHeight="1">
      <c r="A260" t="s" s="16">
        <v>30</v>
      </c>
      <c r="B260" s="17">
        <v>45510</v>
      </c>
      <c r="C260" t="s" s="9">
        <v>19</v>
      </c>
      <c r="D260" s="11">
        <v>4</v>
      </c>
      <c r="E260" s="11">
        <v>1</v>
      </c>
      <c r="F260" s="11">
        <v>1</v>
      </c>
      <c r="G260" s="12">
        <v>45509</v>
      </c>
      <c r="H260" s="13">
        <v>1.018</v>
      </c>
      <c r="I260" s="13">
        <v>0.122</v>
      </c>
      <c r="J260" s="13">
        <v>1.147</v>
      </c>
      <c r="K260" s="20" cm="1">
        <f t="array" ref="K260">J260-H260</f>
        <v>0.129</v>
      </c>
      <c r="L260" s="13">
        <v>0.118</v>
      </c>
      <c r="M260" s="13">
        <v>1.265</v>
      </c>
      <c r="N260" s="13">
        <v>14</v>
      </c>
      <c r="O260" s="20" cm="1">
        <f t="array" ref="O260">K260-I260</f>
        <v>0.007</v>
      </c>
      <c r="P260" s="15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ht="13.65" customHeight="1">
      <c r="A261" t="s" s="16">
        <v>30</v>
      </c>
      <c r="B261" s="17">
        <v>45510</v>
      </c>
      <c r="C261" t="s" s="16">
        <v>19</v>
      </c>
      <c r="D261" s="18">
        <v>4</v>
      </c>
      <c r="E261" s="18">
        <v>1</v>
      </c>
      <c r="F261" s="18">
        <v>2</v>
      </c>
      <c r="G261" s="19">
        <v>45509</v>
      </c>
      <c r="H261" s="20">
        <v>1.011</v>
      </c>
      <c r="I261" s="20">
        <v>0.119</v>
      </c>
      <c r="J261" s="20">
        <v>1.137</v>
      </c>
      <c r="K261" s="20" cm="1">
        <f t="array" ref="K261">J261-H261</f>
        <v>0.126</v>
      </c>
      <c r="L261" s="20">
        <v>0.116</v>
      </c>
      <c r="M261" s="20">
        <v>1.265</v>
      </c>
      <c r="N261" s="20">
        <v>14</v>
      </c>
      <c r="O261" s="20" cm="1">
        <f t="array" ref="O261">K261-I261</f>
        <v>0.007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ht="13.65" customHeight="1">
      <c r="A262" t="s" s="16">
        <v>30</v>
      </c>
      <c r="B262" s="17">
        <v>45510</v>
      </c>
      <c r="C262" t="s" s="16">
        <v>19</v>
      </c>
      <c r="D262" s="18">
        <v>4</v>
      </c>
      <c r="E262" s="18">
        <v>1</v>
      </c>
      <c r="F262" s="18">
        <v>3</v>
      </c>
      <c r="G262" s="19">
        <v>45509</v>
      </c>
      <c r="H262" s="20">
        <v>1.013</v>
      </c>
      <c r="I262" s="20">
        <v>0.121</v>
      </c>
      <c r="J262" s="20">
        <v>1.139</v>
      </c>
      <c r="K262" s="20" cm="1">
        <f t="array" ref="K262">J262-H262</f>
        <v>0.126</v>
      </c>
      <c r="L262" s="20">
        <v>0.116</v>
      </c>
      <c r="M262" s="20">
        <v>1.265</v>
      </c>
      <c r="N262" s="20">
        <v>14</v>
      </c>
      <c r="O262" s="20" cm="1">
        <f t="array" ref="O262">K262-I262</f>
        <v>0.005</v>
      </c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ht="13.65" customHeight="1">
      <c r="A263" t="s" s="16">
        <v>30</v>
      </c>
      <c r="B263" s="23">
        <v>45510</v>
      </c>
      <c r="C263" t="s" s="22">
        <v>19</v>
      </c>
      <c r="D263" s="24">
        <v>4</v>
      </c>
      <c r="E263" s="24">
        <v>1</v>
      </c>
      <c r="F263" s="24">
        <v>4</v>
      </c>
      <c r="G263" s="25">
        <v>45509</v>
      </c>
      <c r="H263" s="26">
        <v>1.023</v>
      </c>
      <c r="I263" s="26">
        <v>0.117</v>
      </c>
      <c r="J263" s="26">
        <v>1.146</v>
      </c>
      <c r="K263" s="20" cm="1">
        <f t="array" ref="K263">J263-H263</f>
        <v>0.123</v>
      </c>
      <c r="L263" s="26">
        <v>0.116</v>
      </c>
      <c r="M263" s="26">
        <v>1.265</v>
      </c>
      <c r="N263" s="26">
        <v>14</v>
      </c>
      <c r="O263" s="20" cm="1">
        <f t="array" ref="O263">K263-I263</f>
        <v>0.006</v>
      </c>
      <c r="P263" s="6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ht="13.65" customHeight="1">
      <c r="A264" t="s" s="16">
        <v>30</v>
      </c>
      <c r="B264" s="10">
        <v>45510</v>
      </c>
      <c r="C264" t="s" s="9">
        <v>19</v>
      </c>
      <c r="D264" s="11">
        <v>4</v>
      </c>
      <c r="E264" s="11">
        <v>2</v>
      </c>
      <c r="F264" s="11">
        <v>1</v>
      </c>
      <c r="G264" s="12">
        <v>45509</v>
      </c>
      <c r="H264" s="13">
        <v>1.016</v>
      </c>
      <c r="I264" s="13">
        <v>0.12</v>
      </c>
      <c r="J264" s="13">
        <v>1.142</v>
      </c>
      <c r="K264" s="20" cm="1">
        <f t="array" ref="K264">J264-H264</f>
        <v>0.126</v>
      </c>
      <c r="L264" s="13">
        <v>0.108</v>
      </c>
      <c r="M264" s="13">
        <v>1.35</v>
      </c>
      <c r="N264" s="13">
        <v>14</v>
      </c>
      <c r="O264" s="20" cm="1">
        <f t="array" ref="O264">K264-I264</f>
        <v>0.006</v>
      </c>
      <c r="P264" s="15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ht="13.65" customHeight="1">
      <c r="A265" t="s" s="16">
        <v>30</v>
      </c>
      <c r="B265" s="17">
        <v>45510</v>
      </c>
      <c r="C265" t="s" s="16">
        <v>19</v>
      </c>
      <c r="D265" s="18">
        <v>4</v>
      </c>
      <c r="E265" s="18">
        <v>2</v>
      </c>
      <c r="F265" s="18">
        <v>2</v>
      </c>
      <c r="G265" s="19">
        <v>45509</v>
      </c>
      <c r="H265" s="20">
        <v>1.037</v>
      </c>
      <c r="I265" s="20">
        <v>0.122</v>
      </c>
      <c r="J265" s="20">
        <v>1.165</v>
      </c>
      <c r="K265" s="20" cm="1">
        <f t="array" ref="K265">J265-H265</f>
        <v>0.128</v>
      </c>
      <c r="L265" s="20">
        <v>0.1</v>
      </c>
      <c r="M265" s="20">
        <v>1.35</v>
      </c>
      <c r="N265" s="20">
        <v>14</v>
      </c>
      <c r="O265" s="20" cm="1">
        <f t="array" ref="O265">K265-I265</f>
        <v>0.006</v>
      </c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ht="13.65" customHeight="1">
      <c r="A266" t="s" s="16">
        <v>30</v>
      </c>
      <c r="B266" s="17">
        <v>45510</v>
      </c>
      <c r="C266" t="s" s="16">
        <v>19</v>
      </c>
      <c r="D266" s="18">
        <v>4</v>
      </c>
      <c r="E266" s="18">
        <v>2</v>
      </c>
      <c r="F266" s="18">
        <v>3</v>
      </c>
      <c r="G266" s="19">
        <v>45509</v>
      </c>
      <c r="H266" s="20">
        <v>1.012</v>
      </c>
      <c r="I266" s="20">
        <v>0.12</v>
      </c>
      <c r="J266" s="20">
        <v>1.136</v>
      </c>
      <c r="K266" s="20" cm="1">
        <f t="array" ref="K266">J266-H266</f>
        <v>0.124</v>
      </c>
      <c r="L266" s="20">
        <v>0.1</v>
      </c>
      <c r="M266" s="20">
        <v>1.35</v>
      </c>
      <c r="N266" s="20">
        <v>14</v>
      </c>
      <c r="O266" s="20" cm="1">
        <f t="array" ref="O266">K266-I266</f>
        <v>0.004</v>
      </c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ht="13.65" customHeight="1">
      <c r="A267" t="s" s="16">
        <v>30</v>
      </c>
      <c r="B267" s="23">
        <v>45510</v>
      </c>
      <c r="C267" t="s" s="22">
        <v>19</v>
      </c>
      <c r="D267" s="24">
        <v>4</v>
      </c>
      <c r="E267" s="24">
        <v>2</v>
      </c>
      <c r="F267" s="24">
        <v>4</v>
      </c>
      <c r="G267" s="25">
        <v>45509</v>
      </c>
      <c r="H267" s="26">
        <v>1.008</v>
      </c>
      <c r="I267" s="26">
        <v>0.119</v>
      </c>
      <c r="J267" s="26">
        <v>1.133</v>
      </c>
      <c r="K267" s="20" cm="1">
        <f t="array" ref="K267">J267-H267</f>
        <v>0.125</v>
      </c>
      <c r="L267" s="26">
        <v>0.108</v>
      </c>
      <c r="M267" s="20">
        <v>1.35</v>
      </c>
      <c r="N267" s="26">
        <v>14</v>
      </c>
      <c r="O267" s="20" cm="1">
        <f t="array" ref="O267">K267-I267</f>
        <v>0.006</v>
      </c>
      <c r="P267" s="6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ht="13.65" customHeight="1">
      <c r="A268" t="s" s="16">
        <v>30</v>
      </c>
      <c r="B268" s="10">
        <v>45510</v>
      </c>
      <c r="C268" t="s" s="9">
        <v>19</v>
      </c>
      <c r="D268" s="11">
        <v>8</v>
      </c>
      <c r="E268" s="11">
        <v>1</v>
      </c>
      <c r="F268" s="11">
        <v>1</v>
      </c>
      <c r="G268" s="12">
        <v>45509</v>
      </c>
      <c r="H268" s="13">
        <v>1.013</v>
      </c>
      <c r="I268" s="13">
        <v>0.121</v>
      </c>
      <c r="J268" s="13">
        <v>1.146</v>
      </c>
      <c r="K268" s="20" cm="1">
        <f t="array" ref="K268">J268-H268</f>
        <v>0.133</v>
      </c>
      <c r="L268" s="13">
        <v>0.102</v>
      </c>
      <c r="M268" s="20">
        <v>1.275</v>
      </c>
      <c r="N268" s="13">
        <v>14</v>
      </c>
      <c r="O268" s="20" cm="1">
        <f t="array" ref="O268">K268-I268</f>
        <v>0.012</v>
      </c>
      <c r="P268" s="15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ht="13.65" customHeight="1">
      <c r="A269" t="s" s="16">
        <v>30</v>
      </c>
      <c r="B269" s="17">
        <v>45510</v>
      </c>
      <c r="C269" t="s" s="16">
        <v>19</v>
      </c>
      <c r="D269" s="18">
        <v>8</v>
      </c>
      <c r="E269" s="18">
        <v>1</v>
      </c>
      <c r="F269" s="18">
        <v>2</v>
      </c>
      <c r="G269" s="19">
        <v>45509</v>
      </c>
      <c r="H269" s="20">
        <v>1.012</v>
      </c>
      <c r="I269" s="20">
        <v>0.12</v>
      </c>
      <c r="J269" s="20">
        <v>1.145</v>
      </c>
      <c r="K269" s="20" cm="1">
        <f t="array" ref="K269">J269-H269</f>
        <v>0.133</v>
      </c>
      <c r="L269" s="20">
        <v>0.096</v>
      </c>
      <c r="M269" s="20">
        <v>1.275</v>
      </c>
      <c r="N269" s="20">
        <v>14</v>
      </c>
      <c r="O269" s="20" cm="1">
        <f t="array" ref="O269">K269-I269</f>
        <v>0.013</v>
      </c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ht="13.65" customHeight="1">
      <c r="A270" t="s" s="16">
        <v>30</v>
      </c>
      <c r="B270" s="17">
        <v>45510</v>
      </c>
      <c r="C270" t="s" s="16">
        <v>19</v>
      </c>
      <c r="D270" s="18">
        <v>8</v>
      </c>
      <c r="E270" s="18">
        <v>1</v>
      </c>
      <c r="F270" s="18">
        <v>3</v>
      </c>
      <c r="G270" s="19">
        <v>45509</v>
      </c>
      <c r="H270" s="20">
        <v>1.006</v>
      </c>
      <c r="I270" s="20">
        <v>0.12</v>
      </c>
      <c r="J270" s="20">
        <v>1.14</v>
      </c>
      <c r="K270" s="20" cm="1">
        <f t="array" ref="K270">J270-H270</f>
        <v>0.134</v>
      </c>
      <c r="L270" s="20">
        <v>0.1</v>
      </c>
      <c r="M270" s="20">
        <v>1.275</v>
      </c>
      <c r="N270" s="20">
        <v>14</v>
      </c>
      <c r="O270" s="20" cm="1">
        <f t="array" ref="O270">K270-I270</f>
        <v>0.014</v>
      </c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ht="13.65" customHeight="1">
      <c r="A271" t="s" s="16">
        <v>30</v>
      </c>
      <c r="B271" s="23">
        <v>45510</v>
      </c>
      <c r="C271" t="s" s="22">
        <v>19</v>
      </c>
      <c r="D271" s="24">
        <v>8</v>
      </c>
      <c r="E271" s="24">
        <v>1</v>
      </c>
      <c r="F271" s="24">
        <v>4</v>
      </c>
      <c r="G271" s="25">
        <v>45509</v>
      </c>
      <c r="H271" s="26">
        <v>1.019</v>
      </c>
      <c r="I271" s="26">
        <v>0.119</v>
      </c>
      <c r="J271" s="26">
        <v>1.142</v>
      </c>
      <c r="K271" s="20" cm="1">
        <f t="array" ref="K271">J271-H271</f>
        <v>0.123</v>
      </c>
      <c r="L271" s="26">
        <v>0.098</v>
      </c>
      <c r="M271" s="26">
        <v>1.275</v>
      </c>
      <c r="N271" s="26">
        <v>14</v>
      </c>
      <c r="O271" s="20" cm="1">
        <f t="array" ref="O271">K271-I271</f>
        <v>0.004</v>
      </c>
      <c r="P271" s="6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ht="13.65" customHeight="1">
      <c r="A272" t="s" s="16">
        <v>30</v>
      </c>
      <c r="B272" s="10">
        <v>45510</v>
      </c>
      <c r="C272" t="s" s="9">
        <v>19</v>
      </c>
      <c r="D272" s="11">
        <v>8</v>
      </c>
      <c r="E272" s="11">
        <v>2</v>
      </c>
      <c r="F272" s="11">
        <v>1</v>
      </c>
      <c r="G272" s="12">
        <v>45509</v>
      </c>
      <c r="H272" s="13">
        <v>0.998</v>
      </c>
      <c r="I272" s="13">
        <v>0.123</v>
      </c>
      <c r="J272" s="13">
        <v>1.133</v>
      </c>
      <c r="K272" s="20" cm="1">
        <f t="array" ref="K272">J272-H272</f>
        <v>0.135</v>
      </c>
      <c r="L272" s="13">
        <v>0.096</v>
      </c>
      <c r="M272" s="13">
        <v>1.43</v>
      </c>
      <c r="N272" s="13">
        <v>14</v>
      </c>
      <c r="O272" s="20" cm="1">
        <f t="array" ref="O272">K272-I272</f>
        <v>0.012</v>
      </c>
      <c r="P272" s="15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ht="13.65" customHeight="1">
      <c r="A273" t="s" s="16">
        <v>30</v>
      </c>
      <c r="B273" s="17">
        <v>45510</v>
      </c>
      <c r="C273" t="s" s="16">
        <v>19</v>
      </c>
      <c r="D273" s="18">
        <v>8</v>
      </c>
      <c r="E273" s="18">
        <v>2</v>
      </c>
      <c r="F273" s="18">
        <v>2</v>
      </c>
      <c r="G273" s="19">
        <v>45509</v>
      </c>
      <c r="H273" s="20">
        <v>1.014</v>
      </c>
      <c r="I273" s="20">
        <v>0.12</v>
      </c>
      <c r="J273" s="20">
        <v>1.146</v>
      </c>
      <c r="K273" s="20" cm="1">
        <f t="array" ref="K273">J273-H273</f>
        <v>0.132</v>
      </c>
      <c r="L273" s="20">
        <v>0.094</v>
      </c>
      <c r="M273" s="20">
        <v>1.43</v>
      </c>
      <c r="N273" s="20">
        <v>14</v>
      </c>
      <c r="O273" s="20" cm="1">
        <f t="array" ref="O273">K273-I273</f>
        <v>0.012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ht="13.65" customHeight="1">
      <c r="A274" t="s" s="16">
        <v>30</v>
      </c>
      <c r="B274" s="17">
        <v>45510</v>
      </c>
      <c r="C274" t="s" s="16">
        <v>19</v>
      </c>
      <c r="D274" s="18">
        <v>8</v>
      </c>
      <c r="E274" s="18">
        <v>2</v>
      </c>
      <c r="F274" s="18">
        <v>3</v>
      </c>
      <c r="G274" s="19">
        <v>45509</v>
      </c>
      <c r="H274" s="20">
        <v>0.986</v>
      </c>
      <c r="I274" s="20">
        <v>0.119</v>
      </c>
      <c r="J274" s="20">
        <v>1.118</v>
      </c>
      <c r="K274" s="20" cm="1">
        <f t="array" ref="K274">J274-H274</f>
        <v>0.132</v>
      </c>
      <c r="L274" s="20">
        <v>0.1</v>
      </c>
      <c r="M274" s="20">
        <v>1.43</v>
      </c>
      <c r="N274" s="20">
        <v>14</v>
      </c>
      <c r="O274" s="20" cm="1">
        <f t="array" ref="O274">K274-I274</f>
        <v>0.013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ht="13.65" customHeight="1">
      <c r="A275" t="s" s="16">
        <v>30</v>
      </c>
      <c r="B275" s="23">
        <v>45510</v>
      </c>
      <c r="C275" t="s" s="22">
        <v>19</v>
      </c>
      <c r="D275" s="24">
        <v>8</v>
      </c>
      <c r="E275" s="24">
        <v>2</v>
      </c>
      <c r="F275" s="24">
        <v>4</v>
      </c>
      <c r="G275" s="25">
        <v>45509</v>
      </c>
      <c r="H275" s="26">
        <v>0.992</v>
      </c>
      <c r="I275" s="26">
        <v>0.119</v>
      </c>
      <c r="J275" s="26">
        <v>1.124</v>
      </c>
      <c r="K275" s="20" cm="1">
        <f t="array" ref="K275">J275-H275</f>
        <v>0.132</v>
      </c>
      <c r="L275" s="26">
        <v>0.094</v>
      </c>
      <c r="M275" s="26">
        <v>1.43</v>
      </c>
      <c r="N275" s="26">
        <v>14</v>
      </c>
      <c r="O275" s="20" cm="1">
        <f t="array" ref="O275">K275-I275</f>
        <v>0.013</v>
      </c>
      <c r="P275" s="6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ht="13.65" customHeight="1">
      <c r="A276" t="s" s="16">
        <v>30</v>
      </c>
      <c r="B276" s="10">
        <v>45510</v>
      </c>
      <c r="C276" t="s" s="9">
        <v>20</v>
      </c>
      <c r="D276" s="11">
        <v>4</v>
      </c>
      <c r="E276" s="11">
        <v>1</v>
      </c>
      <c r="F276" s="11">
        <v>1</v>
      </c>
      <c r="G276" s="12">
        <v>45509</v>
      </c>
      <c r="H276" s="13">
        <v>1.007</v>
      </c>
      <c r="I276" s="13">
        <v>0.123</v>
      </c>
      <c r="J276" s="13">
        <v>1.136</v>
      </c>
      <c r="K276" s="20" cm="1">
        <f t="array" ref="K276">J276-H276</f>
        <v>0.129</v>
      </c>
      <c r="L276" s="13">
        <v>0.102</v>
      </c>
      <c r="M276" s="13">
        <v>1.265</v>
      </c>
      <c r="N276" s="13">
        <v>14</v>
      </c>
      <c r="O276" s="20" cm="1">
        <f t="array" ref="O276">K276-I276</f>
        <v>0.006</v>
      </c>
      <c r="P276" s="15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ht="13.65" customHeight="1">
      <c r="A277" t="s" s="16">
        <v>30</v>
      </c>
      <c r="B277" s="17">
        <v>45510</v>
      </c>
      <c r="C277" t="s" s="16">
        <v>20</v>
      </c>
      <c r="D277" s="18">
        <v>4</v>
      </c>
      <c r="E277" s="18">
        <v>1</v>
      </c>
      <c r="F277" s="18">
        <v>2</v>
      </c>
      <c r="G277" s="19">
        <v>45509</v>
      </c>
      <c r="H277" s="20">
        <v>1.039</v>
      </c>
      <c r="I277" s="20">
        <v>0.123</v>
      </c>
      <c r="J277" s="20">
        <v>1.17</v>
      </c>
      <c r="K277" s="20" cm="1">
        <f t="array" ref="K277">J277-H277</f>
        <v>0.131</v>
      </c>
      <c r="L277" s="20">
        <v>0.102</v>
      </c>
      <c r="M277" s="20">
        <v>1.265</v>
      </c>
      <c r="N277" s="20">
        <v>14</v>
      </c>
      <c r="O277" s="20" cm="1">
        <f t="array" ref="O277">K277-I277</f>
        <v>0.008</v>
      </c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ht="13.65" customHeight="1">
      <c r="A278" t="s" s="16">
        <v>30</v>
      </c>
      <c r="B278" s="17">
        <v>45510</v>
      </c>
      <c r="C278" t="s" s="16">
        <v>20</v>
      </c>
      <c r="D278" s="18">
        <v>4</v>
      </c>
      <c r="E278" s="18">
        <v>1</v>
      </c>
      <c r="F278" s="18">
        <v>3</v>
      </c>
      <c r="G278" s="19">
        <v>45509</v>
      </c>
      <c r="H278" s="20">
        <v>1.021</v>
      </c>
      <c r="I278" s="20">
        <v>0.12</v>
      </c>
      <c r="J278" s="20">
        <v>1.148</v>
      </c>
      <c r="K278" s="20" cm="1">
        <f t="array" ref="K278">J278-H278</f>
        <v>0.127</v>
      </c>
      <c r="L278" s="20">
        <v>0.098</v>
      </c>
      <c r="M278" s="20">
        <v>1.265</v>
      </c>
      <c r="N278" s="20">
        <v>14</v>
      </c>
      <c r="O278" s="20" cm="1">
        <f t="array" ref="O278">K278-I278</f>
        <v>0.007</v>
      </c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ht="13.65" customHeight="1">
      <c r="A279" t="s" s="16">
        <v>30</v>
      </c>
      <c r="B279" s="23">
        <v>45510</v>
      </c>
      <c r="C279" t="s" s="22">
        <v>20</v>
      </c>
      <c r="D279" s="24">
        <v>4</v>
      </c>
      <c r="E279" s="24">
        <v>1</v>
      </c>
      <c r="F279" s="24">
        <v>4</v>
      </c>
      <c r="G279" s="25">
        <v>45509</v>
      </c>
      <c r="H279" s="26">
        <v>1.01</v>
      </c>
      <c r="I279" s="26">
        <v>0.121</v>
      </c>
      <c r="J279" s="26">
        <v>1.137</v>
      </c>
      <c r="K279" s="20" cm="1">
        <f t="array" ref="K279">J279-H279</f>
        <v>0.127</v>
      </c>
      <c r="L279" s="26">
        <v>0.098</v>
      </c>
      <c r="M279" s="26">
        <v>1.265</v>
      </c>
      <c r="N279" s="26">
        <v>14</v>
      </c>
      <c r="O279" s="20" cm="1">
        <f t="array" ref="O279">K279-I279</f>
        <v>0.006</v>
      </c>
      <c r="P279" s="6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ht="13.65" customHeight="1">
      <c r="A280" t="s" s="16">
        <v>30</v>
      </c>
      <c r="B280" s="10">
        <v>45510</v>
      </c>
      <c r="C280" t="s" s="9">
        <v>20</v>
      </c>
      <c r="D280" s="11">
        <v>4</v>
      </c>
      <c r="E280" s="11">
        <v>2</v>
      </c>
      <c r="F280" s="11">
        <v>1</v>
      </c>
      <c r="G280" s="12">
        <v>45509</v>
      </c>
      <c r="H280" s="13">
        <v>1.001</v>
      </c>
      <c r="I280" s="13">
        <v>0.12</v>
      </c>
      <c r="J280" s="13">
        <v>1.128</v>
      </c>
      <c r="K280" s="20" cm="1">
        <f t="array" ref="K280">J280-H280</f>
        <v>0.127</v>
      </c>
      <c r="L280" s="13">
        <v>0.104</v>
      </c>
      <c r="M280" s="13">
        <v>1.38</v>
      </c>
      <c r="N280" s="13">
        <v>14</v>
      </c>
      <c r="O280" s="20" cm="1">
        <f t="array" ref="O280">K280-I280</f>
        <v>0.007</v>
      </c>
      <c r="P280" s="15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ht="13.65" customHeight="1">
      <c r="A281" t="s" s="16">
        <v>30</v>
      </c>
      <c r="B281" s="17">
        <v>45510</v>
      </c>
      <c r="C281" t="s" s="16">
        <v>20</v>
      </c>
      <c r="D281" s="18">
        <v>4</v>
      </c>
      <c r="E281" s="18">
        <v>2</v>
      </c>
      <c r="F281" s="18">
        <v>2</v>
      </c>
      <c r="G281" s="19">
        <v>45509</v>
      </c>
      <c r="H281" s="20">
        <v>1.023</v>
      </c>
      <c r="I281" s="20">
        <v>0.12</v>
      </c>
      <c r="J281" s="20">
        <v>1.15</v>
      </c>
      <c r="K281" s="20" cm="1">
        <f t="array" ref="K281">J281-H281</f>
        <v>0.127</v>
      </c>
      <c r="L281" s="20">
        <v>0.106</v>
      </c>
      <c r="M281" s="20">
        <v>1.38</v>
      </c>
      <c r="N281" s="20">
        <v>14</v>
      </c>
      <c r="O281" s="20" cm="1">
        <f t="array" ref="O281">K281-I281</f>
        <v>0.007</v>
      </c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ht="13.65" customHeight="1">
      <c r="A282" t="s" s="16">
        <v>30</v>
      </c>
      <c r="B282" s="17">
        <v>45510</v>
      </c>
      <c r="C282" t="s" s="16">
        <v>20</v>
      </c>
      <c r="D282" s="18">
        <v>4</v>
      </c>
      <c r="E282" s="18">
        <v>2</v>
      </c>
      <c r="F282" s="18">
        <v>3</v>
      </c>
      <c r="G282" s="19">
        <v>45509</v>
      </c>
      <c r="H282" s="20">
        <v>1.032</v>
      </c>
      <c r="I282" s="20">
        <v>0.12</v>
      </c>
      <c r="J282" s="20">
        <v>1.16</v>
      </c>
      <c r="K282" s="20" cm="1">
        <f t="array" ref="K282">J282-H282</f>
        <v>0.128</v>
      </c>
      <c r="L282" s="20">
        <v>0.102</v>
      </c>
      <c r="M282" s="20">
        <v>1.38</v>
      </c>
      <c r="N282" s="20">
        <v>14</v>
      </c>
      <c r="O282" s="20" cm="1">
        <f t="array" ref="O282">K282-I282</f>
        <v>0.008</v>
      </c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ht="13.65" customHeight="1">
      <c r="A283" t="s" s="16">
        <v>30</v>
      </c>
      <c r="B283" s="23">
        <v>45510</v>
      </c>
      <c r="C283" t="s" s="22">
        <v>20</v>
      </c>
      <c r="D283" s="24">
        <v>4</v>
      </c>
      <c r="E283" s="24">
        <v>2</v>
      </c>
      <c r="F283" s="24">
        <v>4</v>
      </c>
      <c r="G283" s="25">
        <v>45509</v>
      </c>
      <c r="H283" s="26">
        <v>1.003</v>
      </c>
      <c r="I283" s="26">
        <v>0.119</v>
      </c>
      <c r="J283" s="26">
        <v>1.13</v>
      </c>
      <c r="K283" s="20" cm="1">
        <f t="array" ref="K283">J283-H283</f>
        <v>0.127</v>
      </c>
      <c r="L283" s="26">
        <v>0.102</v>
      </c>
      <c r="M283" s="20">
        <v>1.38</v>
      </c>
      <c r="N283" s="26">
        <v>14</v>
      </c>
      <c r="O283" s="20" cm="1">
        <f t="array" ref="O283">K283-I283</f>
        <v>0.008</v>
      </c>
      <c r="P283" s="6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ht="13.65" customHeight="1">
      <c r="A284" t="s" s="16">
        <v>30</v>
      </c>
      <c r="B284" s="10">
        <v>45510</v>
      </c>
      <c r="C284" t="s" s="9">
        <v>20</v>
      </c>
      <c r="D284" s="11">
        <v>8</v>
      </c>
      <c r="E284" s="11">
        <v>1</v>
      </c>
      <c r="F284" s="11">
        <v>1</v>
      </c>
      <c r="G284" s="12">
        <v>45509</v>
      </c>
      <c r="H284" s="13">
        <v>1.13</v>
      </c>
      <c r="I284" s="13">
        <v>0.119</v>
      </c>
      <c r="J284" s="13">
        <v>1.143</v>
      </c>
      <c r="K284" s="20" cm="1">
        <f t="array" ref="K284">J284-H284</f>
        <v>0.013</v>
      </c>
      <c r="L284" s="13">
        <v>0.096</v>
      </c>
      <c r="M284" s="20">
        <v>1.395</v>
      </c>
      <c r="N284" s="13">
        <v>14</v>
      </c>
      <c r="O284" s="20" cm="1">
        <f t="array" ref="O284">K284-I284</f>
        <v>-0.106</v>
      </c>
      <c r="P284" s="15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ht="13.65" customHeight="1">
      <c r="A285" t="s" s="16">
        <v>30</v>
      </c>
      <c r="B285" s="17">
        <v>45510</v>
      </c>
      <c r="C285" t="s" s="16">
        <v>20</v>
      </c>
      <c r="D285" s="18">
        <v>8</v>
      </c>
      <c r="E285" s="18">
        <v>1</v>
      </c>
      <c r="F285" s="18">
        <v>2</v>
      </c>
      <c r="G285" s="19">
        <v>45509</v>
      </c>
      <c r="H285" s="20">
        <v>1.025</v>
      </c>
      <c r="I285" s="20">
        <v>0.121</v>
      </c>
      <c r="J285" s="20">
        <v>1.158</v>
      </c>
      <c r="K285" s="20" cm="1">
        <f t="array" ref="K285">J285-H285</f>
        <v>0.133</v>
      </c>
      <c r="L285" s="20">
        <v>0.106</v>
      </c>
      <c r="M285" s="20">
        <v>1.395</v>
      </c>
      <c r="N285" s="20">
        <v>14</v>
      </c>
      <c r="O285" s="20" cm="1">
        <f t="array" ref="O285">K285-I285</f>
        <v>0.012</v>
      </c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ht="13.65" customHeight="1">
      <c r="A286" t="s" s="16">
        <v>30</v>
      </c>
      <c r="B286" s="17">
        <v>45510</v>
      </c>
      <c r="C286" t="s" s="16">
        <v>20</v>
      </c>
      <c r="D286" s="18">
        <v>8</v>
      </c>
      <c r="E286" s="18">
        <v>1</v>
      </c>
      <c r="F286" s="18">
        <v>3</v>
      </c>
      <c r="G286" s="19">
        <v>45509</v>
      </c>
      <c r="H286" s="20">
        <v>1.017</v>
      </c>
      <c r="I286" s="20">
        <v>0.12</v>
      </c>
      <c r="J286" s="20">
        <v>1.148</v>
      </c>
      <c r="K286" s="20" cm="1">
        <f t="array" ref="K286">J286-H286</f>
        <v>0.131</v>
      </c>
      <c r="L286" s="20">
        <v>0.096</v>
      </c>
      <c r="M286" s="20">
        <v>1.395</v>
      </c>
      <c r="N286" s="20">
        <v>14</v>
      </c>
      <c r="O286" s="20" cm="1">
        <f t="array" ref="O286">K286-I286</f>
        <v>0.011</v>
      </c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ht="13.65" customHeight="1">
      <c r="A287" t="s" s="16">
        <v>30</v>
      </c>
      <c r="B287" s="23">
        <v>45510</v>
      </c>
      <c r="C287" t="s" s="22">
        <v>20</v>
      </c>
      <c r="D287" s="24">
        <v>8</v>
      </c>
      <c r="E287" s="24">
        <v>1</v>
      </c>
      <c r="F287" s="24">
        <v>4</v>
      </c>
      <c r="G287" s="25">
        <v>45509</v>
      </c>
      <c r="H287" s="26">
        <v>1.007</v>
      </c>
      <c r="I287" s="26">
        <v>0.119</v>
      </c>
      <c r="J287" s="26">
        <v>1.138</v>
      </c>
      <c r="K287" s="20" cm="1">
        <f t="array" ref="K287">J287-H287</f>
        <v>0.131</v>
      </c>
      <c r="L287" s="26">
        <v>0.102</v>
      </c>
      <c r="M287" s="20">
        <v>1.395</v>
      </c>
      <c r="N287" s="26">
        <v>14</v>
      </c>
      <c r="O287" s="20" cm="1">
        <f t="array" ref="O287">K287-I287</f>
        <v>0.012</v>
      </c>
      <c r="P287" s="6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ht="13.65" customHeight="1">
      <c r="A288" t="s" s="16">
        <v>30</v>
      </c>
      <c r="B288" s="10">
        <v>45510</v>
      </c>
      <c r="C288" t="s" s="9">
        <v>20</v>
      </c>
      <c r="D288" s="11">
        <v>8</v>
      </c>
      <c r="E288" s="11">
        <v>2</v>
      </c>
      <c r="F288" s="11">
        <v>1</v>
      </c>
      <c r="G288" s="12">
        <v>45509</v>
      </c>
      <c r="H288" s="13">
        <v>1.037</v>
      </c>
      <c r="I288" s="13">
        <v>0.124</v>
      </c>
      <c r="J288" s="13">
        <v>1.171</v>
      </c>
      <c r="K288" s="20" cm="1">
        <f t="array" ref="K288">J288-H288</f>
        <v>0.134</v>
      </c>
      <c r="L288" s="13">
        <v>0.106</v>
      </c>
      <c r="M288" s="20">
        <v>1.33</v>
      </c>
      <c r="N288" s="13">
        <v>14</v>
      </c>
      <c r="O288" s="20" cm="1">
        <f t="array" ref="O288">K288-I288</f>
        <v>0.01</v>
      </c>
      <c r="P288" s="15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ht="13.65" customHeight="1">
      <c r="A289" t="s" s="16">
        <v>30</v>
      </c>
      <c r="B289" s="17">
        <v>45510</v>
      </c>
      <c r="C289" t="s" s="16">
        <v>20</v>
      </c>
      <c r="D289" s="18">
        <v>8</v>
      </c>
      <c r="E289" s="18">
        <v>2</v>
      </c>
      <c r="F289" s="18">
        <v>2</v>
      </c>
      <c r="G289" s="19">
        <v>45509</v>
      </c>
      <c r="H289" s="20">
        <v>1.027</v>
      </c>
      <c r="I289" s="20">
        <v>0.122</v>
      </c>
      <c r="J289" s="20">
        <v>1.16</v>
      </c>
      <c r="K289" s="20" cm="1">
        <f t="array" ref="K289">J289-H289</f>
        <v>0.133</v>
      </c>
      <c r="L289" s="20">
        <v>0.098</v>
      </c>
      <c r="M289" s="20">
        <v>1.33</v>
      </c>
      <c r="N289" s="20">
        <v>14</v>
      </c>
      <c r="O289" s="20" cm="1">
        <f t="array" ref="O289">K289-I289</f>
        <v>0.011</v>
      </c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ht="13.65" customHeight="1">
      <c r="A290" t="s" s="16">
        <v>30</v>
      </c>
      <c r="B290" s="17">
        <v>45510</v>
      </c>
      <c r="C290" t="s" s="16">
        <v>20</v>
      </c>
      <c r="D290" s="18">
        <v>8</v>
      </c>
      <c r="E290" s="18">
        <v>2</v>
      </c>
      <c r="F290" s="18">
        <v>3</v>
      </c>
      <c r="G290" s="19">
        <v>45509</v>
      </c>
      <c r="H290" s="20">
        <v>0.998</v>
      </c>
      <c r="I290" s="20">
        <v>0.12</v>
      </c>
      <c r="J290" s="20">
        <v>1.129</v>
      </c>
      <c r="K290" s="20" cm="1">
        <f t="array" ref="K290">J290-H290</f>
        <v>0.131</v>
      </c>
      <c r="L290" s="20">
        <v>0.102</v>
      </c>
      <c r="M290" s="20">
        <v>1.33</v>
      </c>
      <c r="N290" s="20">
        <v>14</v>
      </c>
      <c r="O290" s="20" cm="1">
        <f t="array" ref="O290">K290-I290</f>
        <v>0.011</v>
      </c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ht="13.65" customHeight="1">
      <c r="A291" t="s" s="16">
        <v>30</v>
      </c>
      <c r="B291" s="23">
        <v>45510</v>
      </c>
      <c r="C291" t="s" s="22">
        <v>20</v>
      </c>
      <c r="D291" s="24">
        <v>8</v>
      </c>
      <c r="E291" s="24">
        <v>2</v>
      </c>
      <c r="F291" s="24">
        <v>4</v>
      </c>
      <c r="G291" s="25">
        <v>45509</v>
      </c>
      <c r="H291" s="26">
        <v>1.009</v>
      </c>
      <c r="I291" s="26">
        <v>0.123</v>
      </c>
      <c r="J291" s="26">
        <v>1.143</v>
      </c>
      <c r="K291" s="20" cm="1">
        <f t="array" ref="K291">J291-H291</f>
        <v>0.134</v>
      </c>
      <c r="L291" s="24">
        <v>0.104</v>
      </c>
      <c r="M291" s="26">
        <v>1.33</v>
      </c>
      <c r="N291" s="26">
        <v>14</v>
      </c>
      <c r="O291" s="20" cm="1">
        <f t="array" ref="O291">K291-I291</f>
        <v>0.011</v>
      </c>
      <c r="P291" s="6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ht="13.65" customHeight="1">
      <c r="A292" t="s" s="16">
        <v>30</v>
      </c>
      <c r="B292" s="34">
        <v>45524</v>
      </c>
      <c r="C292" t="s" s="9">
        <v>19</v>
      </c>
      <c r="D292" s="11">
        <v>4</v>
      </c>
      <c r="E292" s="11">
        <v>1</v>
      </c>
      <c r="F292" s="11">
        <v>1</v>
      </c>
      <c r="G292" s="12">
        <v>45523</v>
      </c>
      <c r="H292" s="13">
        <v>1.026</v>
      </c>
      <c r="I292" s="13">
        <v>0.118</v>
      </c>
      <c r="J292" s="13">
        <v>1.151</v>
      </c>
      <c r="K292" s="20" cm="1">
        <f t="array" ref="K292">J292-H292</f>
        <v>0.125</v>
      </c>
      <c r="L292" s="13">
        <v>0.12</v>
      </c>
      <c r="M292" s="13" cm="1">
        <f t="array" ref="M292">SUM(1.175+0.125)</f>
        <v>1.3</v>
      </c>
      <c r="N292" s="13">
        <v>14</v>
      </c>
      <c r="O292" s="20" cm="1">
        <f t="array" ref="O292">K292-I292</f>
        <v>0.007</v>
      </c>
      <c r="P292" s="15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ht="13.65" customHeight="1">
      <c r="A293" t="s" s="16">
        <v>30</v>
      </c>
      <c r="B293" s="35">
        <v>45524</v>
      </c>
      <c r="C293" t="s" s="16">
        <v>19</v>
      </c>
      <c r="D293" s="18">
        <v>4</v>
      </c>
      <c r="E293" s="18">
        <v>1</v>
      </c>
      <c r="F293" s="18">
        <v>2</v>
      </c>
      <c r="G293" s="19">
        <v>45523</v>
      </c>
      <c r="H293" s="20">
        <v>1.01</v>
      </c>
      <c r="I293" s="20">
        <v>0.121</v>
      </c>
      <c r="J293" s="20">
        <v>1.139</v>
      </c>
      <c r="K293" s="20" cm="1">
        <f t="array" ref="K293">J293-H293</f>
        <v>0.129</v>
      </c>
      <c r="L293" s="20">
        <v>0.116</v>
      </c>
      <c r="M293" s="20">
        <v>1.3</v>
      </c>
      <c r="N293" s="20">
        <v>14</v>
      </c>
      <c r="O293" s="20" cm="1">
        <f t="array" ref="O293">K293-I293</f>
        <v>0.008</v>
      </c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ht="13.65" customHeight="1">
      <c r="A294" t="s" s="16">
        <v>30</v>
      </c>
      <c r="B294" s="35">
        <v>45524</v>
      </c>
      <c r="C294" t="s" s="16">
        <v>19</v>
      </c>
      <c r="D294" s="18">
        <v>4</v>
      </c>
      <c r="E294" s="18">
        <v>1</v>
      </c>
      <c r="F294" s="18">
        <v>3</v>
      </c>
      <c r="G294" s="19">
        <v>45523</v>
      </c>
      <c r="H294" s="20">
        <v>1.035</v>
      </c>
      <c r="I294" s="20">
        <v>0.123</v>
      </c>
      <c r="J294" s="20">
        <v>1.166</v>
      </c>
      <c r="K294" s="20" cm="1">
        <f t="array" ref="K294">J294-H294</f>
        <v>0.131</v>
      </c>
      <c r="L294" s="20">
        <v>0.11</v>
      </c>
      <c r="M294" s="20">
        <v>1.3</v>
      </c>
      <c r="N294" s="20">
        <v>14</v>
      </c>
      <c r="O294" s="20" cm="1">
        <f t="array" ref="O294">K294-I294</f>
        <v>0.008</v>
      </c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ht="13.65" customHeight="1">
      <c r="A295" t="s" s="16">
        <v>30</v>
      </c>
      <c r="B295" s="35">
        <v>45524</v>
      </c>
      <c r="C295" t="s" s="22">
        <v>19</v>
      </c>
      <c r="D295" s="24">
        <v>4</v>
      </c>
      <c r="E295" s="24">
        <v>1</v>
      </c>
      <c r="F295" s="24">
        <v>4</v>
      </c>
      <c r="G295" s="19">
        <v>45523</v>
      </c>
      <c r="H295" s="26">
        <v>1.006</v>
      </c>
      <c r="I295" s="26">
        <v>0.118</v>
      </c>
      <c r="J295" s="26">
        <v>1.134</v>
      </c>
      <c r="K295" s="20" cm="1">
        <f t="array" ref="K295">J295-H295</f>
        <v>0.128</v>
      </c>
      <c r="L295" s="26">
        <v>0.11</v>
      </c>
      <c r="M295" s="26">
        <v>1.3</v>
      </c>
      <c r="N295" s="26">
        <v>14</v>
      </c>
      <c r="O295" s="20" cm="1">
        <f t="array" ref="O295">K295-I295</f>
        <v>0.01</v>
      </c>
      <c r="P295" s="6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ht="13.65" customHeight="1">
      <c r="A296" t="s" s="16">
        <v>30</v>
      </c>
      <c r="B296" s="35">
        <v>45524</v>
      </c>
      <c r="C296" t="s" s="9">
        <v>19</v>
      </c>
      <c r="D296" s="11">
        <v>4</v>
      </c>
      <c r="E296" s="11">
        <v>2</v>
      </c>
      <c r="F296" s="11">
        <v>1</v>
      </c>
      <c r="G296" s="19">
        <v>45523</v>
      </c>
      <c r="H296" s="13">
        <v>1.037</v>
      </c>
      <c r="I296" s="13">
        <v>0.12</v>
      </c>
      <c r="J296" s="13">
        <v>1.165</v>
      </c>
      <c r="K296" s="20" cm="1">
        <f t="array" ref="K296">J296-H296</f>
        <v>0.128</v>
      </c>
      <c r="L296" s="13">
        <v>0.118</v>
      </c>
      <c r="M296" s="13">
        <v>1.32</v>
      </c>
      <c r="N296" s="13">
        <v>14</v>
      </c>
      <c r="O296" s="20" cm="1">
        <f t="array" ref="O296">K296-I296</f>
        <v>0.008</v>
      </c>
      <c r="P296" s="15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ht="13.65" customHeight="1">
      <c r="A297" t="s" s="16">
        <v>30</v>
      </c>
      <c r="B297" s="35">
        <v>45524</v>
      </c>
      <c r="C297" t="s" s="16">
        <v>19</v>
      </c>
      <c r="D297" s="18">
        <v>4</v>
      </c>
      <c r="E297" s="18">
        <v>2</v>
      </c>
      <c r="F297" s="18">
        <v>2</v>
      </c>
      <c r="G297" s="19">
        <v>45523</v>
      </c>
      <c r="H297" s="20">
        <v>0.994</v>
      </c>
      <c r="I297" s="20">
        <v>0.121</v>
      </c>
      <c r="J297" s="20">
        <v>1.123</v>
      </c>
      <c r="K297" s="20" cm="1">
        <f t="array" ref="K297">J297-H297</f>
        <v>0.129</v>
      </c>
      <c r="L297" s="20">
        <v>0.114</v>
      </c>
      <c r="M297" s="20">
        <v>1.32</v>
      </c>
      <c r="N297" s="20">
        <v>14</v>
      </c>
      <c r="O297" s="20" cm="1">
        <f t="array" ref="O297">K297-I297</f>
        <v>0.008</v>
      </c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ht="13.65" customHeight="1">
      <c r="A298" t="s" s="16">
        <v>30</v>
      </c>
      <c r="B298" s="35">
        <v>45524</v>
      </c>
      <c r="C298" t="s" s="16">
        <v>19</v>
      </c>
      <c r="D298" s="18">
        <v>4</v>
      </c>
      <c r="E298" s="18">
        <v>2</v>
      </c>
      <c r="F298" s="18">
        <v>3</v>
      </c>
      <c r="G298" s="19">
        <v>45523</v>
      </c>
      <c r="H298" s="20">
        <v>1.001</v>
      </c>
      <c r="I298" s="20">
        <v>0.121</v>
      </c>
      <c r="J298" s="20">
        <v>1.129</v>
      </c>
      <c r="K298" s="20" cm="1">
        <f t="array" ref="K298">J298-H298</f>
        <v>0.128</v>
      </c>
      <c r="L298" s="20">
        <v>0.116</v>
      </c>
      <c r="M298" s="20">
        <v>1.32</v>
      </c>
      <c r="N298" s="20">
        <v>14</v>
      </c>
      <c r="O298" s="20" cm="1">
        <f t="array" ref="O298">K298-I298</f>
        <v>0.007</v>
      </c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ht="13.65" customHeight="1">
      <c r="A299" t="s" s="22">
        <v>30</v>
      </c>
      <c r="B299" s="36">
        <v>45524</v>
      </c>
      <c r="C299" t="s" s="22">
        <v>19</v>
      </c>
      <c r="D299" s="24">
        <v>4</v>
      </c>
      <c r="E299" s="24">
        <v>2</v>
      </c>
      <c r="F299" s="24">
        <v>4</v>
      </c>
      <c r="G299" s="19">
        <v>45523</v>
      </c>
      <c r="H299" s="26">
        <v>1.01</v>
      </c>
      <c r="I299" s="26">
        <v>0.12</v>
      </c>
      <c r="J299" s="26">
        <v>1.139</v>
      </c>
      <c r="K299" s="20" cm="1">
        <f t="array" ref="K299">J299-H299</f>
        <v>0.129</v>
      </c>
      <c r="L299" s="26">
        <v>0.118</v>
      </c>
      <c r="M299" s="26">
        <v>1.32</v>
      </c>
      <c r="N299" s="26">
        <v>14</v>
      </c>
      <c r="O299" s="20" cm="1">
        <f t="array" ref="O299">K299-I299</f>
        <v>0.008999999999999999</v>
      </c>
      <c r="P299" s="6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ht="13.65" customHeight="1">
      <c r="A300" t="s" s="9">
        <v>30</v>
      </c>
      <c r="B300" s="34">
        <v>45524</v>
      </c>
      <c r="C300" t="s" s="9">
        <v>19</v>
      </c>
      <c r="D300" s="11">
        <v>8</v>
      </c>
      <c r="E300" s="11">
        <v>1</v>
      </c>
      <c r="F300" s="11">
        <v>1</v>
      </c>
      <c r="G300" s="19">
        <v>45523</v>
      </c>
      <c r="H300" s="13">
        <v>1.021</v>
      </c>
      <c r="I300" s="13">
        <v>0.122</v>
      </c>
      <c r="J300" s="13">
        <v>1.158</v>
      </c>
      <c r="K300" s="20" cm="1">
        <f t="array" ref="K300">J300-H300</f>
        <v>0.137</v>
      </c>
      <c r="L300" s="13">
        <v>0.1</v>
      </c>
      <c r="M300" s="13" cm="1">
        <f t="array" ref="M300">0.125+1.23</f>
        <v>1.355</v>
      </c>
      <c r="N300" s="13">
        <v>14</v>
      </c>
      <c r="O300" s="20" cm="1">
        <f t="array" ref="O300">K300-I300</f>
        <v>0.015</v>
      </c>
      <c r="P300" s="15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ht="13.65" customHeight="1">
      <c r="A301" t="s" s="16">
        <v>30</v>
      </c>
      <c r="B301" s="35">
        <v>45524</v>
      </c>
      <c r="C301" t="s" s="16">
        <v>19</v>
      </c>
      <c r="D301" s="18">
        <v>8</v>
      </c>
      <c r="E301" s="18">
        <v>1</v>
      </c>
      <c r="F301" s="18">
        <v>2</v>
      </c>
      <c r="G301" s="19">
        <v>45523</v>
      </c>
      <c r="H301" s="20">
        <v>1.032</v>
      </c>
      <c r="I301" s="20">
        <v>0.12</v>
      </c>
      <c r="J301" s="20">
        <v>1.165</v>
      </c>
      <c r="K301" s="20" cm="1">
        <f t="array" ref="K301">J301-H301</f>
        <v>0.133</v>
      </c>
      <c r="L301" s="20">
        <v>0.104</v>
      </c>
      <c r="M301" s="20" cm="1">
        <f t="array" ref="M301">0.125+1.23</f>
        <v>1.355</v>
      </c>
      <c r="N301" s="20">
        <v>14</v>
      </c>
      <c r="O301" s="20" cm="1">
        <f t="array" ref="O301">K301-I301</f>
        <v>0.013</v>
      </c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ht="13.65" customHeight="1">
      <c r="A302" t="s" s="16">
        <v>30</v>
      </c>
      <c r="B302" s="35">
        <v>45524</v>
      </c>
      <c r="C302" t="s" s="16">
        <v>19</v>
      </c>
      <c r="D302" s="18">
        <v>8</v>
      </c>
      <c r="E302" s="18">
        <v>1</v>
      </c>
      <c r="F302" s="18">
        <v>3</v>
      </c>
      <c r="G302" s="19">
        <v>45523</v>
      </c>
      <c r="H302" s="20">
        <v>1.017</v>
      </c>
      <c r="I302" s="20">
        <v>0.12</v>
      </c>
      <c r="J302" s="20">
        <v>1.153</v>
      </c>
      <c r="K302" s="20" cm="1">
        <f t="array" ref="K302">J302-H302</f>
        <v>0.136</v>
      </c>
      <c r="L302" s="20">
        <v>0.102</v>
      </c>
      <c r="M302" s="20" cm="1">
        <f t="array" ref="M302">0.125+1.23</f>
        <v>1.355</v>
      </c>
      <c r="N302" s="20">
        <v>14</v>
      </c>
      <c r="O302" s="20" cm="1">
        <f t="array" ref="O302">K302-I302</f>
        <v>0.016</v>
      </c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ht="13.65" customHeight="1">
      <c r="A303" t="s" s="22">
        <v>30</v>
      </c>
      <c r="B303" s="36">
        <v>45524</v>
      </c>
      <c r="C303" t="s" s="22">
        <v>19</v>
      </c>
      <c r="D303" s="24">
        <v>8</v>
      </c>
      <c r="E303" s="24">
        <v>1</v>
      </c>
      <c r="F303" s="24">
        <v>4</v>
      </c>
      <c r="G303" s="19">
        <v>45523</v>
      </c>
      <c r="H303" s="26">
        <v>1.028</v>
      </c>
      <c r="I303" s="26">
        <v>0.121</v>
      </c>
      <c r="J303" s="26">
        <v>1.165</v>
      </c>
      <c r="K303" s="20" cm="1">
        <f t="array" ref="K303">J303-H303</f>
        <v>0.137</v>
      </c>
      <c r="L303" s="26">
        <v>0.102</v>
      </c>
      <c r="M303" s="26">
        <v>1.355</v>
      </c>
      <c r="N303" s="26">
        <v>14</v>
      </c>
      <c r="O303" s="20" cm="1">
        <f t="array" ref="O303">K303-I303</f>
        <v>0.016</v>
      </c>
      <c r="P303" s="6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ht="13.65" customHeight="1">
      <c r="A304" t="s" s="9">
        <v>30</v>
      </c>
      <c r="B304" s="34">
        <v>45524</v>
      </c>
      <c r="C304" t="s" s="9">
        <v>19</v>
      </c>
      <c r="D304" s="11">
        <v>8</v>
      </c>
      <c r="E304" s="11">
        <v>2</v>
      </c>
      <c r="F304" s="11">
        <v>1</v>
      </c>
      <c r="G304" s="19">
        <v>45523</v>
      </c>
      <c r="H304" s="13">
        <v>1.01</v>
      </c>
      <c r="I304" s="13">
        <v>0.12</v>
      </c>
      <c r="J304" s="13">
        <v>1.145</v>
      </c>
      <c r="K304" s="20" cm="1">
        <f t="array" ref="K304">J304-H304</f>
        <v>0.135</v>
      </c>
      <c r="L304" s="13">
        <v>0.1</v>
      </c>
      <c r="M304" s="13">
        <v>1.34</v>
      </c>
      <c r="N304" s="13">
        <v>14</v>
      </c>
      <c r="O304" s="20" cm="1">
        <f t="array" ref="O304">K304-I304</f>
        <v>0.015</v>
      </c>
      <c r="P304" s="15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ht="13.65" customHeight="1">
      <c r="A305" t="s" s="16">
        <v>30</v>
      </c>
      <c r="B305" s="35">
        <v>45524</v>
      </c>
      <c r="C305" t="s" s="16">
        <v>19</v>
      </c>
      <c r="D305" s="18">
        <v>8</v>
      </c>
      <c r="E305" s="18">
        <v>2</v>
      </c>
      <c r="F305" s="18">
        <v>2</v>
      </c>
      <c r="G305" s="19">
        <v>45523</v>
      </c>
      <c r="H305" s="20">
        <v>1.004</v>
      </c>
      <c r="I305" s="20">
        <v>0.12</v>
      </c>
      <c r="J305" s="20">
        <v>1.139</v>
      </c>
      <c r="K305" s="20" cm="1">
        <f t="array" ref="K305">J305-H305</f>
        <v>0.135</v>
      </c>
      <c r="L305" s="20">
        <v>0.102</v>
      </c>
      <c r="M305" s="20">
        <v>1.34</v>
      </c>
      <c r="N305" s="20">
        <v>14</v>
      </c>
      <c r="O305" s="20" cm="1">
        <f t="array" ref="O305">K305-I305</f>
        <v>0.015</v>
      </c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ht="13.65" customHeight="1">
      <c r="A306" t="s" s="16">
        <v>30</v>
      </c>
      <c r="B306" s="35">
        <v>45524</v>
      </c>
      <c r="C306" t="s" s="16">
        <v>19</v>
      </c>
      <c r="D306" s="18">
        <v>8</v>
      </c>
      <c r="E306" s="18">
        <v>2</v>
      </c>
      <c r="F306" s="18">
        <v>3</v>
      </c>
      <c r="G306" s="19">
        <v>45523</v>
      </c>
      <c r="H306" s="20">
        <v>1.006</v>
      </c>
      <c r="I306" s="20">
        <v>0.12</v>
      </c>
      <c r="J306" s="20">
        <v>1.142</v>
      </c>
      <c r="K306" s="20" cm="1">
        <f t="array" ref="K306">J306-H306</f>
        <v>0.136</v>
      </c>
      <c r="L306" s="20">
        <v>0.098</v>
      </c>
      <c r="M306" s="20">
        <v>1.34</v>
      </c>
      <c r="N306" s="20">
        <v>14</v>
      </c>
      <c r="O306" s="20" cm="1">
        <f t="array" ref="O306">K306-I306</f>
        <v>0.016</v>
      </c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ht="13.65" customHeight="1">
      <c r="A307" t="s" s="22">
        <v>30</v>
      </c>
      <c r="B307" s="36">
        <v>45524</v>
      </c>
      <c r="C307" t="s" s="22">
        <v>19</v>
      </c>
      <c r="D307" s="24">
        <v>8</v>
      </c>
      <c r="E307" s="24">
        <v>2</v>
      </c>
      <c r="F307" s="24">
        <v>4</v>
      </c>
      <c r="G307" s="19">
        <v>45523</v>
      </c>
      <c r="H307" s="26">
        <v>1.01</v>
      </c>
      <c r="I307" s="26">
        <v>0.122</v>
      </c>
      <c r="J307" s="26">
        <v>1.146</v>
      </c>
      <c r="K307" s="20" cm="1">
        <f t="array" ref="K307">J307-H307</f>
        <v>0.136</v>
      </c>
      <c r="L307" s="26">
        <v>0.098</v>
      </c>
      <c r="M307" s="26">
        <v>1.34</v>
      </c>
      <c r="N307" s="26">
        <v>14</v>
      </c>
      <c r="O307" s="20" cm="1">
        <f t="array" ref="O307">K307-I307</f>
        <v>0.014</v>
      </c>
      <c r="P307" s="6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ht="13.65" customHeight="1">
      <c r="A308" t="s" s="9">
        <v>30</v>
      </c>
      <c r="B308" s="34">
        <v>45524</v>
      </c>
      <c r="C308" t="s" s="9">
        <v>20</v>
      </c>
      <c r="D308" s="11">
        <v>4</v>
      </c>
      <c r="E308" s="11">
        <v>1</v>
      </c>
      <c r="F308" s="11">
        <v>1</v>
      </c>
      <c r="G308" s="19">
        <v>45523</v>
      </c>
      <c r="H308" s="13">
        <v>1.01</v>
      </c>
      <c r="I308" s="13">
        <v>0.12</v>
      </c>
      <c r="J308" s="13">
        <v>1.137</v>
      </c>
      <c r="K308" s="20" cm="1">
        <f t="array" ref="K308">J308-H308</f>
        <v>0.127</v>
      </c>
      <c r="L308" s="13">
        <v>0.102</v>
      </c>
      <c r="M308" s="13" cm="1">
        <f t="array" ref="M308">SUM(1.2,0.125)</f>
        <v>1.325</v>
      </c>
      <c r="N308" s="13">
        <v>14</v>
      </c>
      <c r="O308" s="20" cm="1">
        <f t="array" ref="O308">K308-I308</f>
        <v>0.007</v>
      </c>
      <c r="P308" s="15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ht="13.65" customHeight="1">
      <c r="A309" t="s" s="16">
        <v>30</v>
      </c>
      <c r="B309" s="35">
        <v>45524</v>
      </c>
      <c r="C309" t="s" s="16">
        <v>20</v>
      </c>
      <c r="D309" s="18">
        <v>4</v>
      </c>
      <c r="E309" s="18">
        <v>1</v>
      </c>
      <c r="F309" s="18">
        <v>2</v>
      </c>
      <c r="G309" s="19">
        <v>45523</v>
      </c>
      <c r="H309" s="20">
        <v>1.008</v>
      </c>
      <c r="I309" s="20">
        <v>0.12</v>
      </c>
      <c r="J309" s="20">
        <v>1.135</v>
      </c>
      <c r="K309" s="20" cm="1">
        <f t="array" ref="K309">J309-H309</f>
        <v>0.127</v>
      </c>
      <c r="L309" s="20">
        <v>0.104</v>
      </c>
      <c r="M309" s="20">
        <v>1.325</v>
      </c>
      <c r="N309" s="20">
        <v>14</v>
      </c>
      <c r="O309" s="20" cm="1">
        <f t="array" ref="O309">K309-I309</f>
        <v>0.007</v>
      </c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ht="13.65" customHeight="1">
      <c r="A310" t="s" s="16">
        <v>30</v>
      </c>
      <c r="B310" s="35">
        <v>45524</v>
      </c>
      <c r="C310" t="s" s="16">
        <v>20</v>
      </c>
      <c r="D310" s="18">
        <v>4</v>
      </c>
      <c r="E310" s="18">
        <v>1</v>
      </c>
      <c r="F310" s="18">
        <v>3</v>
      </c>
      <c r="G310" s="19">
        <v>45523</v>
      </c>
      <c r="H310" s="20">
        <v>0.998</v>
      </c>
      <c r="I310" s="20">
        <v>0.125</v>
      </c>
      <c r="J310" s="20">
        <v>1.13</v>
      </c>
      <c r="K310" s="20" cm="1">
        <f t="array" ref="K310">J310-H310</f>
        <v>0.132</v>
      </c>
      <c r="L310" s="20">
        <v>0.102</v>
      </c>
      <c r="M310" s="20">
        <v>1.325</v>
      </c>
      <c r="N310" s="20">
        <v>14</v>
      </c>
      <c r="O310" s="20" cm="1">
        <f t="array" ref="O310">K310-I310</f>
        <v>0.007</v>
      </c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ht="13.65" customHeight="1">
      <c r="A311" t="s" s="22">
        <v>30</v>
      </c>
      <c r="B311" s="36">
        <v>45524</v>
      </c>
      <c r="C311" t="s" s="22">
        <v>20</v>
      </c>
      <c r="D311" s="24">
        <v>4</v>
      </c>
      <c r="E311" s="24">
        <v>1</v>
      </c>
      <c r="F311" s="24">
        <v>4</v>
      </c>
      <c r="G311" s="19">
        <v>45523</v>
      </c>
      <c r="H311" s="26">
        <v>1.029</v>
      </c>
      <c r="I311" s="26">
        <v>0.118</v>
      </c>
      <c r="J311" s="26">
        <v>1.153</v>
      </c>
      <c r="K311" s="20" cm="1">
        <f t="array" ref="K311">J311-H311</f>
        <v>0.124</v>
      </c>
      <c r="L311" s="26">
        <v>0.104</v>
      </c>
      <c r="M311" s="26">
        <v>1.325</v>
      </c>
      <c r="N311" s="26">
        <v>14</v>
      </c>
      <c r="O311" s="20" cm="1">
        <f t="array" ref="O311">K311-I311</f>
        <v>0.006</v>
      </c>
      <c r="P311" s="6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ht="13.65" customHeight="1">
      <c r="A312" t="s" s="9">
        <v>30</v>
      </c>
      <c r="B312" s="34">
        <v>45524</v>
      </c>
      <c r="C312" t="s" s="9">
        <v>20</v>
      </c>
      <c r="D312" s="11">
        <v>4</v>
      </c>
      <c r="E312" s="11">
        <v>2</v>
      </c>
      <c r="F312" s="11">
        <v>1</v>
      </c>
      <c r="G312" s="19">
        <v>45523</v>
      </c>
      <c r="H312" s="13">
        <v>1.002</v>
      </c>
      <c r="I312" s="13">
        <v>0.12</v>
      </c>
      <c r="J312" s="13">
        <v>1.129</v>
      </c>
      <c r="K312" s="20" cm="1">
        <f t="array" ref="K312">J312-H312</f>
        <v>0.127</v>
      </c>
      <c r="L312" s="13">
        <v>0.108</v>
      </c>
      <c r="M312" s="13">
        <v>1.29</v>
      </c>
      <c r="N312" s="13">
        <v>14</v>
      </c>
      <c r="O312" s="20" cm="1">
        <f t="array" ref="O312">K312-I312</f>
        <v>0.007</v>
      </c>
      <c r="P312" s="15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ht="13.65" customHeight="1">
      <c r="A313" t="s" s="16">
        <v>30</v>
      </c>
      <c r="B313" s="35">
        <v>45524</v>
      </c>
      <c r="C313" t="s" s="16">
        <v>20</v>
      </c>
      <c r="D313" s="18">
        <v>4</v>
      </c>
      <c r="E313" s="18">
        <v>2</v>
      </c>
      <c r="F313" s="18">
        <v>2</v>
      </c>
      <c r="G313" s="19">
        <v>45523</v>
      </c>
      <c r="H313" s="20">
        <v>1.004</v>
      </c>
      <c r="I313" s="20">
        <v>0.121</v>
      </c>
      <c r="J313" s="20">
        <v>1.13</v>
      </c>
      <c r="K313" s="20" cm="1">
        <f t="array" ref="K313">J313-H313</f>
        <v>0.126</v>
      </c>
      <c r="L313" s="20">
        <v>0.1</v>
      </c>
      <c r="M313" s="20">
        <v>1.29</v>
      </c>
      <c r="N313" s="20">
        <v>14</v>
      </c>
      <c r="O313" s="20" cm="1">
        <f t="array" ref="O313">K313-I313</f>
        <v>0.005</v>
      </c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ht="13.65" customHeight="1">
      <c r="A314" t="s" s="16">
        <v>30</v>
      </c>
      <c r="B314" s="35">
        <v>45524</v>
      </c>
      <c r="C314" t="s" s="16">
        <v>20</v>
      </c>
      <c r="D314" s="18">
        <v>4</v>
      </c>
      <c r="E314" s="18">
        <v>2</v>
      </c>
      <c r="F314" s="18">
        <v>3</v>
      </c>
      <c r="G314" s="19">
        <v>45523</v>
      </c>
      <c r="H314" s="20">
        <v>1.018</v>
      </c>
      <c r="I314" s="20">
        <v>0.124</v>
      </c>
      <c r="J314" s="20">
        <v>1.148</v>
      </c>
      <c r="K314" s="20" cm="1">
        <f t="array" ref="K314">J314-H314</f>
        <v>0.13</v>
      </c>
      <c r="L314" s="20">
        <v>0.1</v>
      </c>
      <c r="M314" s="20">
        <v>1.29</v>
      </c>
      <c r="N314" s="20">
        <v>14</v>
      </c>
      <c r="O314" s="20" cm="1">
        <f t="array" ref="O314">K314-I314</f>
        <v>0.006</v>
      </c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ht="13.65" customHeight="1">
      <c r="A315" t="s" s="22">
        <v>30</v>
      </c>
      <c r="B315" s="36">
        <v>45524</v>
      </c>
      <c r="C315" t="s" s="22">
        <v>20</v>
      </c>
      <c r="D315" s="24">
        <v>4</v>
      </c>
      <c r="E315" s="24">
        <v>2</v>
      </c>
      <c r="F315" s="24">
        <v>4</v>
      </c>
      <c r="G315" s="19">
        <v>45523</v>
      </c>
      <c r="H315" s="26">
        <v>1.029</v>
      </c>
      <c r="I315" s="26">
        <v>0.119</v>
      </c>
      <c r="J315" s="26">
        <v>1.156</v>
      </c>
      <c r="K315" s="20" cm="1">
        <f t="array" ref="K315">J315-H315</f>
        <v>0.127</v>
      </c>
      <c r="L315" s="26">
        <v>0.12</v>
      </c>
      <c r="M315" s="26">
        <v>1.29</v>
      </c>
      <c r="N315" s="26">
        <v>14</v>
      </c>
      <c r="O315" s="20" cm="1">
        <f t="array" ref="O315">K315-I315</f>
        <v>0.008</v>
      </c>
      <c r="P315" s="6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ht="13.65" customHeight="1">
      <c r="A316" t="s" s="9">
        <v>30</v>
      </c>
      <c r="B316" s="34">
        <v>45524</v>
      </c>
      <c r="C316" t="s" s="9">
        <v>20</v>
      </c>
      <c r="D316" s="11">
        <v>8</v>
      </c>
      <c r="E316" s="11">
        <v>1</v>
      </c>
      <c r="F316" s="11">
        <v>1</v>
      </c>
      <c r="G316" s="19">
        <v>45523</v>
      </c>
      <c r="H316" s="13">
        <v>1.01</v>
      </c>
      <c r="I316" s="13">
        <v>0.122</v>
      </c>
      <c r="J316" s="13">
        <v>1.142</v>
      </c>
      <c r="K316" s="20" cm="1">
        <f t="array" ref="K316">J316-H316</f>
        <v>0.132</v>
      </c>
      <c r="L316" s="13">
        <v>0.1</v>
      </c>
      <c r="M316" s="13" cm="1">
        <f t="array" ref="M316">SUM(1.28,0.125)</f>
        <v>1.405</v>
      </c>
      <c r="N316" s="13">
        <v>14</v>
      </c>
      <c r="O316" s="20" cm="1">
        <f t="array" ref="O316">K316-I316</f>
        <v>0.01</v>
      </c>
      <c r="P316" s="15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ht="13.65" customHeight="1">
      <c r="A317" t="s" s="16">
        <v>30</v>
      </c>
      <c r="B317" s="35">
        <v>45524</v>
      </c>
      <c r="C317" t="s" s="16">
        <v>20</v>
      </c>
      <c r="D317" s="18">
        <v>8</v>
      </c>
      <c r="E317" s="18">
        <v>1</v>
      </c>
      <c r="F317" s="18">
        <v>2</v>
      </c>
      <c r="G317" s="19">
        <v>45523</v>
      </c>
      <c r="H317" s="20">
        <v>1.014</v>
      </c>
      <c r="I317" s="20">
        <v>0.119</v>
      </c>
      <c r="J317" s="20">
        <v>1.142</v>
      </c>
      <c r="K317" s="20" cm="1">
        <f t="array" ref="K317">J317-H317</f>
        <v>0.128</v>
      </c>
      <c r="L317" s="20">
        <v>0.106</v>
      </c>
      <c r="M317" s="20">
        <v>1.405</v>
      </c>
      <c r="N317" s="20">
        <v>14</v>
      </c>
      <c r="O317" s="20" cm="1">
        <f t="array" ref="O317">K317-I317</f>
        <v>0.008999999999999999</v>
      </c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ht="13.65" customHeight="1">
      <c r="A318" t="s" s="16">
        <v>30</v>
      </c>
      <c r="B318" s="35">
        <v>45524</v>
      </c>
      <c r="C318" t="s" s="16">
        <v>20</v>
      </c>
      <c r="D318" s="18">
        <v>8</v>
      </c>
      <c r="E318" s="18">
        <v>1</v>
      </c>
      <c r="F318" s="18">
        <v>3</v>
      </c>
      <c r="G318" s="19">
        <v>45523</v>
      </c>
      <c r="H318" s="20">
        <v>0.996</v>
      </c>
      <c r="I318" s="20">
        <v>0.116</v>
      </c>
      <c r="J318" s="20">
        <v>1.123</v>
      </c>
      <c r="K318" s="20" cm="1">
        <f t="array" ref="K318">J318-H318</f>
        <v>0.127</v>
      </c>
      <c r="L318" s="20">
        <v>0.104</v>
      </c>
      <c r="M318" s="20">
        <v>1.405</v>
      </c>
      <c r="N318" s="20">
        <v>14</v>
      </c>
      <c r="O318" s="20" cm="1">
        <f t="array" ref="O318">K318-I318</f>
        <v>0.011</v>
      </c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ht="13.65" customHeight="1">
      <c r="A319" t="s" s="22">
        <v>30</v>
      </c>
      <c r="B319" s="36">
        <v>45524</v>
      </c>
      <c r="C319" t="s" s="22">
        <v>20</v>
      </c>
      <c r="D319" s="24">
        <v>8</v>
      </c>
      <c r="E319" s="24">
        <v>1</v>
      </c>
      <c r="F319" s="24">
        <v>4</v>
      </c>
      <c r="G319" s="19">
        <v>45523</v>
      </c>
      <c r="H319" s="26">
        <v>1.032</v>
      </c>
      <c r="I319" s="26">
        <v>0.119</v>
      </c>
      <c r="J319" s="26">
        <v>1.161</v>
      </c>
      <c r="K319" s="20" cm="1">
        <f t="array" ref="K319">J319-H319</f>
        <v>0.129</v>
      </c>
      <c r="L319" s="26">
        <v>0.1</v>
      </c>
      <c r="M319" s="26">
        <v>1.405</v>
      </c>
      <c r="N319" s="26">
        <v>14</v>
      </c>
      <c r="O319" s="20" cm="1">
        <f t="array" ref="O319">K319-I319</f>
        <v>0.01</v>
      </c>
      <c r="P319" s="6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ht="13.65" customHeight="1">
      <c r="A320" t="s" s="9">
        <v>30</v>
      </c>
      <c r="B320" s="34">
        <v>45524</v>
      </c>
      <c r="C320" t="s" s="9">
        <v>20</v>
      </c>
      <c r="D320" s="11">
        <v>8</v>
      </c>
      <c r="E320" s="11">
        <v>2</v>
      </c>
      <c r="F320" s="11">
        <v>1</v>
      </c>
      <c r="G320" s="19">
        <v>45523</v>
      </c>
      <c r="H320" s="13">
        <v>0.997</v>
      </c>
      <c r="I320" s="13">
        <v>0.12</v>
      </c>
      <c r="J320" s="13">
        <v>1.127</v>
      </c>
      <c r="K320" s="20" cm="1">
        <f t="array" ref="K320">J320-H320</f>
        <v>0.13</v>
      </c>
      <c r="L320" s="13">
        <v>0.1</v>
      </c>
      <c r="M320" s="13">
        <v>1.41</v>
      </c>
      <c r="N320" s="13">
        <v>14</v>
      </c>
      <c r="O320" s="20" cm="1">
        <f t="array" ref="O320">K320-I320</f>
        <v>0.01</v>
      </c>
      <c r="P320" s="15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ht="13.65" customHeight="1">
      <c r="A321" t="s" s="16">
        <v>30</v>
      </c>
      <c r="B321" s="35">
        <v>45524</v>
      </c>
      <c r="C321" t="s" s="16">
        <v>20</v>
      </c>
      <c r="D321" s="18">
        <v>8</v>
      </c>
      <c r="E321" s="18">
        <v>2</v>
      </c>
      <c r="F321" s="18">
        <v>2</v>
      </c>
      <c r="G321" s="19">
        <v>45523</v>
      </c>
      <c r="H321" s="20">
        <v>1.021</v>
      </c>
      <c r="I321" s="20">
        <v>0.12</v>
      </c>
      <c r="J321" s="20">
        <v>1.151</v>
      </c>
      <c r="K321" s="20" cm="1">
        <f t="array" ref="K321">J321-H321</f>
        <v>0.13</v>
      </c>
      <c r="L321" s="20">
        <v>0.098</v>
      </c>
      <c r="M321" s="20">
        <v>1.41</v>
      </c>
      <c r="N321" s="20">
        <v>14</v>
      </c>
      <c r="O321" s="20" cm="1">
        <f t="array" ref="O321">K321-I321</f>
        <v>0.01</v>
      </c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ht="13.65" customHeight="1">
      <c r="A322" t="s" s="16">
        <v>30</v>
      </c>
      <c r="B322" s="35">
        <v>45524</v>
      </c>
      <c r="C322" t="s" s="16">
        <v>20</v>
      </c>
      <c r="D322" s="18">
        <v>8</v>
      </c>
      <c r="E322" s="18">
        <v>2</v>
      </c>
      <c r="F322" s="18">
        <v>3</v>
      </c>
      <c r="G322" s="19">
        <v>45523</v>
      </c>
      <c r="H322" s="20">
        <v>1.004</v>
      </c>
      <c r="I322" s="20">
        <v>0.118</v>
      </c>
      <c r="J322" s="20">
        <v>1.134</v>
      </c>
      <c r="K322" s="20" cm="1">
        <f t="array" ref="K322">J322-H322</f>
        <v>0.13</v>
      </c>
      <c r="L322" s="20">
        <v>0.1</v>
      </c>
      <c r="M322" s="20">
        <v>1.41</v>
      </c>
      <c r="N322" s="20">
        <v>14</v>
      </c>
      <c r="O322" s="20" cm="1">
        <f t="array" ref="O322">K322-I322</f>
        <v>0.012</v>
      </c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ht="13.65" customHeight="1">
      <c r="A323" t="s" s="22">
        <v>30</v>
      </c>
      <c r="B323" s="36">
        <v>45524</v>
      </c>
      <c r="C323" t="s" s="22">
        <v>20</v>
      </c>
      <c r="D323" s="24">
        <v>8</v>
      </c>
      <c r="E323" s="24">
        <v>2</v>
      </c>
      <c r="F323" s="24">
        <v>4</v>
      </c>
      <c r="G323" s="19">
        <v>45523</v>
      </c>
      <c r="H323" s="26">
        <v>1.029</v>
      </c>
      <c r="I323" s="26">
        <v>0.119</v>
      </c>
      <c r="J323" s="26">
        <v>1.158</v>
      </c>
      <c r="K323" s="20" cm="1">
        <f t="array" ref="K323">J323-H323</f>
        <v>0.129</v>
      </c>
      <c r="L323" s="26">
        <v>0.098</v>
      </c>
      <c r="M323" s="26">
        <v>1.41</v>
      </c>
      <c r="N323" s="26">
        <v>14</v>
      </c>
      <c r="O323" s="20" cm="1">
        <f t="array" ref="O323">K323-I323</f>
        <v>0.01</v>
      </c>
      <c r="P323" s="6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ht="13.65" customHeight="1">
      <c r="A324" t="s" s="9">
        <v>31</v>
      </c>
      <c r="B324" t="s" s="39">
        <v>32</v>
      </c>
      <c r="C324" t="s" s="9">
        <v>19</v>
      </c>
      <c r="D324" s="11">
        <v>4</v>
      </c>
      <c r="E324" s="11">
        <v>1</v>
      </c>
      <c r="F324" s="11">
        <v>1</v>
      </c>
      <c r="G324" s="19">
        <v>45537</v>
      </c>
      <c r="H324" s="13">
        <v>1.013</v>
      </c>
      <c r="I324" s="13">
        <v>0.121</v>
      </c>
      <c r="J324" s="13">
        <v>1.143</v>
      </c>
      <c r="K324" s="20" cm="1">
        <f t="array" ref="K324">J324-H324</f>
        <v>0.13</v>
      </c>
      <c r="L324" s="13">
        <v>0.121</v>
      </c>
      <c r="M324" s="13">
        <v>1.235</v>
      </c>
      <c r="N324" s="13">
        <v>14</v>
      </c>
      <c r="O324" s="20" cm="1">
        <f t="array" ref="O324">K324-I324</f>
        <v>0.008999999999999999</v>
      </c>
      <c r="P324" s="15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ht="13.65" customHeight="1">
      <c r="A325" t="s" s="16">
        <v>31</v>
      </c>
      <c r="B325" t="s" s="40">
        <v>32</v>
      </c>
      <c r="C325" t="s" s="16">
        <v>19</v>
      </c>
      <c r="D325" s="18">
        <v>4</v>
      </c>
      <c r="E325" s="18">
        <v>1</v>
      </c>
      <c r="F325" s="18">
        <v>2</v>
      </c>
      <c r="G325" s="19">
        <v>45537</v>
      </c>
      <c r="H325" s="20">
        <v>1.026</v>
      </c>
      <c r="I325" s="20">
        <v>0.12</v>
      </c>
      <c r="J325" s="20">
        <v>1.153</v>
      </c>
      <c r="K325" s="20" cm="1">
        <f t="array" ref="K325">J325-H325</f>
        <v>0.127</v>
      </c>
      <c r="L325" s="20">
        <v>0.115</v>
      </c>
      <c r="M325" s="20">
        <v>1.235</v>
      </c>
      <c r="N325" s="20">
        <v>14</v>
      </c>
      <c r="O325" s="20" cm="1">
        <f t="array" ref="O325">K325-I325</f>
        <v>0.007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ht="13.65" customHeight="1">
      <c r="A326" t="s" s="16">
        <v>31</v>
      </c>
      <c r="B326" t="s" s="40">
        <v>32</v>
      </c>
      <c r="C326" t="s" s="16">
        <v>19</v>
      </c>
      <c r="D326" s="18">
        <v>4</v>
      </c>
      <c r="E326" s="18">
        <v>1</v>
      </c>
      <c r="F326" s="18">
        <v>3</v>
      </c>
      <c r="G326" s="19">
        <v>45537</v>
      </c>
      <c r="H326" s="20">
        <v>1.025</v>
      </c>
      <c r="I326" s="20">
        <v>0.121</v>
      </c>
      <c r="J326" s="20">
        <v>1.154</v>
      </c>
      <c r="K326" s="20" cm="1">
        <f t="array" ref="K326">J326-H326</f>
        <v>0.129</v>
      </c>
      <c r="L326" s="20">
        <v>0.118</v>
      </c>
      <c r="M326" s="20">
        <v>1.235</v>
      </c>
      <c r="N326" s="20">
        <v>14</v>
      </c>
      <c r="O326" s="20" cm="1">
        <f t="array" ref="O326">K326-I326</f>
        <v>0.008</v>
      </c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ht="13.65" customHeight="1">
      <c r="A327" t="s" s="22">
        <v>31</v>
      </c>
      <c r="B327" t="s" s="41">
        <v>32</v>
      </c>
      <c r="C327" t="s" s="22">
        <v>19</v>
      </c>
      <c r="D327" s="24">
        <v>4</v>
      </c>
      <c r="E327" s="24">
        <v>1</v>
      </c>
      <c r="F327" s="24">
        <v>4</v>
      </c>
      <c r="G327" s="25">
        <v>45537</v>
      </c>
      <c r="H327" s="26">
        <v>1.02</v>
      </c>
      <c r="I327" s="26">
        <v>0.121</v>
      </c>
      <c r="J327" s="26">
        <v>1.15</v>
      </c>
      <c r="K327" s="20" cm="1">
        <f t="array" ref="K327">J327-H327</f>
        <v>0.13</v>
      </c>
      <c r="L327" s="26">
        <v>0.114</v>
      </c>
      <c r="M327" s="26">
        <v>1.235</v>
      </c>
      <c r="N327" s="26">
        <v>14</v>
      </c>
      <c r="O327" s="20" cm="1">
        <f t="array" ref="O327">K327-I327</f>
        <v>0.008999999999999999</v>
      </c>
      <c r="P327" s="6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ht="13.65" customHeight="1">
      <c r="A328" t="s" s="9">
        <v>31</v>
      </c>
      <c r="B328" t="s" s="39">
        <v>32</v>
      </c>
      <c r="C328" t="s" s="9">
        <v>19</v>
      </c>
      <c r="D328" s="11">
        <v>4</v>
      </c>
      <c r="E328" s="11">
        <v>2</v>
      </c>
      <c r="F328" s="11">
        <v>1</v>
      </c>
      <c r="G328" s="12">
        <v>45537</v>
      </c>
      <c r="H328" s="13">
        <v>1.025</v>
      </c>
      <c r="I328" s="13">
        <v>0.122</v>
      </c>
      <c r="J328" s="13">
        <v>1.154</v>
      </c>
      <c r="K328" s="20" cm="1">
        <f t="array" ref="K328">J328-H328</f>
        <v>0.129</v>
      </c>
      <c r="L328" s="13">
        <v>0.114</v>
      </c>
      <c r="M328" s="13">
        <v>1.3</v>
      </c>
      <c r="N328" s="13">
        <v>14</v>
      </c>
      <c r="O328" s="20" cm="1">
        <f t="array" ref="O328">K328-I328</f>
        <v>0.007</v>
      </c>
      <c r="P328" s="15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ht="13.65" customHeight="1">
      <c r="A329" t="s" s="16">
        <v>31</v>
      </c>
      <c r="B329" t="s" s="40">
        <v>32</v>
      </c>
      <c r="C329" t="s" s="16">
        <v>19</v>
      </c>
      <c r="D329" s="18">
        <v>4</v>
      </c>
      <c r="E329" s="18">
        <v>2</v>
      </c>
      <c r="F329" s="18">
        <v>2</v>
      </c>
      <c r="G329" s="19">
        <v>45537</v>
      </c>
      <c r="H329" s="20">
        <v>1.005</v>
      </c>
      <c r="I329" s="20">
        <v>0.119</v>
      </c>
      <c r="J329" s="20">
        <v>1.133</v>
      </c>
      <c r="K329" s="20" cm="1">
        <f t="array" ref="K329">J329-H329</f>
        <v>0.128</v>
      </c>
      <c r="L329" s="20">
        <v>0.115</v>
      </c>
      <c r="M329" s="20">
        <v>1.3</v>
      </c>
      <c r="N329" s="20">
        <v>14</v>
      </c>
      <c r="O329" s="20" cm="1">
        <f t="array" ref="O329">K329-I329</f>
        <v>0.008999999999999999</v>
      </c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ht="13.65" customHeight="1">
      <c r="A330" t="s" s="16">
        <v>31</v>
      </c>
      <c r="B330" t="s" s="40">
        <v>32</v>
      </c>
      <c r="C330" t="s" s="16">
        <v>19</v>
      </c>
      <c r="D330" s="18">
        <v>4</v>
      </c>
      <c r="E330" s="18">
        <v>2</v>
      </c>
      <c r="F330" s="18">
        <v>3</v>
      </c>
      <c r="G330" s="19">
        <v>45537</v>
      </c>
      <c r="H330" s="20">
        <v>0.983</v>
      </c>
      <c r="I330" s="20">
        <v>0.12</v>
      </c>
      <c r="J330" s="20">
        <v>1.111</v>
      </c>
      <c r="K330" s="20" cm="1">
        <f t="array" ref="K330">J330-H330</f>
        <v>0.128</v>
      </c>
      <c r="L330" s="20">
        <v>0.113</v>
      </c>
      <c r="M330" s="20">
        <v>1.3</v>
      </c>
      <c r="N330" s="20">
        <v>14</v>
      </c>
      <c r="O330" s="20" cm="1">
        <f t="array" ref="O330">K330-I330</f>
        <v>0.008</v>
      </c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ht="13.65" customHeight="1">
      <c r="A331" t="s" s="22">
        <v>31</v>
      </c>
      <c r="B331" t="s" s="41">
        <v>32</v>
      </c>
      <c r="C331" t="s" s="22">
        <v>19</v>
      </c>
      <c r="D331" s="24">
        <v>4</v>
      </c>
      <c r="E331" s="24">
        <v>2</v>
      </c>
      <c r="F331" s="24">
        <v>4</v>
      </c>
      <c r="G331" s="25">
        <v>45537</v>
      </c>
      <c r="H331" s="26">
        <v>0.999</v>
      </c>
      <c r="I331" s="26">
        <v>0.122</v>
      </c>
      <c r="J331" s="26">
        <v>1.13</v>
      </c>
      <c r="K331" s="20" cm="1">
        <f t="array" ref="K331">J331-H331</f>
        <v>0.131</v>
      </c>
      <c r="L331" s="26">
        <v>0.114</v>
      </c>
      <c r="M331" s="26">
        <v>1.3</v>
      </c>
      <c r="N331" s="26">
        <v>14</v>
      </c>
      <c r="O331" s="20" cm="1">
        <f t="array" ref="O331">K331-I331</f>
        <v>0.008999999999999999</v>
      </c>
      <c r="P331" s="6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ht="13.65" customHeight="1">
      <c r="A332" t="s" s="9">
        <v>31</v>
      </c>
      <c r="B332" t="s" s="39">
        <v>32</v>
      </c>
      <c r="C332" t="s" s="9">
        <v>19</v>
      </c>
      <c r="D332" s="11">
        <v>8</v>
      </c>
      <c r="E332" s="11">
        <v>1</v>
      </c>
      <c r="F332" s="11">
        <v>1</v>
      </c>
      <c r="G332" s="12">
        <v>45537</v>
      </c>
      <c r="H332" s="13">
        <v>0.994</v>
      </c>
      <c r="I332" s="13">
        <v>0.12</v>
      </c>
      <c r="J332" s="13">
        <v>1.129</v>
      </c>
      <c r="K332" s="20" cm="1">
        <f t="array" ref="K332">J332-H332</f>
        <v>0.135</v>
      </c>
      <c r="L332" s="13">
        <v>0.099</v>
      </c>
      <c r="M332" s="13">
        <v>1.345</v>
      </c>
      <c r="N332" s="13">
        <v>14</v>
      </c>
      <c r="O332" s="20" cm="1">
        <f t="array" ref="O332">K332-I332</f>
        <v>0.015</v>
      </c>
      <c r="P332" s="15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ht="13.65" customHeight="1">
      <c r="A333" t="s" s="16">
        <v>31</v>
      </c>
      <c r="B333" t="s" s="40">
        <v>32</v>
      </c>
      <c r="C333" t="s" s="16">
        <v>19</v>
      </c>
      <c r="D333" s="18">
        <v>8</v>
      </c>
      <c r="E333" s="18">
        <v>1</v>
      </c>
      <c r="F333" s="18">
        <v>2</v>
      </c>
      <c r="G333" s="19">
        <v>45537</v>
      </c>
      <c r="H333" s="20">
        <v>1.023</v>
      </c>
      <c r="I333" s="20">
        <v>0.122</v>
      </c>
      <c r="J333" s="20">
        <v>1.16</v>
      </c>
      <c r="K333" s="20" cm="1">
        <f t="array" ref="K333">J333-H333</f>
        <v>0.137</v>
      </c>
      <c r="L333" s="20">
        <v>0.098</v>
      </c>
      <c r="M333" s="20">
        <v>1.345</v>
      </c>
      <c r="N333" s="20">
        <v>14</v>
      </c>
      <c r="O333" s="20" cm="1">
        <f t="array" ref="O333">K333-I333</f>
        <v>0.015</v>
      </c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ht="13.65" customHeight="1">
      <c r="A334" t="s" s="16">
        <v>31</v>
      </c>
      <c r="B334" t="s" s="40">
        <v>32</v>
      </c>
      <c r="C334" t="s" s="16">
        <v>19</v>
      </c>
      <c r="D334" s="18">
        <v>8</v>
      </c>
      <c r="E334" s="18">
        <v>1</v>
      </c>
      <c r="F334" s="18">
        <v>3</v>
      </c>
      <c r="G334" s="19">
        <v>45537</v>
      </c>
      <c r="H334" s="20">
        <v>1.021</v>
      </c>
      <c r="I334" s="20">
        <v>0.12</v>
      </c>
      <c r="J334" s="20">
        <v>1.155</v>
      </c>
      <c r="K334" s="20" cm="1">
        <f t="array" ref="K334">J334-H334</f>
        <v>0.134</v>
      </c>
      <c r="L334" s="20">
        <v>0.1</v>
      </c>
      <c r="M334" s="20">
        <v>1.345</v>
      </c>
      <c r="N334" s="20">
        <v>14</v>
      </c>
      <c r="O334" s="20" cm="1">
        <f t="array" ref="O334">K334-I334</f>
        <v>0.014</v>
      </c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ht="13.65" customHeight="1">
      <c r="A335" t="s" s="22">
        <v>31</v>
      </c>
      <c r="B335" t="s" s="41">
        <v>32</v>
      </c>
      <c r="C335" t="s" s="22">
        <v>19</v>
      </c>
      <c r="D335" s="24">
        <v>8</v>
      </c>
      <c r="E335" s="24">
        <v>1</v>
      </c>
      <c r="F335" s="24">
        <v>4</v>
      </c>
      <c r="G335" s="25">
        <v>45537</v>
      </c>
      <c r="H335" s="26">
        <v>1.01</v>
      </c>
      <c r="I335" s="26">
        <v>0.119</v>
      </c>
      <c r="J335" s="26">
        <v>1.145</v>
      </c>
      <c r="K335" s="20" cm="1">
        <f t="array" ref="K335">J335-H335</f>
        <v>0.135</v>
      </c>
      <c r="L335" s="26">
        <v>0.1</v>
      </c>
      <c r="M335" s="26">
        <v>1.345</v>
      </c>
      <c r="N335" s="26">
        <v>14</v>
      </c>
      <c r="O335" s="20" cm="1">
        <f t="array" ref="O335">K335-I335</f>
        <v>0.016</v>
      </c>
      <c r="P335" s="6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ht="13.65" customHeight="1">
      <c r="A336" t="s" s="9">
        <v>31</v>
      </c>
      <c r="B336" t="s" s="39">
        <v>32</v>
      </c>
      <c r="C336" t="s" s="9">
        <v>19</v>
      </c>
      <c r="D336" s="11">
        <v>8</v>
      </c>
      <c r="E336" s="11">
        <v>2</v>
      </c>
      <c r="F336" s="11">
        <v>1</v>
      </c>
      <c r="G336" s="12">
        <v>45537</v>
      </c>
      <c r="H336" s="13">
        <v>0.996</v>
      </c>
      <c r="I336" s="13">
        <v>0.122</v>
      </c>
      <c r="J336" s="13">
        <v>1.132</v>
      </c>
      <c r="K336" s="20" cm="1">
        <f t="array" ref="K336">J336-H336</f>
        <v>0.136</v>
      </c>
      <c r="L336" s="13">
        <v>0.099</v>
      </c>
      <c r="M336" s="13">
        <v>1.38</v>
      </c>
      <c r="N336" s="13">
        <v>14</v>
      </c>
      <c r="O336" s="20" cm="1">
        <f t="array" ref="O336">K336-I336</f>
        <v>0.014</v>
      </c>
      <c r="P336" s="15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ht="13.65" customHeight="1">
      <c r="A337" t="s" s="16">
        <v>31</v>
      </c>
      <c r="B337" t="s" s="40">
        <v>32</v>
      </c>
      <c r="C337" t="s" s="16">
        <v>19</v>
      </c>
      <c r="D337" s="18">
        <v>8</v>
      </c>
      <c r="E337" s="18">
        <v>2</v>
      </c>
      <c r="F337" s="18">
        <v>2</v>
      </c>
      <c r="G337" s="19">
        <v>45537</v>
      </c>
      <c r="H337" s="20">
        <v>1.028</v>
      </c>
      <c r="I337" s="20">
        <v>0.12</v>
      </c>
      <c r="J337" s="20">
        <v>1.164</v>
      </c>
      <c r="K337" s="20" cm="1">
        <f t="array" ref="K337">J337-H337</f>
        <v>0.136</v>
      </c>
      <c r="L337" s="20">
        <v>0.101</v>
      </c>
      <c r="M337" s="20">
        <v>1.38</v>
      </c>
      <c r="N337" s="20">
        <v>14</v>
      </c>
      <c r="O337" s="20" cm="1">
        <f t="array" ref="O337">K337-I337</f>
        <v>0.016</v>
      </c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ht="13.65" customHeight="1">
      <c r="A338" t="s" s="16">
        <v>31</v>
      </c>
      <c r="B338" t="s" s="40">
        <v>32</v>
      </c>
      <c r="C338" t="s" s="16">
        <v>19</v>
      </c>
      <c r="D338" s="18">
        <v>8</v>
      </c>
      <c r="E338" s="18">
        <v>2</v>
      </c>
      <c r="F338" s="18">
        <v>3</v>
      </c>
      <c r="G338" s="19">
        <v>45537</v>
      </c>
      <c r="H338" s="20">
        <v>1.021</v>
      </c>
      <c r="I338" s="20">
        <v>0.119</v>
      </c>
      <c r="J338" s="20">
        <v>1.156</v>
      </c>
      <c r="K338" s="20" cm="1">
        <f t="array" ref="K338">J338-H338</f>
        <v>0.135</v>
      </c>
      <c r="L338" s="20">
        <v>0.099</v>
      </c>
      <c r="M338" s="20">
        <v>1.38</v>
      </c>
      <c r="N338" s="20">
        <v>14</v>
      </c>
      <c r="O338" s="20" cm="1">
        <f t="array" ref="O338">K338-I338</f>
        <v>0.016</v>
      </c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ht="13.65" customHeight="1">
      <c r="A339" t="s" s="22">
        <v>31</v>
      </c>
      <c r="B339" t="s" s="41">
        <v>32</v>
      </c>
      <c r="C339" t="s" s="22">
        <v>19</v>
      </c>
      <c r="D339" s="24">
        <v>8</v>
      </c>
      <c r="E339" s="24">
        <v>2</v>
      </c>
      <c r="F339" s="24">
        <v>4</v>
      </c>
      <c r="G339" s="25">
        <v>45537</v>
      </c>
      <c r="H339" s="26">
        <v>1.026</v>
      </c>
      <c r="I339" s="26">
        <v>0.12</v>
      </c>
      <c r="J339" s="26">
        <v>1.162</v>
      </c>
      <c r="K339" s="20" cm="1">
        <f t="array" ref="K339">J339-H339</f>
        <v>0.136</v>
      </c>
      <c r="L339" s="26">
        <v>0.1</v>
      </c>
      <c r="M339" s="20">
        <v>1.38</v>
      </c>
      <c r="N339" s="26">
        <v>14</v>
      </c>
      <c r="O339" s="20" cm="1">
        <f t="array" ref="O339">K339-I339</f>
        <v>0.016</v>
      </c>
      <c r="P339" s="6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ht="13.65" customHeight="1">
      <c r="A340" t="s" s="9">
        <v>31</v>
      </c>
      <c r="B340" t="s" s="39">
        <v>32</v>
      </c>
      <c r="C340" t="s" s="9">
        <v>20</v>
      </c>
      <c r="D340" s="11">
        <v>4</v>
      </c>
      <c r="E340" s="11">
        <v>1</v>
      </c>
      <c r="F340" s="11">
        <v>1</v>
      </c>
      <c r="G340" s="12">
        <v>45537</v>
      </c>
      <c r="H340" s="13">
        <v>1.001</v>
      </c>
      <c r="I340" s="13">
        <v>0.118</v>
      </c>
      <c r="J340" s="13">
        <v>1.123</v>
      </c>
      <c r="K340" s="20" cm="1">
        <f t="array" ref="K340">J340-H340</f>
        <v>0.122</v>
      </c>
      <c r="L340" s="13">
        <v>0.105</v>
      </c>
      <c r="M340" s="20">
        <v>1.357</v>
      </c>
      <c r="N340" s="13">
        <v>14</v>
      </c>
      <c r="O340" s="20" cm="1">
        <f t="array" ref="O340">K340-I340</f>
        <v>0.004</v>
      </c>
      <c r="P340" s="15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ht="13.65" customHeight="1">
      <c r="A341" t="s" s="16">
        <v>31</v>
      </c>
      <c r="B341" t="s" s="40">
        <v>32</v>
      </c>
      <c r="C341" t="s" s="16">
        <v>20</v>
      </c>
      <c r="D341" s="18">
        <v>4</v>
      </c>
      <c r="E341" s="18">
        <v>1</v>
      </c>
      <c r="F341" s="18">
        <v>2</v>
      </c>
      <c r="G341" s="19">
        <v>45537</v>
      </c>
      <c r="H341" s="20">
        <v>1.032</v>
      </c>
      <c r="I341" s="20">
        <v>0.121</v>
      </c>
      <c r="J341" s="20">
        <v>1.157</v>
      </c>
      <c r="K341" s="20" cm="1">
        <f t="array" ref="K341">J341-H341</f>
        <v>0.125</v>
      </c>
      <c r="L341" s="20">
        <v>0.102</v>
      </c>
      <c r="M341" s="20">
        <v>1.357</v>
      </c>
      <c r="N341" s="20">
        <v>14</v>
      </c>
      <c r="O341" s="20" cm="1">
        <f t="array" ref="O341">K341-I341</f>
        <v>0.004</v>
      </c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ht="13.65" customHeight="1">
      <c r="A342" t="s" s="16">
        <v>31</v>
      </c>
      <c r="B342" t="s" s="40">
        <v>32</v>
      </c>
      <c r="C342" t="s" s="16">
        <v>20</v>
      </c>
      <c r="D342" s="18">
        <v>4</v>
      </c>
      <c r="E342" s="18">
        <v>1</v>
      </c>
      <c r="F342" s="18">
        <v>3</v>
      </c>
      <c r="G342" s="19">
        <v>45537</v>
      </c>
      <c r="H342" s="20">
        <v>1.025</v>
      </c>
      <c r="I342" s="20">
        <v>0.12</v>
      </c>
      <c r="J342" s="20">
        <v>1.151</v>
      </c>
      <c r="K342" s="20" cm="1">
        <f t="array" ref="K342">J342-H342</f>
        <v>0.126</v>
      </c>
      <c r="L342" s="20">
        <v>0.1</v>
      </c>
      <c r="M342" s="20">
        <v>1.357</v>
      </c>
      <c r="N342" s="20">
        <v>14</v>
      </c>
      <c r="O342" s="20" cm="1">
        <f t="array" ref="O342">K342-I342</f>
        <v>0.006</v>
      </c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ht="13.65" customHeight="1">
      <c r="A343" t="s" s="22">
        <v>31</v>
      </c>
      <c r="B343" t="s" s="41">
        <v>32</v>
      </c>
      <c r="C343" t="s" s="22">
        <v>20</v>
      </c>
      <c r="D343" s="24">
        <v>4</v>
      </c>
      <c r="E343" s="24">
        <v>1</v>
      </c>
      <c r="F343" s="24">
        <v>4</v>
      </c>
      <c r="G343" s="25">
        <v>45537</v>
      </c>
      <c r="H343" s="26">
        <v>1.009</v>
      </c>
      <c r="I343" s="26">
        <v>0.118</v>
      </c>
      <c r="J343" s="26">
        <v>1.132</v>
      </c>
      <c r="K343" s="20" cm="1">
        <f t="array" ref="K343">J343-H343</f>
        <v>0.123</v>
      </c>
      <c r="L343" s="20">
        <v>0.1</v>
      </c>
      <c r="M343" s="20">
        <v>1.357</v>
      </c>
      <c r="N343" s="26">
        <v>14</v>
      </c>
      <c r="O343" s="20" cm="1">
        <f t="array" ref="O343">K343-I343</f>
        <v>0.005</v>
      </c>
      <c r="P343" s="6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ht="13.65" customHeight="1">
      <c r="A344" t="s" s="9">
        <v>31</v>
      </c>
      <c r="B344" t="s" s="39">
        <v>32</v>
      </c>
      <c r="C344" t="s" s="9">
        <v>20</v>
      </c>
      <c r="D344" s="11">
        <v>4</v>
      </c>
      <c r="E344" s="11">
        <v>2</v>
      </c>
      <c r="F344" s="11">
        <v>1</v>
      </c>
      <c r="G344" s="12">
        <v>45537</v>
      </c>
      <c r="H344" s="13">
        <v>1.021</v>
      </c>
      <c r="I344" s="13">
        <v>0.118</v>
      </c>
      <c r="J344" s="13">
        <v>1.143</v>
      </c>
      <c r="K344" s="20" cm="1">
        <f t="array" ref="K344">J344-H344</f>
        <v>0.122</v>
      </c>
      <c r="L344" s="20">
        <v>0.104</v>
      </c>
      <c r="M344" s="20">
        <v>1.34</v>
      </c>
      <c r="N344" s="13">
        <v>14</v>
      </c>
      <c r="O344" s="20" cm="1">
        <f t="array" ref="O344">K344-I344</f>
        <v>0.004</v>
      </c>
      <c r="P344" s="15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ht="13.65" customHeight="1">
      <c r="A345" t="s" s="16">
        <v>31</v>
      </c>
      <c r="B345" t="s" s="40">
        <v>32</v>
      </c>
      <c r="C345" t="s" s="16">
        <v>20</v>
      </c>
      <c r="D345" s="18">
        <v>4</v>
      </c>
      <c r="E345" s="18">
        <v>2</v>
      </c>
      <c r="F345" s="18">
        <v>2</v>
      </c>
      <c r="G345" s="19">
        <v>45537</v>
      </c>
      <c r="H345" s="20">
        <v>1.012</v>
      </c>
      <c r="I345" s="20">
        <v>0.12</v>
      </c>
      <c r="J345" s="20">
        <v>1.138</v>
      </c>
      <c r="K345" s="20" cm="1">
        <f t="array" ref="K345">J345-H345</f>
        <v>0.126</v>
      </c>
      <c r="L345" s="20">
        <v>0.098</v>
      </c>
      <c r="M345" s="20">
        <v>1.34</v>
      </c>
      <c r="N345" s="20">
        <v>14</v>
      </c>
      <c r="O345" s="20" cm="1">
        <f t="array" ref="O345">K345-I345</f>
        <v>0.006</v>
      </c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ht="13.65" customHeight="1">
      <c r="A346" t="s" s="16">
        <v>31</v>
      </c>
      <c r="B346" t="s" s="40">
        <v>32</v>
      </c>
      <c r="C346" t="s" s="16">
        <v>20</v>
      </c>
      <c r="D346" s="18">
        <v>4</v>
      </c>
      <c r="E346" s="18">
        <v>2</v>
      </c>
      <c r="F346" s="18">
        <v>3</v>
      </c>
      <c r="G346" s="19">
        <v>45537</v>
      </c>
      <c r="H346" s="20">
        <v>1.01</v>
      </c>
      <c r="I346" s="20">
        <v>0.124</v>
      </c>
      <c r="J346" s="20">
        <v>1.139</v>
      </c>
      <c r="K346" s="20" cm="1">
        <f t="array" ref="K346">J346-H346</f>
        <v>0.129</v>
      </c>
      <c r="L346" s="20">
        <v>0.1</v>
      </c>
      <c r="M346" s="20">
        <v>1.34</v>
      </c>
      <c r="N346" s="20">
        <v>14</v>
      </c>
      <c r="O346" s="20" cm="1">
        <f t="array" ref="O346">K346-I346</f>
        <v>0.005</v>
      </c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ht="13.65" customHeight="1">
      <c r="A347" t="s" s="22">
        <v>31</v>
      </c>
      <c r="B347" t="s" s="41">
        <v>32</v>
      </c>
      <c r="C347" t="s" s="22">
        <v>20</v>
      </c>
      <c r="D347" s="24">
        <v>4</v>
      </c>
      <c r="E347" s="24">
        <v>2</v>
      </c>
      <c r="F347" s="24">
        <v>4</v>
      </c>
      <c r="G347" s="25">
        <v>45537</v>
      </c>
      <c r="H347" s="26">
        <v>1.014</v>
      </c>
      <c r="I347" s="26">
        <v>0.121</v>
      </c>
      <c r="J347" s="26">
        <v>1.14</v>
      </c>
      <c r="K347" s="20" cm="1">
        <f t="array" ref="K347">J347-H347</f>
        <v>0.126</v>
      </c>
      <c r="L347" s="26">
        <v>0.098</v>
      </c>
      <c r="M347" s="20">
        <v>1.34</v>
      </c>
      <c r="N347" s="26">
        <v>14</v>
      </c>
      <c r="O347" s="20" cm="1">
        <f t="array" ref="O347">K347-I347</f>
        <v>0.005</v>
      </c>
      <c r="P347" s="6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ht="13.65" customHeight="1">
      <c r="A348" t="s" s="9">
        <v>31</v>
      </c>
      <c r="B348" t="s" s="39">
        <v>32</v>
      </c>
      <c r="C348" t="s" s="9">
        <v>20</v>
      </c>
      <c r="D348" s="11">
        <v>8</v>
      </c>
      <c r="E348" s="11">
        <v>1</v>
      </c>
      <c r="F348" s="11">
        <v>1</v>
      </c>
      <c r="G348" s="12">
        <v>45537</v>
      </c>
      <c r="H348" s="13">
        <v>1.018</v>
      </c>
      <c r="I348" s="13">
        <v>0.121</v>
      </c>
      <c r="J348" s="13">
        <v>1.15</v>
      </c>
      <c r="K348" s="20" cm="1">
        <f t="array" ref="K348">J348-H348</f>
        <v>0.132</v>
      </c>
      <c r="L348" s="13">
        <v>0.098</v>
      </c>
      <c r="M348" s="20">
        <v>1.227</v>
      </c>
      <c r="N348" s="13">
        <v>14</v>
      </c>
      <c r="O348" s="20" cm="1">
        <f t="array" ref="O348">K348-I348</f>
        <v>0.011</v>
      </c>
      <c r="P348" s="15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ht="13.65" customHeight="1">
      <c r="A349" t="s" s="16">
        <v>31</v>
      </c>
      <c r="B349" t="s" s="40">
        <v>32</v>
      </c>
      <c r="C349" t="s" s="16">
        <v>20</v>
      </c>
      <c r="D349" s="18">
        <v>8</v>
      </c>
      <c r="E349" s="18">
        <v>1</v>
      </c>
      <c r="F349" s="18">
        <v>2</v>
      </c>
      <c r="G349" s="19">
        <v>45537</v>
      </c>
      <c r="H349" s="20">
        <v>1.006</v>
      </c>
      <c r="I349" s="20">
        <v>0.121</v>
      </c>
      <c r="J349" s="20">
        <v>1.138</v>
      </c>
      <c r="K349" s="20" cm="1">
        <f t="array" ref="K349">J349-H349</f>
        <v>0.132</v>
      </c>
      <c r="L349" s="20">
        <v>0.102</v>
      </c>
      <c r="M349" s="20">
        <v>1.227</v>
      </c>
      <c r="N349" s="20">
        <v>14</v>
      </c>
      <c r="O349" s="20" cm="1">
        <f t="array" ref="O349">K349-I349</f>
        <v>0.011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ht="13.65" customHeight="1">
      <c r="A350" t="s" s="16">
        <v>31</v>
      </c>
      <c r="B350" t="s" s="40">
        <v>32</v>
      </c>
      <c r="C350" t="s" s="16">
        <v>20</v>
      </c>
      <c r="D350" s="18">
        <v>8</v>
      </c>
      <c r="E350" s="18">
        <v>1</v>
      </c>
      <c r="F350" s="18">
        <v>3</v>
      </c>
      <c r="G350" s="19">
        <v>45537</v>
      </c>
      <c r="H350" s="20">
        <v>1.033</v>
      </c>
      <c r="I350" s="20">
        <v>0.12</v>
      </c>
      <c r="J350" s="20">
        <v>1.162</v>
      </c>
      <c r="K350" s="20" cm="1">
        <f t="array" ref="K350">J350-H350</f>
        <v>0.129</v>
      </c>
      <c r="L350" s="20">
        <v>0.098</v>
      </c>
      <c r="M350" s="20">
        <v>1.227</v>
      </c>
      <c r="N350" s="20">
        <v>14</v>
      </c>
      <c r="O350" s="20" cm="1">
        <f t="array" ref="O350">K350-I350</f>
        <v>0.008999999999999999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ht="13.65" customHeight="1">
      <c r="A351" t="s" s="22">
        <v>31</v>
      </c>
      <c r="B351" t="s" s="41">
        <v>32</v>
      </c>
      <c r="C351" t="s" s="22">
        <v>20</v>
      </c>
      <c r="D351" s="24">
        <v>8</v>
      </c>
      <c r="E351" s="24">
        <v>1</v>
      </c>
      <c r="F351" s="24">
        <v>4</v>
      </c>
      <c r="G351" s="25">
        <v>45537</v>
      </c>
      <c r="H351" s="26">
        <v>1.018</v>
      </c>
      <c r="I351" s="26">
        <v>0.12</v>
      </c>
      <c r="J351" s="26">
        <v>1.148</v>
      </c>
      <c r="K351" s="20" cm="1">
        <f t="array" ref="K351">J351-H351</f>
        <v>0.13</v>
      </c>
      <c r="L351" s="20">
        <v>0.103</v>
      </c>
      <c r="M351" s="20">
        <v>1.227</v>
      </c>
      <c r="N351" s="26">
        <v>14</v>
      </c>
      <c r="O351" s="20" cm="1">
        <f t="array" ref="O351">K351-I351</f>
        <v>0.01</v>
      </c>
      <c r="P351" s="6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ht="13.65" customHeight="1">
      <c r="A352" t="s" s="9">
        <v>31</v>
      </c>
      <c r="B352" t="s" s="39">
        <v>32</v>
      </c>
      <c r="C352" t="s" s="9">
        <v>20</v>
      </c>
      <c r="D352" s="11">
        <v>8</v>
      </c>
      <c r="E352" s="11">
        <v>2</v>
      </c>
      <c r="F352" s="11">
        <v>1</v>
      </c>
      <c r="G352" s="12">
        <v>45537</v>
      </c>
      <c r="H352" s="13">
        <v>1.012</v>
      </c>
      <c r="I352" s="13">
        <v>0.119</v>
      </c>
      <c r="J352" s="13">
        <v>1.142</v>
      </c>
      <c r="K352" s="20" cm="1">
        <f t="array" ref="K352">J352-H352</f>
        <v>0.13</v>
      </c>
      <c r="L352" s="20">
        <v>0.102</v>
      </c>
      <c r="M352" s="20">
        <v>1.351</v>
      </c>
      <c r="N352" s="13">
        <v>14</v>
      </c>
      <c r="O352" s="20" cm="1">
        <f t="array" ref="O352">K352-I352</f>
        <v>0.011</v>
      </c>
      <c r="P352" s="15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ht="13.65" customHeight="1">
      <c r="A353" t="s" s="16">
        <v>31</v>
      </c>
      <c r="B353" t="s" s="40">
        <v>32</v>
      </c>
      <c r="C353" t="s" s="16">
        <v>20</v>
      </c>
      <c r="D353" s="18">
        <v>8</v>
      </c>
      <c r="E353" s="18">
        <v>2</v>
      </c>
      <c r="F353" s="18">
        <v>2</v>
      </c>
      <c r="G353" s="19">
        <v>45537</v>
      </c>
      <c r="H353" s="20">
        <v>1.006</v>
      </c>
      <c r="I353" s="20">
        <v>0.121</v>
      </c>
      <c r="J353" s="20">
        <v>1.138</v>
      </c>
      <c r="K353" s="20" cm="1">
        <f t="array" ref="K353">J353-H353</f>
        <v>0.132</v>
      </c>
      <c r="L353" s="20">
        <v>0.103</v>
      </c>
      <c r="M353" s="20">
        <v>1.351</v>
      </c>
      <c r="N353" s="20">
        <v>14</v>
      </c>
      <c r="O353" s="20" cm="1">
        <f t="array" ref="O353">K353-I353</f>
        <v>0.011</v>
      </c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ht="13.65" customHeight="1">
      <c r="A354" t="s" s="16">
        <v>31</v>
      </c>
      <c r="B354" t="s" s="40">
        <v>32</v>
      </c>
      <c r="C354" t="s" s="16">
        <v>20</v>
      </c>
      <c r="D354" s="18">
        <v>8</v>
      </c>
      <c r="E354" s="18">
        <v>2</v>
      </c>
      <c r="F354" s="18">
        <v>3</v>
      </c>
      <c r="G354" s="19">
        <v>45537</v>
      </c>
      <c r="H354" s="20">
        <v>1.032</v>
      </c>
      <c r="I354" s="20">
        <v>0.12</v>
      </c>
      <c r="J354" s="20">
        <v>1.163</v>
      </c>
      <c r="K354" s="20" cm="1">
        <f t="array" ref="K354">J354-H354</f>
        <v>0.131</v>
      </c>
      <c r="L354" s="20">
        <v>0.1</v>
      </c>
      <c r="M354" s="20">
        <v>1.351</v>
      </c>
      <c r="N354" s="20">
        <v>14</v>
      </c>
      <c r="O354" s="20" cm="1">
        <f t="array" ref="O354">K354-I354</f>
        <v>0.011</v>
      </c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ht="13.65" customHeight="1">
      <c r="A355" t="s" s="22">
        <v>31</v>
      </c>
      <c r="B355" t="s" s="41">
        <v>32</v>
      </c>
      <c r="C355" t="s" s="22">
        <v>20</v>
      </c>
      <c r="D355" s="24">
        <v>8</v>
      </c>
      <c r="E355" s="24">
        <v>2</v>
      </c>
      <c r="F355" s="24">
        <v>4</v>
      </c>
      <c r="G355" s="25">
        <v>45537</v>
      </c>
      <c r="H355" s="26">
        <v>1.038</v>
      </c>
      <c r="I355" s="26">
        <v>0.121</v>
      </c>
      <c r="J355" s="26">
        <v>1.171</v>
      </c>
      <c r="K355" s="20" cm="1">
        <f t="array" ref="K355">J355-H355</f>
        <v>0.133</v>
      </c>
      <c r="L355" s="26">
        <v>0.102</v>
      </c>
      <c r="M355" s="20">
        <v>1.351</v>
      </c>
      <c r="N355" s="26">
        <v>14</v>
      </c>
      <c r="O355" s="20" cm="1">
        <f t="array" ref="O355">K355-I355</f>
        <v>0.012</v>
      </c>
      <c r="P355" s="6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ht="13.65" customHeight="1">
      <c r="A356" t="s" s="9">
        <v>33</v>
      </c>
      <c r="B356" s="10">
        <v>45554</v>
      </c>
      <c r="C356" t="s" s="9">
        <v>19</v>
      </c>
      <c r="D356" s="11">
        <v>4</v>
      </c>
      <c r="E356" s="11">
        <v>1</v>
      </c>
      <c r="F356" s="11">
        <v>1</v>
      </c>
      <c r="G356" s="12">
        <v>45552</v>
      </c>
      <c r="H356" s="13">
        <v>1.03</v>
      </c>
      <c r="I356" s="13">
        <v>0.121</v>
      </c>
      <c r="J356" s="13">
        <v>1.161</v>
      </c>
      <c r="K356" s="20" cm="1">
        <f t="array" ref="K356">J356-H356</f>
        <v>0.131</v>
      </c>
      <c r="L356" s="13">
        <v>0.12</v>
      </c>
      <c r="M356" s="20">
        <v>1.125</v>
      </c>
      <c r="N356" s="11">
        <v>15</v>
      </c>
      <c r="O356" s="20" cm="1">
        <f t="array" ref="O356">K356-I356</f>
        <v>0.01</v>
      </c>
      <c r="P356" s="15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ht="13.65" customHeight="1">
      <c r="A357" t="s" s="16">
        <v>33</v>
      </c>
      <c r="B357" s="17">
        <v>45554</v>
      </c>
      <c r="C357" t="s" s="16">
        <v>19</v>
      </c>
      <c r="D357" s="18">
        <v>4</v>
      </c>
      <c r="E357" s="18">
        <v>1</v>
      </c>
      <c r="F357" s="18">
        <v>2</v>
      </c>
      <c r="G357" s="19">
        <v>45552</v>
      </c>
      <c r="H357" s="20">
        <v>1</v>
      </c>
      <c r="I357" s="20">
        <v>0.12</v>
      </c>
      <c r="J357" s="20">
        <v>1.129</v>
      </c>
      <c r="K357" s="20" cm="1">
        <f t="array" ref="K357">J357-H357</f>
        <v>0.129</v>
      </c>
      <c r="L357" s="20">
        <v>0.118</v>
      </c>
      <c r="M357" s="20">
        <v>1.125</v>
      </c>
      <c r="N357" s="18">
        <v>15</v>
      </c>
      <c r="O357" s="20" cm="1">
        <f t="array" ref="O357">K357-I357</f>
        <v>0.008999999999999999</v>
      </c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ht="13.65" customHeight="1">
      <c r="A358" t="s" s="16">
        <v>33</v>
      </c>
      <c r="B358" s="17">
        <v>45554</v>
      </c>
      <c r="C358" t="s" s="16">
        <v>19</v>
      </c>
      <c r="D358" s="18">
        <v>4</v>
      </c>
      <c r="E358" s="18">
        <v>1</v>
      </c>
      <c r="F358" s="18">
        <v>3</v>
      </c>
      <c r="G358" s="19">
        <v>45552</v>
      </c>
      <c r="H358" s="20">
        <v>1</v>
      </c>
      <c r="I358" s="20">
        <v>0.12</v>
      </c>
      <c r="J358" s="20">
        <v>1.13</v>
      </c>
      <c r="K358" s="20" cm="1">
        <f t="array" ref="K358">J358-H358</f>
        <v>0.13</v>
      </c>
      <c r="L358" s="20">
        <v>0.122</v>
      </c>
      <c r="M358" s="20">
        <v>1.125</v>
      </c>
      <c r="N358" s="18">
        <v>15</v>
      </c>
      <c r="O358" s="20" cm="1">
        <f t="array" ref="O358">K358-I358</f>
        <v>0.01</v>
      </c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ht="13.65" customHeight="1">
      <c r="A359" t="s" s="22">
        <v>33</v>
      </c>
      <c r="B359" s="23">
        <v>45554</v>
      </c>
      <c r="C359" t="s" s="22">
        <v>19</v>
      </c>
      <c r="D359" s="24">
        <v>4</v>
      </c>
      <c r="E359" s="24">
        <v>1</v>
      </c>
      <c r="F359" s="24">
        <v>4</v>
      </c>
      <c r="G359" s="25">
        <v>45552</v>
      </c>
      <c r="H359" s="26">
        <v>1.006</v>
      </c>
      <c r="I359" s="26">
        <v>0.122</v>
      </c>
      <c r="J359" s="26">
        <v>1.137</v>
      </c>
      <c r="K359" s="20" cm="1">
        <f t="array" ref="K359">J359-H359</f>
        <v>0.131</v>
      </c>
      <c r="L359" s="26">
        <v>0.116</v>
      </c>
      <c r="M359" s="20">
        <v>1.125</v>
      </c>
      <c r="N359" s="24">
        <v>15</v>
      </c>
      <c r="O359" s="20" cm="1">
        <f t="array" ref="O359">K359-I359</f>
        <v>0.008999999999999999</v>
      </c>
      <c r="P359" s="6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ht="13.65" customHeight="1">
      <c r="A360" t="s" s="9">
        <v>33</v>
      </c>
      <c r="B360" s="10">
        <v>45554</v>
      </c>
      <c r="C360" t="s" s="9">
        <v>19</v>
      </c>
      <c r="D360" s="11">
        <v>4</v>
      </c>
      <c r="E360" s="11">
        <v>2</v>
      </c>
      <c r="F360" s="11">
        <v>1</v>
      </c>
      <c r="G360" s="12">
        <v>45552</v>
      </c>
      <c r="H360" s="13">
        <v>1.01</v>
      </c>
      <c r="I360" s="13">
        <v>0.118</v>
      </c>
      <c r="J360" s="13">
        <v>1.135</v>
      </c>
      <c r="K360" s="20" cm="1">
        <f t="array" ref="K360">J360-H360</f>
        <v>0.125</v>
      </c>
      <c r="L360" s="13">
        <v>0.114</v>
      </c>
      <c r="M360" s="20">
        <v>1.13</v>
      </c>
      <c r="N360" s="11">
        <v>15</v>
      </c>
      <c r="O360" s="20" cm="1">
        <f t="array" ref="O360">K360-I360</f>
        <v>0.007</v>
      </c>
      <c r="P360" s="15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ht="13.65" customHeight="1">
      <c r="A361" t="s" s="16">
        <v>33</v>
      </c>
      <c r="B361" s="17">
        <v>45554</v>
      </c>
      <c r="C361" t="s" s="16">
        <v>19</v>
      </c>
      <c r="D361" s="18">
        <v>4</v>
      </c>
      <c r="E361" s="18">
        <v>2</v>
      </c>
      <c r="F361" s="18">
        <v>2</v>
      </c>
      <c r="G361" s="19">
        <v>45552</v>
      </c>
      <c r="H361" s="20">
        <v>1.002</v>
      </c>
      <c r="I361" s="20">
        <v>0.123</v>
      </c>
      <c r="J361" s="20">
        <v>1.132</v>
      </c>
      <c r="K361" s="20" cm="1">
        <f t="array" ref="K361">J361-H361</f>
        <v>0.13</v>
      </c>
      <c r="L361" s="20">
        <v>0.118</v>
      </c>
      <c r="M361" s="20">
        <v>1.13</v>
      </c>
      <c r="N361" s="18">
        <v>15</v>
      </c>
      <c r="O361" s="20" cm="1">
        <f t="array" ref="O361">K361-I361</f>
        <v>0.007</v>
      </c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ht="13.65" customHeight="1">
      <c r="A362" t="s" s="16">
        <v>33</v>
      </c>
      <c r="B362" s="17">
        <v>45554</v>
      </c>
      <c r="C362" t="s" s="16">
        <v>19</v>
      </c>
      <c r="D362" s="18">
        <v>4</v>
      </c>
      <c r="E362" s="18">
        <v>2</v>
      </c>
      <c r="F362" s="18">
        <v>3</v>
      </c>
      <c r="G362" s="19">
        <v>45552</v>
      </c>
      <c r="H362" s="20">
        <v>1.015</v>
      </c>
      <c r="I362" s="20">
        <v>0.121</v>
      </c>
      <c r="J362" s="20">
        <v>1.141</v>
      </c>
      <c r="K362" s="20" cm="1">
        <f t="array" ref="K362">J362-H362</f>
        <v>0.126</v>
      </c>
      <c r="L362" s="20">
        <v>0.114</v>
      </c>
      <c r="M362" s="20">
        <v>1.13</v>
      </c>
      <c r="N362" s="18">
        <v>15</v>
      </c>
      <c r="O362" s="20" cm="1">
        <f t="array" ref="O362">K362-I362</f>
        <v>0.005</v>
      </c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ht="13.65" customHeight="1">
      <c r="A363" t="s" s="22">
        <v>33</v>
      </c>
      <c r="B363" s="23">
        <v>45554</v>
      </c>
      <c r="C363" t="s" s="22">
        <v>19</v>
      </c>
      <c r="D363" s="24">
        <v>4</v>
      </c>
      <c r="E363" s="24">
        <v>2</v>
      </c>
      <c r="F363" s="24">
        <v>4</v>
      </c>
      <c r="G363" s="25">
        <v>45552</v>
      </c>
      <c r="H363" s="26">
        <v>1.019</v>
      </c>
      <c r="I363" s="26">
        <v>0.12</v>
      </c>
      <c r="J363" s="26">
        <v>1.146</v>
      </c>
      <c r="K363" s="20" cm="1">
        <f t="array" ref="K363">J363-H363</f>
        <v>0.127</v>
      </c>
      <c r="L363" s="26">
        <v>0.116</v>
      </c>
      <c r="M363" s="20">
        <v>1.13</v>
      </c>
      <c r="N363" s="24">
        <v>15</v>
      </c>
      <c r="O363" s="20" cm="1">
        <f t="array" ref="O363">K363-I363</f>
        <v>0.007</v>
      </c>
      <c r="P363" s="6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ht="13.65" customHeight="1">
      <c r="A364" t="s" s="9">
        <v>33</v>
      </c>
      <c r="B364" s="10">
        <v>45554</v>
      </c>
      <c r="C364" t="s" s="9">
        <v>19</v>
      </c>
      <c r="D364" s="11">
        <v>8</v>
      </c>
      <c r="E364" s="11">
        <v>1</v>
      </c>
      <c r="F364" s="11">
        <v>1</v>
      </c>
      <c r="G364" s="12">
        <v>45552</v>
      </c>
      <c r="H364" s="13">
        <v>0.997</v>
      </c>
      <c r="I364" s="13">
        <v>0.121</v>
      </c>
      <c r="J364" s="13">
        <v>1.152</v>
      </c>
      <c r="K364" s="20" cm="1">
        <f t="array" ref="K364">J364-H364</f>
        <v>0.155</v>
      </c>
      <c r="L364" s="13">
        <v>0.1</v>
      </c>
      <c r="M364" s="20" cm="1">
        <f t="array" ref="M364">(0.41+0.125)</f>
        <v>0.535</v>
      </c>
      <c r="N364" s="11">
        <v>15</v>
      </c>
      <c r="O364" s="20" cm="1">
        <f t="array" ref="O364">K364-I364</f>
        <v>0.034</v>
      </c>
      <c r="P364" s="15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ht="13.65" customHeight="1">
      <c r="A365" t="s" s="16">
        <v>34</v>
      </c>
      <c r="B365" s="17">
        <v>45554</v>
      </c>
      <c r="C365" t="s" s="16">
        <v>19</v>
      </c>
      <c r="D365" s="18">
        <v>8</v>
      </c>
      <c r="E365" s="18">
        <v>1</v>
      </c>
      <c r="F365" s="18">
        <v>2</v>
      </c>
      <c r="G365" s="19">
        <v>45552</v>
      </c>
      <c r="H365" s="20">
        <v>1.013</v>
      </c>
      <c r="I365" s="20">
        <v>0.122</v>
      </c>
      <c r="J365" s="20">
        <v>1.166</v>
      </c>
      <c r="K365" s="20" cm="1">
        <f t="array" ref="K365">J365-H365</f>
        <v>0.153</v>
      </c>
      <c r="L365" s="20">
        <v>0.096</v>
      </c>
      <c r="M365" s="20" cm="1">
        <f t="array" ref="M365">(0.41+0.125)</f>
        <v>0.535</v>
      </c>
      <c r="N365" s="18">
        <v>15</v>
      </c>
      <c r="O365" s="20" cm="1">
        <f t="array" ref="O365">K365-I365</f>
        <v>0.031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ht="13.65" customHeight="1">
      <c r="A366" t="s" s="16">
        <v>33</v>
      </c>
      <c r="B366" s="17">
        <v>45554</v>
      </c>
      <c r="C366" t="s" s="16">
        <v>19</v>
      </c>
      <c r="D366" s="18">
        <v>8</v>
      </c>
      <c r="E366" s="18">
        <v>1</v>
      </c>
      <c r="F366" s="18">
        <v>3</v>
      </c>
      <c r="G366" s="19">
        <v>45552</v>
      </c>
      <c r="H366" s="20">
        <v>1.007</v>
      </c>
      <c r="I366" s="20">
        <v>0.122</v>
      </c>
      <c r="J366" s="20">
        <v>1.164</v>
      </c>
      <c r="K366" s="20" cm="1">
        <f t="array" ref="K366">J366-H366</f>
        <v>0.157</v>
      </c>
      <c r="L366" s="20">
        <v>0.098</v>
      </c>
      <c r="M366" s="20" cm="1">
        <f t="array" ref="M366">(0.41+0.125)</f>
        <v>0.535</v>
      </c>
      <c r="N366" s="18">
        <v>15</v>
      </c>
      <c r="O366" s="20" cm="1">
        <f t="array" ref="O366">K366-I366</f>
        <v>0.035</v>
      </c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ht="13.65" customHeight="1">
      <c r="A367" t="s" s="22">
        <v>33</v>
      </c>
      <c r="B367" s="23">
        <v>45554</v>
      </c>
      <c r="C367" t="s" s="22">
        <v>19</v>
      </c>
      <c r="D367" s="24">
        <v>8</v>
      </c>
      <c r="E367" s="24">
        <v>1</v>
      </c>
      <c r="F367" s="24">
        <v>4</v>
      </c>
      <c r="G367" s="25">
        <v>45552</v>
      </c>
      <c r="H367" s="26">
        <v>1.023</v>
      </c>
      <c r="I367" s="26">
        <v>0.12</v>
      </c>
      <c r="J367" s="26">
        <v>1.172</v>
      </c>
      <c r="K367" s="20" cm="1">
        <f t="array" ref="K367">J367-H367</f>
        <v>0.149</v>
      </c>
      <c r="L367" s="26">
        <v>0.096</v>
      </c>
      <c r="M367" s="26" cm="1">
        <f t="array" ref="M367">(0.41+0.125)</f>
        <v>0.535</v>
      </c>
      <c r="N367" s="24">
        <v>15</v>
      </c>
      <c r="O367" s="20" cm="1">
        <f t="array" ref="O367">K367-I367</f>
        <v>0.029</v>
      </c>
      <c r="P367" s="6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ht="13.65" customHeight="1">
      <c r="A368" t="s" s="9">
        <v>33</v>
      </c>
      <c r="B368" s="10">
        <v>45554</v>
      </c>
      <c r="C368" t="s" s="9">
        <v>19</v>
      </c>
      <c r="D368" s="11">
        <v>8</v>
      </c>
      <c r="E368" s="11">
        <v>2</v>
      </c>
      <c r="F368" s="11">
        <v>1</v>
      </c>
      <c r="G368" s="12">
        <v>45552</v>
      </c>
      <c r="H368" s="13">
        <v>0.998</v>
      </c>
      <c r="I368" s="13">
        <v>0.12</v>
      </c>
      <c r="J368" s="13">
        <v>1.135</v>
      </c>
      <c r="K368" s="20" cm="1">
        <f t="array" ref="K368">J368-H368</f>
        <v>0.137</v>
      </c>
      <c r="L368" s="13">
        <v>0.102</v>
      </c>
      <c r="M368" s="13">
        <v>1.12</v>
      </c>
      <c r="N368" s="11">
        <v>15</v>
      </c>
      <c r="O368" s="20" cm="1">
        <f t="array" ref="O368">K368-I368</f>
        <v>0.017</v>
      </c>
      <c r="P368" s="15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ht="13.65" customHeight="1">
      <c r="A369" t="s" s="16">
        <v>33</v>
      </c>
      <c r="B369" s="17">
        <v>45554</v>
      </c>
      <c r="C369" t="s" s="16">
        <v>19</v>
      </c>
      <c r="D369" s="18">
        <v>8</v>
      </c>
      <c r="E369" s="18">
        <v>2</v>
      </c>
      <c r="F369" s="18">
        <v>2</v>
      </c>
      <c r="G369" s="19">
        <v>45552</v>
      </c>
      <c r="H369" s="20">
        <v>1.023</v>
      </c>
      <c r="I369" s="20">
        <v>0.119</v>
      </c>
      <c r="J369" s="20">
        <v>1.162</v>
      </c>
      <c r="K369" s="20" cm="1">
        <f t="array" ref="K369">J369-H369</f>
        <v>0.139</v>
      </c>
      <c r="L369" s="20">
        <v>0.098</v>
      </c>
      <c r="M369" s="20">
        <v>1.12</v>
      </c>
      <c r="N369" s="18">
        <v>15</v>
      </c>
      <c r="O369" s="20" cm="1">
        <f t="array" ref="O369">K369-I369</f>
        <v>0.02</v>
      </c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ht="13.65" customHeight="1">
      <c r="A370" t="s" s="16">
        <v>33</v>
      </c>
      <c r="B370" s="17">
        <v>45554</v>
      </c>
      <c r="C370" t="s" s="16">
        <v>19</v>
      </c>
      <c r="D370" s="18">
        <v>8</v>
      </c>
      <c r="E370" s="18">
        <v>2</v>
      </c>
      <c r="F370" s="18">
        <v>3</v>
      </c>
      <c r="G370" s="19">
        <v>45552</v>
      </c>
      <c r="H370" s="20">
        <v>1.007</v>
      </c>
      <c r="I370" s="20">
        <v>0.117</v>
      </c>
      <c r="J370" s="20">
        <v>1.143</v>
      </c>
      <c r="K370" s="20" cm="1">
        <f t="array" ref="K370">J370-H370</f>
        <v>0.136</v>
      </c>
      <c r="L370" s="20">
        <v>0.098</v>
      </c>
      <c r="M370" s="20">
        <v>1.12</v>
      </c>
      <c r="N370" s="18">
        <v>15</v>
      </c>
      <c r="O370" s="20" cm="1">
        <f t="array" ref="O370">K370-I370</f>
        <v>0.019</v>
      </c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ht="13.65" customHeight="1">
      <c r="A371" t="s" s="22">
        <v>33</v>
      </c>
      <c r="B371" s="23">
        <v>45554</v>
      </c>
      <c r="C371" t="s" s="22">
        <v>19</v>
      </c>
      <c r="D371" s="24">
        <v>8</v>
      </c>
      <c r="E371" s="24">
        <v>2</v>
      </c>
      <c r="F371" s="24">
        <v>4</v>
      </c>
      <c r="G371" s="25">
        <v>45552</v>
      </c>
      <c r="H371" s="26">
        <v>0.988</v>
      </c>
      <c r="I371" s="26">
        <v>0.12</v>
      </c>
      <c r="J371" s="26">
        <v>1.127</v>
      </c>
      <c r="K371" s="20" cm="1">
        <f t="array" ref="K371">J371-H371</f>
        <v>0.139</v>
      </c>
      <c r="L371" s="26">
        <v>0.1</v>
      </c>
      <c r="M371" s="26">
        <v>1.12</v>
      </c>
      <c r="N371" s="24">
        <v>15</v>
      </c>
      <c r="O371" s="20" cm="1">
        <f t="array" ref="O371">K371-I371</f>
        <v>0.019</v>
      </c>
      <c r="P371" s="6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ht="13.65" customHeight="1">
      <c r="A372" t="s" s="9">
        <v>35</v>
      </c>
      <c r="B372" s="10">
        <v>45560</v>
      </c>
      <c r="C372" t="s" s="9">
        <v>20</v>
      </c>
      <c r="D372" s="11">
        <v>4</v>
      </c>
      <c r="E372" s="11">
        <v>1</v>
      </c>
      <c r="F372" s="11">
        <v>1</v>
      </c>
      <c r="G372" s="12">
        <v>45558</v>
      </c>
      <c r="H372" s="13">
        <v>0.987</v>
      </c>
      <c r="I372" s="13">
        <v>0.12</v>
      </c>
      <c r="J372" s="13">
        <v>1.114</v>
      </c>
      <c r="K372" s="20" cm="1">
        <f t="array" ref="K372">J372-H372</f>
        <v>0.127</v>
      </c>
      <c r="L372" s="13">
        <v>0.097</v>
      </c>
      <c r="M372" s="13">
        <v>1.225</v>
      </c>
      <c r="N372" s="11">
        <v>21</v>
      </c>
      <c r="O372" s="20" cm="1">
        <f t="array" ref="O372">K372-I372</f>
        <v>0.007</v>
      </c>
      <c r="P372" s="15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ht="13.65" customHeight="1">
      <c r="A373" t="s" s="16">
        <v>35</v>
      </c>
      <c r="B373" s="17">
        <v>45560</v>
      </c>
      <c r="C373" t="s" s="16">
        <v>20</v>
      </c>
      <c r="D373" s="18">
        <v>4</v>
      </c>
      <c r="E373" s="18">
        <v>1</v>
      </c>
      <c r="F373" s="18">
        <v>2</v>
      </c>
      <c r="G373" s="19">
        <v>45558</v>
      </c>
      <c r="H373" s="20">
        <v>1.009</v>
      </c>
      <c r="I373" s="20">
        <v>0.119</v>
      </c>
      <c r="J373" s="20">
        <v>1.135</v>
      </c>
      <c r="K373" s="20" cm="1">
        <f t="array" ref="K373">J373-H373</f>
        <v>0.126</v>
      </c>
      <c r="L373" s="20">
        <v>0.102</v>
      </c>
      <c r="M373" s="20">
        <v>1.225</v>
      </c>
      <c r="N373" s="18">
        <v>21</v>
      </c>
      <c r="O373" s="20" cm="1">
        <f t="array" ref="O373">K373-I373</f>
        <v>0.007</v>
      </c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ht="13.65" customHeight="1">
      <c r="A374" t="s" s="16">
        <v>35</v>
      </c>
      <c r="B374" s="17">
        <v>45560</v>
      </c>
      <c r="C374" t="s" s="16">
        <v>20</v>
      </c>
      <c r="D374" s="18">
        <v>4</v>
      </c>
      <c r="E374" s="18">
        <v>1</v>
      </c>
      <c r="F374" s="18">
        <v>3</v>
      </c>
      <c r="G374" s="19">
        <v>45558</v>
      </c>
      <c r="H374" s="20">
        <v>1.027</v>
      </c>
      <c r="I374" s="20">
        <v>0.119</v>
      </c>
      <c r="J374" s="20">
        <v>1.153</v>
      </c>
      <c r="K374" s="20" cm="1">
        <f t="array" ref="K374">J374-H374</f>
        <v>0.126</v>
      </c>
      <c r="L374" s="20">
        <v>0.1</v>
      </c>
      <c r="M374" s="20">
        <v>1.225</v>
      </c>
      <c r="N374" s="18">
        <v>21</v>
      </c>
      <c r="O374" s="20" cm="1">
        <f t="array" ref="O374">K374-I374</f>
        <v>0.007</v>
      </c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ht="13.65" customHeight="1">
      <c r="A375" t="s" s="22">
        <v>35</v>
      </c>
      <c r="B375" s="23">
        <v>45560</v>
      </c>
      <c r="C375" t="s" s="22">
        <v>20</v>
      </c>
      <c r="D375" s="24">
        <v>4</v>
      </c>
      <c r="E375" s="24">
        <v>1</v>
      </c>
      <c r="F375" s="24">
        <v>4</v>
      </c>
      <c r="G375" s="25">
        <v>45558</v>
      </c>
      <c r="H375" s="26">
        <v>1.016</v>
      </c>
      <c r="I375" s="26">
        <v>0.121</v>
      </c>
      <c r="J375" s="26">
        <v>1.143</v>
      </c>
      <c r="K375" s="20" cm="1">
        <f t="array" ref="K375">J375-H375</f>
        <v>0.127</v>
      </c>
      <c r="L375" s="26">
        <v>0.1</v>
      </c>
      <c r="M375" s="26">
        <v>1.225</v>
      </c>
      <c r="N375" s="24">
        <v>21</v>
      </c>
      <c r="O375" s="20" cm="1">
        <f t="array" ref="O375">K375-I375</f>
        <v>0.006</v>
      </c>
      <c r="P375" s="6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ht="13.65" customHeight="1">
      <c r="A376" t="s" s="9">
        <v>35</v>
      </c>
      <c r="B376" s="10">
        <v>45560</v>
      </c>
      <c r="C376" t="s" s="9">
        <v>20</v>
      </c>
      <c r="D376" s="11">
        <v>4</v>
      </c>
      <c r="E376" s="11">
        <v>2</v>
      </c>
      <c r="F376" s="11">
        <v>1</v>
      </c>
      <c r="G376" s="12">
        <v>45558</v>
      </c>
      <c r="H376" s="13">
        <v>1.024</v>
      </c>
      <c r="I376" s="13">
        <v>0.12</v>
      </c>
      <c r="J376" s="13">
        <v>1.152</v>
      </c>
      <c r="K376" s="20" cm="1">
        <f t="array" ref="K376">J376-H376</f>
        <v>0.128</v>
      </c>
      <c r="L376" s="13">
        <v>0.1</v>
      </c>
      <c r="M376" s="13">
        <v>1.375</v>
      </c>
      <c r="N376" s="11">
        <v>21</v>
      </c>
      <c r="O376" s="20" cm="1">
        <f t="array" ref="O376">K376-I376</f>
        <v>0.008</v>
      </c>
      <c r="P376" s="15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ht="13.65" customHeight="1">
      <c r="A377" t="s" s="16">
        <v>35</v>
      </c>
      <c r="B377" s="17">
        <v>45560</v>
      </c>
      <c r="C377" t="s" s="16">
        <v>20</v>
      </c>
      <c r="D377" s="18">
        <v>4</v>
      </c>
      <c r="E377" s="18">
        <v>2</v>
      </c>
      <c r="F377" s="18">
        <v>2</v>
      </c>
      <c r="G377" s="19">
        <v>45558</v>
      </c>
      <c r="H377" s="20">
        <v>1.019</v>
      </c>
      <c r="I377" s="20">
        <v>0.117</v>
      </c>
      <c r="J377" s="20">
        <v>1.143</v>
      </c>
      <c r="K377" s="20" cm="1">
        <f t="array" ref="K377">J377-H377</f>
        <v>0.124</v>
      </c>
      <c r="L377" s="20">
        <v>0.104</v>
      </c>
      <c r="M377" s="20">
        <v>1.375</v>
      </c>
      <c r="N377" s="18">
        <v>21</v>
      </c>
      <c r="O377" s="20" cm="1">
        <f t="array" ref="O377">K377-I377</f>
        <v>0.007</v>
      </c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ht="13.65" customHeight="1">
      <c r="A378" t="s" s="16">
        <v>35</v>
      </c>
      <c r="B378" s="17">
        <v>45560</v>
      </c>
      <c r="C378" t="s" s="16">
        <v>20</v>
      </c>
      <c r="D378" s="18">
        <v>4</v>
      </c>
      <c r="E378" s="18">
        <v>2</v>
      </c>
      <c r="F378" s="18">
        <v>3</v>
      </c>
      <c r="G378" s="19">
        <v>45558</v>
      </c>
      <c r="H378" s="20">
        <v>1.012</v>
      </c>
      <c r="I378" s="20">
        <v>0.12</v>
      </c>
      <c r="J378" s="20">
        <v>1.138</v>
      </c>
      <c r="K378" s="20" cm="1">
        <f t="array" ref="K378">J378-H378</f>
        <v>0.126</v>
      </c>
      <c r="L378" s="20">
        <v>0.092</v>
      </c>
      <c r="M378" s="20">
        <v>1.375</v>
      </c>
      <c r="N378" s="18">
        <v>21</v>
      </c>
      <c r="O378" s="20" cm="1">
        <f t="array" ref="O378">K378-I378</f>
        <v>0.006</v>
      </c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ht="13.65" customHeight="1">
      <c r="A379" t="s" s="22">
        <v>35</v>
      </c>
      <c r="B379" s="23">
        <v>45560</v>
      </c>
      <c r="C379" t="s" s="22">
        <v>20</v>
      </c>
      <c r="D379" s="24">
        <v>4</v>
      </c>
      <c r="E379" s="24">
        <v>2</v>
      </c>
      <c r="F379" s="24">
        <v>4</v>
      </c>
      <c r="G379" s="25">
        <v>45558</v>
      </c>
      <c r="H379" s="26">
        <v>1.013</v>
      </c>
      <c r="I379" s="26">
        <v>0.121</v>
      </c>
      <c r="J379" s="26">
        <v>1.139</v>
      </c>
      <c r="K379" s="20" cm="1">
        <f t="array" ref="K379">J379-H379</f>
        <v>0.126</v>
      </c>
      <c r="L379" s="26">
        <v>0.09</v>
      </c>
      <c r="M379" s="26">
        <v>1.375</v>
      </c>
      <c r="N379" s="24">
        <v>21</v>
      </c>
      <c r="O379" s="20" cm="1">
        <f t="array" ref="O379">K379-I379</f>
        <v>0.005</v>
      </c>
      <c r="P379" s="6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ht="13.65" customHeight="1">
      <c r="A380" t="s" s="9">
        <v>35</v>
      </c>
      <c r="B380" s="10">
        <v>45560</v>
      </c>
      <c r="C380" t="s" s="9">
        <v>20</v>
      </c>
      <c r="D380" s="11">
        <v>8</v>
      </c>
      <c r="E380" s="11">
        <v>1</v>
      </c>
      <c r="F380" s="11">
        <v>1</v>
      </c>
      <c r="G380" s="12">
        <v>45558</v>
      </c>
      <c r="H380" s="13">
        <v>1.007</v>
      </c>
      <c r="I380" s="13">
        <v>0.119</v>
      </c>
      <c r="J380" s="13">
        <v>1.143</v>
      </c>
      <c r="K380" s="20" cm="1">
        <f t="array" ref="K380">J380-H380</f>
        <v>0.136</v>
      </c>
      <c r="L380" s="13">
        <v>0.096</v>
      </c>
      <c r="M380" s="13">
        <v>1.21</v>
      </c>
      <c r="N380" s="11">
        <v>21</v>
      </c>
      <c r="O380" s="20" cm="1">
        <f t="array" ref="O380">K380-I380</f>
        <v>0.017</v>
      </c>
      <c r="P380" s="15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ht="13.65" customHeight="1">
      <c r="A381" t="s" s="16">
        <v>35</v>
      </c>
      <c r="B381" s="17">
        <v>45560</v>
      </c>
      <c r="C381" t="s" s="16">
        <v>20</v>
      </c>
      <c r="D381" s="18">
        <v>8</v>
      </c>
      <c r="E381" s="18">
        <v>1</v>
      </c>
      <c r="F381" s="18">
        <v>2</v>
      </c>
      <c r="G381" s="19">
        <v>45558</v>
      </c>
      <c r="H381" s="20">
        <v>0.991</v>
      </c>
      <c r="I381" s="20">
        <v>0.121</v>
      </c>
      <c r="J381" s="20">
        <v>1.129</v>
      </c>
      <c r="K381" s="20" cm="1">
        <f t="array" ref="K381">J381-H381</f>
        <v>0.138</v>
      </c>
      <c r="L381" s="20">
        <v>0.094</v>
      </c>
      <c r="M381" s="20">
        <v>1.21</v>
      </c>
      <c r="N381" s="18">
        <v>21</v>
      </c>
      <c r="O381" s="20" cm="1">
        <f t="array" ref="O381">K381-I381</f>
        <v>0.017</v>
      </c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ht="13.65" customHeight="1">
      <c r="A382" t="s" s="16">
        <v>35</v>
      </c>
      <c r="B382" s="17">
        <v>45560</v>
      </c>
      <c r="C382" t="s" s="16">
        <v>20</v>
      </c>
      <c r="D382" s="18">
        <v>8</v>
      </c>
      <c r="E382" s="18">
        <v>1</v>
      </c>
      <c r="F382" s="18">
        <v>3</v>
      </c>
      <c r="G382" s="19">
        <v>45558</v>
      </c>
      <c r="H382" s="20">
        <v>0.989</v>
      </c>
      <c r="I382" s="20">
        <v>0.12</v>
      </c>
      <c r="J382" s="20">
        <v>1.126</v>
      </c>
      <c r="K382" s="20" cm="1">
        <f t="array" ref="K382">J382-H382</f>
        <v>0.137</v>
      </c>
      <c r="L382" s="20">
        <v>0.094</v>
      </c>
      <c r="M382" s="20">
        <v>1.21</v>
      </c>
      <c r="N382" s="18">
        <v>21</v>
      </c>
      <c r="O382" s="20" cm="1">
        <f t="array" ref="O382">K382-I382</f>
        <v>0.017</v>
      </c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ht="13.65" customHeight="1">
      <c r="A383" t="s" s="22">
        <v>35</v>
      </c>
      <c r="B383" s="23">
        <v>45560</v>
      </c>
      <c r="C383" t="s" s="22">
        <v>20</v>
      </c>
      <c r="D383" s="24">
        <v>8</v>
      </c>
      <c r="E383" s="24">
        <v>1</v>
      </c>
      <c r="F383" s="24">
        <v>4</v>
      </c>
      <c r="G383" s="25">
        <v>45558</v>
      </c>
      <c r="H383" s="26">
        <v>0.986</v>
      </c>
      <c r="I383" s="26">
        <v>0.121</v>
      </c>
      <c r="J383" s="26">
        <v>1.126</v>
      </c>
      <c r="K383" s="20" cm="1">
        <f t="array" ref="K383">J383-H383</f>
        <v>0.14</v>
      </c>
      <c r="L383" s="26">
        <v>0.096</v>
      </c>
      <c r="M383" s="26">
        <v>1.21</v>
      </c>
      <c r="N383" s="24">
        <v>21</v>
      </c>
      <c r="O383" s="20" cm="1">
        <f t="array" ref="O383">K383-I383</f>
        <v>0.019</v>
      </c>
      <c r="P383" s="6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ht="13.65" customHeight="1">
      <c r="A384" t="s" s="9">
        <v>35</v>
      </c>
      <c r="B384" s="10">
        <v>45560</v>
      </c>
      <c r="C384" t="s" s="9">
        <v>20</v>
      </c>
      <c r="D384" s="11">
        <v>8</v>
      </c>
      <c r="E384" s="11">
        <v>2</v>
      </c>
      <c r="F384" s="11">
        <v>1</v>
      </c>
      <c r="G384" s="12">
        <v>45558</v>
      </c>
      <c r="H384" s="13">
        <v>1.028</v>
      </c>
      <c r="I384" s="13">
        <v>0.119</v>
      </c>
      <c r="J384" s="13">
        <v>1.161</v>
      </c>
      <c r="K384" s="20" cm="1">
        <f t="array" ref="K384">J384-H384</f>
        <v>0.133</v>
      </c>
      <c r="L384" s="13">
        <v>0.09</v>
      </c>
      <c r="M384" s="13">
        <v>1.39</v>
      </c>
      <c r="N384" s="11">
        <v>21</v>
      </c>
      <c r="O384" s="20" cm="1">
        <f t="array" ref="O384">K384-I384</f>
        <v>0.014</v>
      </c>
      <c r="P384" s="15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ht="13.65" customHeight="1">
      <c r="A385" t="s" s="16">
        <v>35</v>
      </c>
      <c r="B385" s="17">
        <v>45560</v>
      </c>
      <c r="C385" t="s" s="16">
        <v>20</v>
      </c>
      <c r="D385" s="18">
        <v>8</v>
      </c>
      <c r="E385" s="18">
        <v>2</v>
      </c>
      <c r="F385" s="18">
        <v>2</v>
      </c>
      <c r="G385" s="19">
        <v>45558</v>
      </c>
      <c r="H385" s="20">
        <v>1.013</v>
      </c>
      <c r="I385" s="20">
        <v>0.122</v>
      </c>
      <c r="J385" s="20">
        <v>1.149</v>
      </c>
      <c r="K385" s="20" cm="1">
        <f t="array" ref="K385">J385-H385</f>
        <v>0.136</v>
      </c>
      <c r="L385" s="20">
        <v>0.092</v>
      </c>
      <c r="M385" s="20">
        <v>1.39</v>
      </c>
      <c r="N385" s="18">
        <v>21</v>
      </c>
      <c r="O385" s="20" cm="1">
        <f t="array" ref="O385">K385-I385</f>
        <v>0.014</v>
      </c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ht="13.65" customHeight="1">
      <c r="A386" t="s" s="16">
        <v>35</v>
      </c>
      <c r="B386" s="17">
        <v>45560</v>
      </c>
      <c r="C386" t="s" s="16">
        <v>20</v>
      </c>
      <c r="D386" s="18">
        <v>8</v>
      </c>
      <c r="E386" s="18">
        <v>2</v>
      </c>
      <c r="F386" s="18">
        <v>3</v>
      </c>
      <c r="G386" s="19">
        <v>45558</v>
      </c>
      <c r="H386" s="20">
        <v>1.007</v>
      </c>
      <c r="I386" s="20">
        <v>0.12</v>
      </c>
      <c r="J386" s="20">
        <v>1.141</v>
      </c>
      <c r="K386" s="20" cm="1">
        <f t="array" ref="K386">J386-H386</f>
        <v>0.134</v>
      </c>
      <c r="L386" s="20">
        <v>0.09</v>
      </c>
      <c r="M386" s="20">
        <v>1.39</v>
      </c>
      <c r="N386" s="18">
        <v>21</v>
      </c>
      <c r="O386" s="20" cm="1">
        <f t="array" ref="O386">K386-I386</f>
        <v>0.014</v>
      </c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ht="13.65" customHeight="1">
      <c r="A387" t="s" s="22">
        <v>35</v>
      </c>
      <c r="B387" s="23">
        <v>45560</v>
      </c>
      <c r="C387" t="s" s="22">
        <v>20</v>
      </c>
      <c r="D387" s="24">
        <v>8</v>
      </c>
      <c r="E387" s="24">
        <v>2</v>
      </c>
      <c r="F387" s="24">
        <v>4</v>
      </c>
      <c r="G387" s="25">
        <v>45558</v>
      </c>
      <c r="H387" s="26">
        <v>1.013</v>
      </c>
      <c r="I387" s="26">
        <v>0.119</v>
      </c>
      <c r="J387" s="26">
        <v>1.144</v>
      </c>
      <c r="K387" s="20" cm="1">
        <f t="array" ref="K387">J387-H387</f>
        <v>0.131</v>
      </c>
      <c r="L387" s="26">
        <v>0.096</v>
      </c>
      <c r="M387" s="26">
        <v>1.39</v>
      </c>
      <c r="N387" s="24">
        <v>21</v>
      </c>
      <c r="O387" s="20" cm="1">
        <f t="array" ref="O387">K387-I387</f>
        <v>0.012</v>
      </c>
      <c r="P387" s="6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ht="13.65" customHeight="1">
      <c r="A388" t="s" s="9">
        <v>33</v>
      </c>
      <c r="B388" s="10">
        <v>45568</v>
      </c>
      <c r="C388" t="s" s="9">
        <v>19</v>
      </c>
      <c r="D388" s="11">
        <v>4</v>
      </c>
      <c r="E388" s="11">
        <v>1</v>
      </c>
      <c r="F388" s="11">
        <v>1</v>
      </c>
      <c r="G388" s="12">
        <v>45566</v>
      </c>
      <c r="H388" s="13">
        <v>0.998</v>
      </c>
      <c r="I388" s="13">
        <v>0.122</v>
      </c>
      <c r="J388" s="13">
        <v>1.124</v>
      </c>
      <c r="K388" s="20" cm="1">
        <f t="array" ref="K388">J388-H388</f>
        <v>0.126</v>
      </c>
      <c r="L388" s="13">
        <v>0.119</v>
      </c>
      <c r="M388" s="13" cm="1">
        <f t="array" ref="M388">(1.19+0.125)</f>
        <v>1.315</v>
      </c>
      <c r="N388" s="11">
        <v>14</v>
      </c>
      <c r="O388" s="20" cm="1">
        <f t="array" ref="O388">K388-I388</f>
        <v>0.004</v>
      </c>
      <c r="P388" s="15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ht="13.65" customHeight="1">
      <c r="A389" t="s" s="16">
        <v>33</v>
      </c>
      <c r="B389" s="17">
        <v>45568</v>
      </c>
      <c r="C389" t="s" s="16">
        <v>19</v>
      </c>
      <c r="D389" s="18">
        <v>4</v>
      </c>
      <c r="E389" s="18">
        <v>1</v>
      </c>
      <c r="F389" s="18">
        <v>2</v>
      </c>
      <c r="G389" s="19">
        <v>45566</v>
      </c>
      <c r="H389" s="20">
        <v>0.987</v>
      </c>
      <c r="I389" s="20">
        <v>0.119</v>
      </c>
      <c r="J389" s="20">
        <v>1.114</v>
      </c>
      <c r="K389" s="20" cm="1">
        <f t="array" ref="K389">J389-H389</f>
        <v>0.127</v>
      </c>
      <c r="L389" s="20">
        <v>0.116</v>
      </c>
      <c r="M389" s="20" cm="1">
        <f t="array" ref="M389">(1.19+0.125)</f>
        <v>1.315</v>
      </c>
      <c r="N389" s="18">
        <v>14</v>
      </c>
      <c r="O389" s="20" cm="1">
        <f t="array" ref="O389">K389-I389</f>
        <v>0.008</v>
      </c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ht="13.65" customHeight="1">
      <c r="A390" t="s" s="16">
        <v>33</v>
      </c>
      <c r="B390" s="17">
        <v>45568</v>
      </c>
      <c r="C390" t="s" s="16">
        <v>19</v>
      </c>
      <c r="D390" s="18">
        <v>4</v>
      </c>
      <c r="E390" s="18">
        <v>1</v>
      </c>
      <c r="F390" s="18">
        <v>3</v>
      </c>
      <c r="G390" s="19">
        <v>45566</v>
      </c>
      <c r="H390" s="20">
        <v>0.998</v>
      </c>
      <c r="I390" s="20">
        <v>0.121</v>
      </c>
      <c r="J390" s="20">
        <v>1.125</v>
      </c>
      <c r="K390" s="20" cm="1">
        <f t="array" ref="K390">J390-H390</f>
        <v>0.127</v>
      </c>
      <c r="L390" s="20">
        <v>0.12</v>
      </c>
      <c r="M390" s="20" cm="1">
        <f t="array" ref="M390">(1.19+0.125)</f>
        <v>1.315</v>
      </c>
      <c r="N390" s="18">
        <v>14</v>
      </c>
      <c r="O390" s="20" cm="1">
        <f t="array" ref="O390">K390-I390</f>
        <v>0.006</v>
      </c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ht="13.65" customHeight="1">
      <c r="A391" t="s" s="22">
        <v>33</v>
      </c>
      <c r="B391" s="23">
        <v>45568</v>
      </c>
      <c r="C391" t="s" s="22">
        <v>19</v>
      </c>
      <c r="D391" s="24">
        <v>4</v>
      </c>
      <c r="E391" s="24">
        <v>1</v>
      </c>
      <c r="F391" s="24">
        <v>4</v>
      </c>
      <c r="G391" s="25">
        <v>45566</v>
      </c>
      <c r="H391" s="26">
        <v>1.001</v>
      </c>
      <c r="I391" s="26">
        <v>0.119</v>
      </c>
      <c r="J391" s="26">
        <v>1.127</v>
      </c>
      <c r="K391" s="20" cm="1">
        <f t="array" ref="K391">J391-H391</f>
        <v>0.126</v>
      </c>
      <c r="L391" s="26">
        <v>0.118</v>
      </c>
      <c r="M391" s="26">
        <v>1.315</v>
      </c>
      <c r="N391" s="24">
        <v>14</v>
      </c>
      <c r="O391" s="20" cm="1">
        <f t="array" ref="O391">K391-I391</f>
        <v>0.007</v>
      </c>
      <c r="P391" s="6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ht="13.65" customHeight="1">
      <c r="A392" t="s" s="9">
        <v>33</v>
      </c>
      <c r="B392" s="10">
        <v>45568</v>
      </c>
      <c r="C392" t="s" s="9">
        <v>19</v>
      </c>
      <c r="D392" s="11">
        <v>4</v>
      </c>
      <c r="E392" s="11">
        <v>2</v>
      </c>
      <c r="F392" s="11">
        <v>1</v>
      </c>
      <c r="G392" s="12">
        <v>45566</v>
      </c>
      <c r="H392" s="13">
        <v>1.039</v>
      </c>
      <c r="I392" s="13">
        <v>0.119</v>
      </c>
      <c r="J392" s="13">
        <v>1.163</v>
      </c>
      <c r="K392" s="20" cm="1">
        <f t="array" ref="K392">J392-H392</f>
        <v>0.124</v>
      </c>
      <c r="L392" s="13">
        <v>0.12</v>
      </c>
      <c r="M392" s="13">
        <v>1.35</v>
      </c>
      <c r="N392" s="11">
        <v>14</v>
      </c>
      <c r="O392" s="20" cm="1">
        <f t="array" ref="O392">K392-I392</f>
        <v>0.005</v>
      </c>
      <c r="P392" s="15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ht="13.65" customHeight="1">
      <c r="A393" t="s" s="16">
        <v>33</v>
      </c>
      <c r="B393" s="17">
        <v>45568</v>
      </c>
      <c r="C393" t="s" s="16">
        <v>19</v>
      </c>
      <c r="D393" s="18">
        <v>4</v>
      </c>
      <c r="E393" s="18">
        <v>2</v>
      </c>
      <c r="F393" s="18">
        <v>2</v>
      </c>
      <c r="G393" s="19">
        <v>45566</v>
      </c>
      <c r="H393" s="20">
        <v>0.993</v>
      </c>
      <c r="I393" s="20">
        <v>0.12</v>
      </c>
      <c r="J393" s="20">
        <v>1.117</v>
      </c>
      <c r="K393" s="20" cm="1">
        <f t="array" ref="K393">J393-H393</f>
        <v>0.124</v>
      </c>
      <c r="L393" s="20">
        <v>0.116</v>
      </c>
      <c r="M393" s="20">
        <v>1.35</v>
      </c>
      <c r="N393" s="18">
        <v>14</v>
      </c>
      <c r="O393" s="20" cm="1">
        <f t="array" ref="O393">K393-I393</f>
        <v>0.004</v>
      </c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ht="13.65" customHeight="1">
      <c r="A394" t="s" s="16">
        <v>33</v>
      </c>
      <c r="B394" s="17">
        <v>45568</v>
      </c>
      <c r="C394" t="s" s="16">
        <v>19</v>
      </c>
      <c r="D394" s="18">
        <v>4</v>
      </c>
      <c r="E394" s="18">
        <v>2</v>
      </c>
      <c r="F394" s="18">
        <v>3</v>
      </c>
      <c r="G394" s="19">
        <v>45566</v>
      </c>
      <c r="H394" s="20">
        <v>0.982</v>
      </c>
      <c r="I394" s="20">
        <v>0.121</v>
      </c>
      <c r="J394" s="20">
        <v>1.109</v>
      </c>
      <c r="K394" s="20" cm="1">
        <f t="array" ref="K394">J394-H394</f>
        <v>0.127</v>
      </c>
      <c r="L394" s="20">
        <v>0.116</v>
      </c>
      <c r="M394" s="20">
        <v>1.35</v>
      </c>
      <c r="N394" s="18">
        <v>14</v>
      </c>
      <c r="O394" s="20" cm="1">
        <f t="array" ref="O394">K394-I394</f>
        <v>0.006</v>
      </c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ht="13.65" customHeight="1">
      <c r="A395" t="s" s="22">
        <v>33</v>
      </c>
      <c r="B395" s="23">
        <v>45568</v>
      </c>
      <c r="C395" t="s" s="22">
        <v>19</v>
      </c>
      <c r="D395" s="24">
        <v>4</v>
      </c>
      <c r="E395" s="24">
        <v>2</v>
      </c>
      <c r="F395" s="24">
        <v>4</v>
      </c>
      <c r="G395" s="25">
        <v>45566</v>
      </c>
      <c r="H395" s="26">
        <v>1.017</v>
      </c>
      <c r="I395" s="26">
        <v>0.123</v>
      </c>
      <c r="J395" s="26">
        <v>1.148</v>
      </c>
      <c r="K395" s="20" cm="1">
        <f t="array" ref="K395">J395-H395</f>
        <v>0.131</v>
      </c>
      <c r="L395" s="26">
        <v>0.12</v>
      </c>
      <c r="M395" s="26">
        <v>1.35</v>
      </c>
      <c r="N395" s="24">
        <v>14</v>
      </c>
      <c r="O395" s="20" cm="1">
        <f t="array" ref="O395">K395-I395</f>
        <v>0.008</v>
      </c>
      <c r="P395" s="6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ht="13.65" customHeight="1">
      <c r="A396" t="s" s="9">
        <v>33</v>
      </c>
      <c r="B396" s="10">
        <v>45568</v>
      </c>
      <c r="C396" t="s" s="9">
        <v>19</v>
      </c>
      <c r="D396" s="11">
        <v>8</v>
      </c>
      <c r="E396" s="11">
        <v>1</v>
      </c>
      <c r="F396" s="11">
        <v>1</v>
      </c>
      <c r="G396" s="12">
        <v>45566</v>
      </c>
      <c r="H396" s="13">
        <v>1.016</v>
      </c>
      <c r="I396" s="13">
        <v>0.119</v>
      </c>
      <c r="J396" s="13">
        <v>1.15</v>
      </c>
      <c r="K396" s="20" cm="1">
        <f t="array" ref="K396">J396-H396</f>
        <v>0.134</v>
      </c>
      <c r="L396" s="13">
        <v>0.101</v>
      </c>
      <c r="M396" s="13" cm="1">
        <f t="array" ref="M396">(1.21+0.125)</f>
        <v>1.335</v>
      </c>
      <c r="N396" s="11">
        <v>14</v>
      </c>
      <c r="O396" s="20" cm="1">
        <f t="array" ref="O396">K396-I396</f>
        <v>0.015</v>
      </c>
      <c r="P396" s="15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ht="13.65" customHeight="1">
      <c r="A397" t="s" s="16">
        <v>33</v>
      </c>
      <c r="B397" s="17">
        <v>45568</v>
      </c>
      <c r="C397" t="s" s="16">
        <v>19</v>
      </c>
      <c r="D397" s="18">
        <v>8</v>
      </c>
      <c r="E397" s="18">
        <v>1</v>
      </c>
      <c r="F397" s="18">
        <v>2</v>
      </c>
      <c r="G397" s="19">
        <v>45566</v>
      </c>
      <c r="H397" s="20">
        <v>1.018</v>
      </c>
      <c r="I397" s="20">
        <v>0.119</v>
      </c>
      <c r="J397" s="20">
        <v>1.155</v>
      </c>
      <c r="K397" s="20" cm="1">
        <f t="array" ref="K397">J397-H397</f>
        <v>0.137</v>
      </c>
      <c r="L397" s="20">
        <v>0.116</v>
      </c>
      <c r="M397" s="20" cm="1">
        <f t="array" ref="M397">(1.21+0.125)</f>
        <v>1.335</v>
      </c>
      <c r="N397" s="18">
        <v>14</v>
      </c>
      <c r="O397" s="20" cm="1">
        <f t="array" ref="O397">K397-I397</f>
        <v>0.018</v>
      </c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ht="13.65" customHeight="1">
      <c r="A398" t="s" s="16">
        <v>33</v>
      </c>
      <c r="B398" s="17">
        <v>45568</v>
      </c>
      <c r="C398" t="s" s="16">
        <v>19</v>
      </c>
      <c r="D398" s="18">
        <v>8</v>
      </c>
      <c r="E398" s="18">
        <v>1</v>
      </c>
      <c r="F398" s="18">
        <v>3</v>
      </c>
      <c r="G398" s="19">
        <v>45566</v>
      </c>
      <c r="H398" s="20">
        <v>1.015</v>
      </c>
      <c r="I398" s="20">
        <v>0.123</v>
      </c>
      <c r="J398" s="20">
        <v>1.155</v>
      </c>
      <c r="K398" s="20" cm="1">
        <f t="array" ref="K398">J398-H398</f>
        <v>0.14</v>
      </c>
      <c r="L398" s="20">
        <v>0.106</v>
      </c>
      <c r="M398" s="20" cm="1">
        <f t="array" ref="M398">(1.21+0.125)</f>
        <v>1.335</v>
      </c>
      <c r="N398" s="18">
        <v>14</v>
      </c>
      <c r="O398" s="20" cm="1">
        <f t="array" ref="O398">K398-I398</f>
        <v>0.017</v>
      </c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ht="13.65" customHeight="1">
      <c r="A399" t="s" s="22">
        <v>33</v>
      </c>
      <c r="B399" s="23">
        <v>45568</v>
      </c>
      <c r="C399" t="s" s="22">
        <v>19</v>
      </c>
      <c r="D399" s="24">
        <v>8</v>
      </c>
      <c r="E399" s="24">
        <v>1</v>
      </c>
      <c r="F399" s="24">
        <v>4</v>
      </c>
      <c r="G399" s="25">
        <v>45566</v>
      </c>
      <c r="H399" s="26">
        <v>1.017</v>
      </c>
      <c r="I399" s="26">
        <v>0.124</v>
      </c>
      <c r="J399" s="26">
        <v>1.159</v>
      </c>
      <c r="K399" s="20" cm="1">
        <f t="array" ref="K399">J399-H399</f>
        <v>0.142</v>
      </c>
      <c r="L399" s="26">
        <v>0.102</v>
      </c>
      <c r="M399" s="26" cm="1">
        <f t="array" ref="M399">(1.21+0.125)</f>
        <v>1.335</v>
      </c>
      <c r="N399" s="24">
        <v>14</v>
      </c>
      <c r="O399" s="20" cm="1">
        <f t="array" ref="O399">K399-I399</f>
        <v>0.018</v>
      </c>
      <c r="P399" s="6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ht="13.65" customHeight="1">
      <c r="A400" t="s" s="9">
        <v>33</v>
      </c>
      <c r="B400" s="10">
        <v>45568</v>
      </c>
      <c r="C400" t="s" s="9">
        <v>19</v>
      </c>
      <c r="D400" s="11">
        <v>8</v>
      </c>
      <c r="E400" s="11">
        <v>2</v>
      </c>
      <c r="F400" s="11">
        <v>1</v>
      </c>
      <c r="G400" s="12">
        <v>45566</v>
      </c>
      <c r="H400" s="13">
        <v>1.002</v>
      </c>
      <c r="I400" s="13">
        <v>0.119</v>
      </c>
      <c r="J400" s="13">
        <v>1.138</v>
      </c>
      <c r="K400" s="20" cm="1">
        <f t="array" ref="K400">J400-H400</f>
        <v>0.136</v>
      </c>
      <c r="L400" s="13">
        <v>0.1</v>
      </c>
      <c r="M400" s="13">
        <v>1.108</v>
      </c>
      <c r="N400" s="11">
        <v>14</v>
      </c>
      <c r="O400" s="20" cm="1">
        <f t="array" ref="O400">K400-I400</f>
        <v>0.017</v>
      </c>
      <c r="P400" s="15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ht="13.65" customHeight="1">
      <c r="A401" t="s" s="16">
        <v>33</v>
      </c>
      <c r="B401" s="17">
        <v>45568</v>
      </c>
      <c r="C401" t="s" s="16">
        <v>19</v>
      </c>
      <c r="D401" s="18">
        <v>8</v>
      </c>
      <c r="E401" s="18">
        <v>2</v>
      </c>
      <c r="F401" s="18">
        <v>2</v>
      </c>
      <c r="G401" s="19">
        <v>45566</v>
      </c>
      <c r="H401" s="20">
        <v>1.012</v>
      </c>
      <c r="I401" s="20">
        <v>0.118</v>
      </c>
      <c r="J401" s="20">
        <v>1.151</v>
      </c>
      <c r="K401" s="20" cm="1">
        <f t="array" ref="K401">J401-H401</f>
        <v>0.139</v>
      </c>
      <c r="L401" s="20">
        <v>0.106</v>
      </c>
      <c r="M401" s="20">
        <v>1.108</v>
      </c>
      <c r="N401" s="18">
        <v>14</v>
      </c>
      <c r="O401" s="20" cm="1">
        <f t="array" ref="O401">K401-I401</f>
        <v>0.021</v>
      </c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ht="13.65" customHeight="1">
      <c r="A402" t="s" s="16">
        <v>33</v>
      </c>
      <c r="B402" s="17">
        <v>45568</v>
      </c>
      <c r="C402" t="s" s="16">
        <v>19</v>
      </c>
      <c r="D402" s="18">
        <v>8</v>
      </c>
      <c r="E402" s="18">
        <v>2</v>
      </c>
      <c r="F402" s="18">
        <v>3</v>
      </c>
      <c r="G402" s="19">
        <v>45566</v>
      </c>
      <c r="H402" s="20">
        <v>1.021</v>
      </c>
      <c r="I402" s="20">
        <v>0.119</v>
      </c>
      <c r="J402" s="20">
        <v>1.158</v>
      </c>
      <c r="K402" s="20" cm="1">
        <f t="array" ref="K402">J402-H402</f>
        <v>0.137</v>
      </c>
      <c r="L402" s="20">
        <v>0.104</v>
      </c>
      <c r="M402" s="20">
        <v>1.108</v>
      </c>
      <c r="N402" s="18">
        <v>14</v>
      </c>
      <c r="O402" s="20" cm="1">
        <f t="array" ref="O402">K402-I402</f>
        <v>0.018</v>
      </c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ht="13.65" customHeight="1">
      <c r="A403" t="s" s="22">
        <v>33</v>
      </c>
      <c r="B403" s="23">
        <v>45568</v>
      </c>
      <c r="C403" t="s" s="22">
        <v>19</v>
      </c>
      <c r="D403" s="24">
        <v>8</v>
      </c>
      <c r="E403" s="24">
        <v>2</v>
      </c>
      <c r="F403" s="24">
        <v>4</v>
      </c>
      <c r="G403" s="25">
        <v>45566</v>
      </c>
      <c r="H403" s="26">
        <v>1.006</v>
      </c>
      <c r="I403" s="26">
        <v>0.12</v>
      </c>
      <c r="J403" s="26">
        <v>1.146</v>
      </c>
      <c r="K403" s="20" cm="1">
        <f t="array" ref="K403">J403-H403</f>
        <v>0.14</v>
      </c>
      <c r="L403" s="26">
        <v>0.108</v>
      </c>
      <c r="M403" s="26">
        <v>1.108</v>
      </c>
      <c r="N403" s="24">
        <v>14</v>
      </c>
      <c r="O403" s="20" cm="1">
        <f t="array" ref="O403">K403-I403</f>
        <v>0.02</v>
      </c>
      <c r="P403" s="6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ht="13.65" customHeight="1">
      <c r="A404" t="s" s="9">
        <v>33</v>
      </c>
      <c r="B404" s="10">
        <v>45575</v>
      </c>
      <c r="C404" t="s" s="9">
        <v>20</v>
      </c>
      <c r="D404" s="11">
        <v>4</v>
      </c>
      <c r="E404" s="11">
        <v>1</v>
      </c>
      <c r="F404" s="11">
        <v>1</v>
      </c>
      <c r="G404" s="12">
        <v>45572</v>
      </c>
      <c r="H404" s="13">
        <v>1.003</v>
      </c>
      <c r="I404" s="13">
        <v>0.119</v>
      </c>
      <c r="J404" s="13">
        <v>1.126</v>
      </c>
      <c r="K404" s="20" cm="1">
        <f t="array" ref="K404">J404-H404</f>
        <v>0.123</v>
      </c>
      <c r="L404" s="13">
        <v>0.104</v>
      </c>
      <c r="M404" s="13" cm="1">
        <f t="array" ref="M404">(0.125+1.22)</f>
        <v>1.345</v>
      </c>
      <c r="N404" s="11">
        <v>14</v>
      </c>
      <c r="O404" s="20" cm="1">
        <f t="array" ref="O404">K404-I404</f>
        <v>0.004</v>
      </c>
      <c r="P404" s="15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ht="13.65" customHeight="1">
      <c r="A405" t="s" s="16">
        <v>33</v>
      </c>
      <c r="B405" s="17">
        <v>45575</v>
      </c>
      <c r="C405" t="s" s="16">
        <v>20</v>
      </c>
      <c r="D405" s="18">
        <v>4</v>
      </c>
      <c r="E405" s="18">
        <v>1</v>
      </c>
      <c r="F405" s="18">
        <v>2</v>
      </c>
      <c r="G405" s="19">
        <v>45572</v>
      </c>
      <c r="H405" s="20">
        <v>1.004</v>
      </c>
      <c r="I405" s="20">
        <v>0.119</v>
      </c>
      <c r="J405" s="20">
        <v>1.128</v>
      </c>
      <c r="K405" s="20" cm="1">
        <f t="array" ref="K405">J405-H405</f>
        <v>0.124</v>
      </c>
      <c r="L405" s="20">
        <v>0.11</v>
      </c>
      <c r="M405" s="20" cm="1">
        <f t="array" ref="M405">(0.125+1.22)</f>
        <v>1.345</v>
      </c>
      <c r="N405" s="18">
        <v>14</v>
      </c>
      <c r="O405" s="20" cm="1">
        <f t="array" ref="O405">K405-I405</f>
        <v>0.005</v>
      </c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ht="13.65" customHeight="1">
      <c r="A406" t="s" s="16">
        <v>33</v>
      </c>
      <c r="B406" s="17">
        <v>45575</v>
      </c>
      <c r="C406" t="s" s="16">
        <v>20</v>
      </c>
      <c r="D406" s="18">
        <v>4</v>
      </c>
      <c r="E406" s="18">
        <v>1</v>
      </c>
      <c r="F406" s="18">
        <v>3</v>
      </c>
      <c r="G406" s="19">
        <v>45572</v>
      </c>
      <c r="H406" s="20">
        <v>1.013</v>
      </c>
      <c r="I406" s="20">
        <v>0.122</v>
      </c>
      <c r="J406" s="20">
        <v>1.14</v>
      </c>
      <c r="K406" s="20" cm="1">
        <f t="array" ref="K406">J406-H406</f>
        <v>0.127</v>
      </c>
      <c r="L406" s="20">
        <v>0.112</v>
      </c>
      <c r="M406" s="20" cm="1">
        <f t="array" ref="M406">(0.125+1.22)</f>
        <v>1.345</v>
      </c>
      <c r="N406" s="18">
        <v>14</v>
      </c>
      <c r="O406" s="20" cm="1">
        <f t="array" ref="O406">K406-I406</f>
        <v>0.005</v>
      </c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ht="13.65" customHeight="1">
      <c r="A407" t="s" s="22">
        <v>33</v>
      </c>
      <c r="B407" s="23">
        <v>45575</v>
      </c>
      <c r="C407" t="s" s="22">
        <v>20</v>
      </c>
      <c r="D407" s="24">
        <v>4</v>
      </c>
      <c r="E407" s="24">
        <v>1</v>
      </c>
      <c r="F407" s="24">
        <v>4</v>
      </c>
      <c r="G407" s="25">
        <v>45572</v>
      </c>
      <c r="H407" s="26">
        <v>1.014</v>
      </c>
      <c r="I407" s="26">
        <v>0.121</v>
      </c>
      <c r="J407" s="26">
        <v>1.14</v>
      </c>
      <c r="K407" s="20" cm="1">
        <f t="array" ref="K407">J407-H407</f>
        <v>0.126</v>
      </c>
      <c r="L407" s="26">
        <v>0.114</v>
      </c>
      <c r="M407" s="26" cm="1">
        <f t="array" ref="M407">(0.125+1.22)</f>
        <v>1.345</v>
      </c>
      <c r="N407" s="24">
        <v>14</v>
      </c>
      <c r="O407" s="20" cm="1">
        <f t="array" ref="O407">K407-I407</f>
        <v>0.005</v>
      </c>
      <c r="P407" s="6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ht="13.65" customHeight="1">
      <c r="A408" t="s" s="9">
        <v>33</v>
      </c>
      <c r="B408" s="10">
        <v>45575</v>
      </c>
      <c r="C408" t="s" s="9">
        <v>20</v>
      </c>
      <c r="D408" s="11">
        <v>4</v>
      </c>
      <c r="E408" s="11">
        <v>2</v>
      </c>
      <c r="F408" s="11">
        <v>1</v>
      </c>
      <c r="G408" s="12">
        <v>45572</v>
      </c>
      <c r="H408" s="13">
        <v>1.013</v>
      </c>
      <c r="I408" s="13">
        <v>0.12</v>
      </c>
      <c r="J408" s="13">
        <v>1.14</v>
      </c>
      <c r="K408" s="20" cm="1">
        <f t="array" ref="K408">J408-H408</f>
        <v>0.127</v>
      </c>
      <c r="L408" s="13">
        <v>0.116</v>
      </c>
      <c r="M408" s="13">
        <v>1.32</v>
      </c>
      <c r="N408" s="11">
        <v>14</v>
      </c>
      <c r="O408" s="20" cm="1">
        <f t="array" ref="O408">K408-I408</f>
        <v>0.007</v>
      </c>
      <c r="P408" s="15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ht="13.65" customHeight="1">
      <c r="A409" t="s" s="16">
        <v>33</v>
      </c>
      <c r="B409" s="17">
        <v>45575</v>
      </c>
      <c r="C409" t="s" s="16">
        <v>20</v>
      </c>
      <c r="D409" s="18">
        <v>4</v>
      </c>
      <c r="E409" s="18">
        <v>2</v>
      </c>
      <c r="F409" s="18">
        <v>2</v>
      </c>
      <c r="G409" s="19">
        <v>45572</v>
      </c>
      <c r="H409" s="20">
        <v>1.005</v>
      </c>
      <c r="I409" s="20">
        <v>0.123</v>
      </c>
      <c r="J409" s="20">
        <v>1.134</v>
      </c>
      <c r="K409" s="20" cm="1">
        <f t="array" ref="K409">J409-H409</f>
        <v>0.129</v>
      </c>
      <c r="L409" s="20">
        <v>0.118</v>
      </c>
      <c r="M409" s="20">
        <v>1.32</v>
      </c>
      <c r="N409" s="18">
        <v>14</v>
      </c>
      <c r="O409" s="20" cm="1">
        <f t="array" ref="O409">K409-I409</f>
        <v>0.006</v>
      </c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ht="13.65" customHeight="1">
      <c r="A410" t="s" s="16">
        <v>33</v>
      </c>
      <c r="B410" s="17">
        <v>45575</v>
      </c>
      <c r="C410" t="s" s="16">
        <v>20</v>
      </c>
      <c r="D410" s="18">
        <v>4</v>
      </c>
      <c r="E410" s="18">
        <v>2</v>
      </c>
      <c r="F410" s="18">
        <v>3</v>
      </c>
      <c r="G410" s="19">
        <v>45572</v>
      </c>
      <c r="H410" s="20">
        <v>1.001</v>
      </c>
      <c r="I410" s="20">
        <v>0.121</v>
      </c>
      <c r="J410" s="20">
        <v>1.128</v>
      </c>
      <c r="K410" s="20" cm="1">
        <f t="array" ref="K410">J410-H410</f>
        <v>0.127</v>
      </c>
      <c r="L410" s="20">
        <v>0.11</v>
      </c>
      <c r="M410" s="20">
        <v>1.32</v>
      </c>
      <c r="N410" s="18">
        <v>14</v>
      </c>
      <c r="O410" s="20" cm="1">
        <f t="array" ref="O410">K410-I410</f>
        <v>0.006</v>
      </c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ht="13.65" customHeight="1">
      <c r="A411" t="s" s="22">
        <v>33</v>
      </c>
      <c r="B411" s="23">
        <v>45575</v>
      </c>
      <c r="C411" t="s" s="22">
        <v>20</v>
      </c>
      <c r="D411" s="24">
        <v>4</v>
      </c>
      <c r="E411" s="24">
        <v>2</v>
      </c>
      <c r="F411" s="24">
        <v>4</v>
      </c>
      <c r="G411" s="25">
        <v>45572</v>
      </c>
      <c r="H411" s="26">
        <v>1.014</v>
      </c>
      <c r="I411" s="26">
        <v>0.122</v>
      </c>
      <c r="J411" s="26">
        <v>1.143</v>
      </c>
      <c r="K411" s="20" cm="1">
        <f t="array" ref="K411">J411-H411</f>
        <v>0.129</v>
      </c>
      <c r="L411" s="26">
        <v>0.116</v>
      </c>
      <c r="M411" s="26">
        <v>1.32</v>
      </c>
      <c r="N411" s="24">
        <v>14</v>
      </c>
      <c r="O411" s="20" cm="1">
        <f t="array" ref="O411">K411-I411</f>
        <v>0.007</v>
      </c>
      <c r="P411" s="6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ht="13.65" customHeight="1">
      <c r="A412" t="s" s="9">
        <v>33</v>
      </c>
      <c r="B412" s="10">
        <v>45575</v>
      </c>
      <c r="C412" t="s" s="9">
        <v>20</v>
      </c>
      <c r="D412" s="11">
        <v>8</v>
      </c>
      <c r="E412" s="11">
        <v>1</v>
      </c>
      <c r="F412" s="11">
        <v>1</v>
      </c>
      <c r="G412" s="12">
        <v>45572</v>
      </c>
      <c r="H412" s="13">
        <v>1.013</v>
      </c>
      <c r="I412" s="13">
        <v>0.12</v>
      </c>
      <c r="J412" s="13">
        <v>1.146</v>
      </c>
      <c r="K412" s="20" cm="1">
        <f t="array" ref="K412">J412-H412</f>
        <v>0.133</v>
      </c>
      <c r="L412" s="13">
        <v>0.1</v>
      </c>
      <c r="M412" s="13" cm="1">
        <f t="array" ref="M412">0.125+1.2</f>
        <v>1.325</v>
      </c>
      <c r="N412" s="11">
        <v>14</v>
      </c>
      <c r="O412" s="20" cm="1">
        <f t="array" ref="O412">K412-I412</f>
        <v>0.013</v>
      </c>
      <c r="P412" s="15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ht="13.65" customHeight="1">
      <c r="A413" t="s" s="16">
        <v>33</v>
      </c>
      <c r="B413" s="17">
        <v>45575</v>
      </c>
      <c r="C413" t="s" s="16">
        <v>20</v>
      </c>
      <c r="D413" s="18">
        <v>8</v>
      </c>
      <c r="E413" s="18">
        <v>1</v>
      </c>
      <c r="F413" s="18">
        <v>2</v>
      </c>
      <c r="G413" s="19">
        <v>45572</v>
      </c>
      <c r="H413" s="20">
        <v>1.012</v>
      </c>
      <c r="I413" s="20">
        <v>0.121</v>
      </c>
      <c r="J413" s="20">
        <v>1.146</v>
      </c>
      <c r="K413" s="20" cm="1">
        <f t="array" ref="K413">J413-H413</f>
        <v>0.134</v>
      </c>
      <c r="L413" s="20">
        <v>0.1</v>
      </c>
      <c r="M413" s="20" cm="1">
        <f t="array" ref="M413">0.125+1.2</f>
        <v>1.325</v>
      </c>
      <c r="N413" s="18">
        <v>14</v>
      </c>
      <c r="O413" s="20" cm="1">
        <f t="array" ref="O413">K413-I413</f>
        <v>0.013</v>
      </c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ht="13.65" customHeight="1">
      <c r="A414" t="s" s="16">
        <v>33</v>
      </c>
      <c r="B414" s="17">
        <v>45575</v>
      </c>
      <c r="C414" t="s" s="16">
        <v>20</v>
      </c>
      <c r="D414" s="18">
        <v>8</v>
      </c>
      <c r="E414" s="18">
        <v>1</v>
      </c>
      <c r="F414" s="18">
        <v>3</v>
      </c>
      <c r="G414" s="19">
        <v>45572</v>
      </c>
      <c r="H414" s="20">
        <v>0.999</v>
      </c>
      <c r="I414" s="20">
        <v>0.12</v>
      </c>
      <c r="J414" s="20">
        <v>1.133</v>
      </c>
      <c r="K414" s="20" cm="1">
        <f t="array" ref="K414">J414-H414</f>
        <v>0.134</v>
      </c>
      <c r="L414" s="20">
        <v>0.1</v>
      </c>
      <c r="M414" s="20" cm="1">
        <f t="array" ref="M414">0.125+1.2</f>
        <v>1.325</v>
      </c>
      <c r="N414" s="18">
        <v>14</v>
      </c>
      <c r="O414" s="20" cm="1">
        <f t="array" ref="O414">K414-I414</f>
        <v>0.014</v>
      </c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ht="13.65" customHeight="1">
      <c r="A415" t="s" s="22">
        <v>33</v>
      </c>
      <c r="B415" s="23">
        <v>45575</v>
      </c>
      <c r="C415" t="s" s="22">
        <v>20</v>
      </c>
      <c r="D415" s="24">
        <v>8</v>
      </c>
      <c r="E415" s="24">
        <v>1</v>
      </c>
      <c r="F415" s="24">
        <v>4</v>
      </c>
      <c r="G415" s="25">
        <v>45572</v>
      </c>
      <c r="H415" s="26">
        <v>1.026</v>
      </c>
      <c r="I415" s="26">
        <v>0.12</v>
      </c>
      <c r="J415" s="26">
        <v>1.16</v>
      </c>
      <c r="K415" s="20" cm="1">
        <f t="array" ref="K415">J415-H415</f>
        <v>0.134</v>
      </c>
      <c r="L415" s="26">
        <v>0.102</v>
      </c>
      <c r="M415" s="26" cm="1">
        <f t="array" ref="M415">0.125+1.2</f>
        <v>1.325</v>
      </c>
      <c r="N415" s="24">
        <v>14</v>
      </c>
      <c r="O415" s="20" cm="1">
        <f t="array" ref="O415">K415-I415</f>
        <v>0.014</v>
      </c>
      <c r="P415" s="6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ht="13.65" customHeight="1">
      <c r="A416" t="s" s="9">
        <v>33</v>
      </c>
      <c r="B416" s="10">
        <v>45575</v>
      </c>
      <c r="C416" t="s" s="9">
        <v>20</v>
      </c>
      <c r="D416" s="11">
        <v>8</v>
      </c>
      <c r="E416" s="11">
        <v>2</v>
      </c>
      <c r="F416" s="11">
        <v>1</v>
      </c>
      <c r="G416" s="12">
        <v>45572</v>
      </c>
      <c r="H416" s="13">
        <v>1.035</v>
      </c>
      <c r="I416" s="13">
        <v>0.121</v>
      </c>
      <c r="J416" s="13">
        <v>1.17</v>
      </c>
      <c r="K416" s="20" cm="1">
        <f t="array" ref="K416">J416-H416</f>
        <v>0.135</v>
      </c>
      <c r="L416" s="13">
        <v>0.104</v>
      </c>
      <c r="M416" s="13">
        <v>1.32</v>
      </c>
      <c r="N416" s="11">
        <v>14</v>
      </c>
      <c r="O416" s="20" cm="1">
        <f t="array" ref="O416">K416-I416</f>
        <v>0.014</v>
      </c>
      <c r="P416" t="s" s="9">
        <v>36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ht="13.65" customHeight="1">
      <c r="A417" t="s" s="16">
        <v>33</v>
      </c>
      <c r="B417" s="17">
        <v>45575</v>
      </c>
      <c r="C417" t="s" s="16">
        <v>20</v>
      </c>
      <c r="D417" s="18">
        <v>8</v>
      </c>
      <c r="E417" s="18">
        <v>2</v>
      </c>
      <c r="F417" s="18">
        <v>2</v>
      </c>
      <c r="G417" s="19">
        <v>45572</v>
      </c>
      <c r="H417" s="20">
        <v>1.005</v>
      </c>
      <c r="I417" s="20">
        <v>0.121</v>
      </c>
      <c r="J417" s="20">
        <v>1.14</v>
      </c>
      <c r="K417" s="20" cm="1">
        <f t="array" ref="K417">J417-H417</f>
        <v>0.135</v>
      </c>
      <c r="L417" s="20">
        <v>0.104</v>
      </c>
      <c r="M417" s="20">
        <v>1.32</v>
      </c>
      <c r="N417" s="18">
        <v>14</v>
      </c>
      <c r="O417" s="20" cm="1">
        <f t="array" ref="O417">K417-I417</f>
        <v>0.014</v>
      </c>
      <c r="P417" t="s" s="16">
        <v>36</v>
      </c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ht="13.65" customHeight="1">
      <c r="A418" t="s" s="16">
        <v>33</v>
      </c>
      <c r="B418" s="17">
        <v>45575</v>
      </c>
      <c r="C418" t="s" s="16">
        <v>20</v>
      </c>
      <c r="D418" s="18">
        <v>8</v>
      </c>
      <c r="E418" s="18">
        <v>2</v>
      </c>
      <c r="F418" s="18">
        <v>3</v>
      </c>
      <c r="G418" s="19">
        <v>45572</v>
      </c>
      <c r="H418" s="20">
        <v>1.034</v>
      </c>
      <c r="I418" s="20">
        <v>0.12</v>
      </c>
      <c r="J418" s="20">
        <v>1.168</v>
      </c>
      <c r="K418" s="20" cm="1">
        <f t="array" ref="K418">J418-H418</f>
        <v>0.134</v>
      </c>
      <c r="L418" s="20">
        <v>0.108</v>
      </c>
      <c r="M418" s="20">
        <v>1.32</v>
      </c>
      <c r="N418" s="18">
        <v>14</v>
      </c>
      <c r="O418" s="20" cm="1">
        <f t="array" ref="O418">K418-I418</f>
        <v>0.014</v>
      </c>
      <c r="P418" t="s" s="16">
        <v>36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ht="13.65" customHeight="1">
      <c r="A419" t="s" s="16">
        <v>33</v>
      </c>
      <c r="B419" s="17">
        <v>45575</v>
      </c>
      <c r="C419" t="s" s="22">
        <v>20</v>
      </c>
      <c r="D419" s="24">
        <v>8</v>
      </c>
      <c r="E419" s="24">
        <v>2</v>
      </c>
      <c r="F419" s="24">
        <v>4</v>
      </c>
      <c r="G419" s="25">
        <v>45572</v>
      </c>
      <c r="H419" s="26">
        <v>1.001</v>
      </c>
      <c r="I419" s="26">
        <v>0.119</v>
      </c>
      <c r="J419" s="26">
        <v>1.132</v>
      </c>
      <c r="K419" s="20" cm="1">
        <f t="array" ref="K419">J419-H419</f>
        <v>0.131</v>
      </c>
      <c r="L419" s="26">
        <v>0.1</v>
      </c>
      <c r="M419" s="26">
        <v>1.32</v>
      </c>
      <c r="N419" s="24">
        <v>14</v>
      </c>
      <c r="O419" s="20" cm="1">
        <f t="array" ref="O419">K419-I419</f>
        <v>0.012</v>
      </c>
      <c r="P419" t="s" s="16">
        <v>36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ht="13.65" customHeight="1">
      <c r="A420" t="s" s="16">
        <v>33</v>
      </c>
      <c r="B420" s="17">
        <v>45587</v>
      </c>
      <c r="C420" t="s" s="9">
        <v>19</v>
      </c>
      <c r="D420" s="11">
        <v>4</v>
      </c>
      <c r="E420" s="11">
        <v>1</v>
      </c>
      <c r="F420" s="11">
        <v>1</v>
      </c>
      <c r="G420" s="12">
        <v>45580</v>
      </c>
      <c r="H420" s="13">
        <v>1.021</v>
      </c>
      <c r="I420" s="13">
        <v>0.12</v>
      </c>
      <c r="J420" s="13">
        <v>1.147</v>
      </c>
      <c r="K420" s="20" cm="1">
        <f t="array" ref="K420">J420-H420</f>
        <v>0.126</v>
      </c>
      <c r="L420" s="13">
        <v>0.126</v>
      </c>
      <c r="M420" s="13" cm="1">
        <f t="array" ref="M420">(0.125+1.18)</f>
        <v>1.305</v>
      </c>
      <c r="N420" s="11">
        <v>14</v>
      </c>
      <c r="O420" s="20" cm="1">
        <f t="array" ref="O420">K420-I420</f>
        <v>0.006</v>
      </c>
      <c r="P420" t="s" s="16">
        <v>36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ht="13.65" customHeight="1">
      <c r="A421" t="s" s="16">
        <v>33</v>
      </c>
      <c r="B421" s="17">
        <v>45587</v>
      </c>
      <c r="C421" t="s" s="16">
        <v>19</v>
      </c>
      <c r="D421" s="18">
        <v>4</v>
      </c>
      <c r="E421" s="18">
        <v>1</v>
      </c>
      <c r="F421" s="18">
        <v>2</v>
      </c>
      <c r="G421" s="19">
        <v>45580</v>
      </c>
      <c r="H421" s="20">
        <v>1.013</v>
      </c>
      <c r="I421" s="20">
        <v>0.122</v>
      </c>
      <c r="J421" s="20">
        <v>1.141</v>
      </c>
      <c r="K421" s="20" cm="1">
        <f t="array" ref="K421">J421-H421</f>
        <v>0.128</v>
      </c>
      <c r="L421" s="20">
        <v>0.118</v>
      </c>
      <c r="M421" s="20" cm="1">
        <f t="array" ref="M421">(0.125+1.18)</f>
        <v>1.305</v>
      </c>
      <c r="N421" s="18">
        <v>14</v>
      </c>
      <c r="O421" s="20" cm="1">
        <f t="array" ref="O421">K421-I421</f>
        <v>0.006</v>
      </c>
      <c r="P421" t="s" s="16">
        <v>36</v>
      </c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ht="13.65" customHeight="1">
      <c r="A422" t="s" s="16">
        <v>33</v>
      </c>
      <c r="B422" s="17">
        <v>45587</v>
      </c>
      <c r="C422" t="s" s="16">
        <v>19</v>
      </c>
      <c r="D422" s="18">
        <v>4</v>
      </c>
      <c r="E422" s="18">
        <v>1</v>
      </c>
      <c r="F422" s="18">
        <v>3</v>
      </c>
      <c r="G422" s="19">
        <v>45580</v>
      </c>
      <c r="H422" s="20">
        <v>1.015</v>
      </c>
      <c r="I422" s="20">
        <v>0.124</v>
      </c>
      <c r="J422" s="20">
        <v>1.144</v>
      </c>
      <c r="K422" s="20" cm="1">
        <f t="array" ref="K422">J422-H422</f>
        <v>0.129</v>
      </c>
      <c r="L422" s="20">
        <v>0.122</v>
      </c>
      <c r="M422" s="20" cm="1">
        <f t="array" ref="M422">(0.125+1.18)</f>
        <v>1.305</v>
      </c>
      <c r="N422" s="18">
        <v>14</v>
      </c>
      <c r="O422" s="20" cm="1">
        <f t="array" ref="O422">K422-I422</f>
        <v>0.005</v>
      </c>
      <c r="P422" t="s" s="16">
        <v>36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ht="13.65" customHeight="1">
      <c r="A423" t="s" s="16">
        <v>33</v>
      </c>
      <c r="B423" s="17">
        <v>45587</v>
      </c>
      <c r="C423" t="s" s="22">
        <v>19</v>
      </c>
      <c r="D423" s="24">
        <v>4</v>
      </c>
      <c r="E423" s="24">
        <v>1</v>
      </c>
      <c r="F423" s="24">
        <v>4</v>
      </c>
      <c r="G423" s="19">
        <v>45580</v>
      </c>
      <c r="H423" s="26">
        <v>1.008</v>
      </c>
      <c r="I423" s="26">
        <v>0.121</v>
      </c>
      <c r="J423" s="26">
        <v>1.135</v>
      </c>
      <c r="K423" s="20" cm="1">
        <f t="array" ref="K423">J423-H423</f>
        <v>0.127</v>
      </c>
      <c r="L423" s="26">
        <v>0.12</v>
      </c>
      <c r="M423" s="26" cm="1">
        <f t="array" ref="M423">(0.125+1.18)</f>
        <v>1.305</v>
      </c>
      <c r="N423" s="24">
        <v>14</v>
      </c>
      <c r="O423" s="20" cm="1">
        <f t="array" ref="O423">K423-I423</f>
        <v>0.006</v>
      </c>
      <c r="P423" t="s" s="16">
        <v>36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ht="13.65" customHeight="1">
      <c r="A424" t="s" s="16">
        <v>33</v>
      </c>
      <c r="B424" s="17">
        <v>45587</v>
      </c>
      <c r="C424" t="s" s="9">
        <v>19</v>
      </c>
      <c r="D424" s="11">
        <v>4</v>
      </c>
      <c r="E424" s="11">
        <v>2</v>
      </c>
      <c r="F424" s="11">
        <v>1</v>
      </c>
      <c r="G424" s="19">
        <v>45580</v>
      </c>
      <c r="H424" s="13">
        <v>1.01</v>
      </c>
      <c r="I424" s="13">
        <v>0.122</v>
      </c>
      <c r="J424" s="13">
        <v>1.137</v>
      </c>
      <c r="K424" s="20" cm="1">
        <f t="array" ref="K424">J424-H424</f>
        <v>0.127</v>
      </c>
      <c r="L424" s="13">
        <v>0.12</v>
      </c>
      <c r="M424" s="13">
        <v>1.22</v>
      </c>
      <c r="N424" s="11">
        <v>14</v>
      </c>
      <c r="O424" s="20" cm="1">
        <f t="array" ref="O424">K424-I424</f>
        <v>0.005</v>
      </c>
      <c r="P424" t="s" s="16">
        <v>36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ht="13.65" customHeight="1">
      <c r="A425" t="s" s="16">
        <v>33</v>
      </c>
      <c r="B425" s="17">
        <v>45587</v>
      </c>
      <c r="C425" t="s" s="16">
        <v>19</v>
      </c>
      <c r="D425" s="18">
        <v>4</v>
      </c>
      <c r="E425" s="18">
        <v>2</v>
      </c>
      <c r="F425" s="18">
        <v>2</v>
      </c>
      <c r="G425" s="19">
        <v>45580</v>
      </c>
      <c r="H425" s="20">
        <v>1.01</v>
      </c>
      <c r="I425" s="20">
        <v>0.121</v>
      </c>
      <c r="J425" s="20">
        <v>1.137</v>
      </c>
      <c r="K425" s="20" cm="1">
        <f t="array" ref="K425">J425-H425</f>
        <v>0.127</v>
      </c>
      <c r="L425" s="20">
        <v>0.122</v>
      </c>
      <c r="M425" s="20">
        <v>1.22</v>
      </c>
      <c r="N425" s="18">
        <v>14</v>
      </c>
      <c r="O425" s="20" cm="1">
        <f t="array" ref="O425">K425-I425</f>
        <v>0.006</v>
      </c>
      <c r="P425" t="s" s="16">
        <v>36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ht="13.65" customHeight="1">
      <c r="A426" t="s" s="16">
        <v>33</v>
      </c>
      <c r="B426" s="17">
        <v>45587</v>
      </c>
      <c r="C426" t="s" s="16">
        <v>19</v>
      </c>
      <c r="D426" s="18">
        <v>4</v>
      </c>
      <c r="E426" s="18">
        <v>2</v>
      </c>
      <c r="F426" s="18">
        <v>3</v>
      </c>
      <c r="G426" s="19">
        <v>45580</v>
      </c>
      <c r="H426" s="20">
        <v>1.013</v>
      </c>
      <c r="I426" s="20">
        <v>0.122</v>
      </c>
      <c r="J426" s="20">
        <v>1.138</v>
      </c>
      <c r="K426" s="20" cm="1">
        <f t="array" ref="K426">J426-H426</f>
        <v>0.125</v>
      </c>
      <c r="L426" s="20">
        <v>0.124</v>
      </c>
      <c r="M426" s="20">
        <v>1.22</v>
      </c>
      <c r="N426" s="18">
        <v>14</v>
      </c>
      <c r="O426" s="20" cm="1">
        <f t="array" ref="O426">K426-I426</f>
        <v>0.003</v>
      </c>
      <c r="P426" t="s" s="16">
        <v>36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ht="13.65" customHeight="1">
      <c r="A427" t="s" s="16">
        <v>33</v>
      </c>
      <c r="B427" s="17">
        <v>45587</v>
      </c>
      <c r="C427" t="s" s="22">
        <v>19</v>
      </c>
      <c r="D427" s="24">
        <v>4</v>
      </c>
      <c r="E427" s="24">
        <v>2</v>
      </c>
      <c r="F427" s="24">
        <v>4</v>
      </c>
      <c r="G427" s="19">
        <v>45580</v>
      </c>
      <c r="H427" s="26">
        <v>1.006</v>
      </c>
      <c r="I427" s="26">
        <v>0.121</v>
      </c>
      <c r="J427" s="26">
        <v>1.133</v>
      </c>
      <c r="K427" s="20" cm="1">
        <f t="array" ref="K427">J427-H427</f>
        <v>0.127</v>
      </c>
      <c r="L427" s="26">
        <v>0.12</v>
      </c>
      <c r="M427" s="26">
        <v>1.22</v>
      </c>
      <c r="N427" s="24">
        <v>14</v>
      </c>
      <c r="O427" s="20" cm="1">
        <f t="array" ref="O427">K427-I427</f>
        <v>0.006</v>
      </c>
      <c r="P427" t="s" s="16">
        <v>36</v>
      </c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ht="13.65" customHeight="1">
      <c r="A428" t="s" s="16">
        <v>33</v>
      </c>
      <c r="B428" s="17">
        <v>45587</v>
      </c>
      <c r="C428" t="s" s="9">
        <v>19</v>
      </c>
      <c r="D428" s="11">
        <v>8</v>
      </c>
      <c r="E428" s="11">
        <v>1</v>
      </c>
      <c r="F428" s="11">
        <v>1</v>
      </c>
      <c r="G428" s="19">
        <v>45580</v>
      </c>
      <c r="H428" s="13">
        <v>1.032</v>
      </c>
      <c r="I428" s="13">
        <v>0.121</v>
      </c>
      <c r="J428" s="13">
        <v>1.168</v>
      </c>
      <c r="K428" s="20" cm="1">
        <f t="array" ref="K428">J428-H428</f>
        <v>0.136</v>
      </c>
      <c r="L428" s="13">
        <v>0.1</v>
      </c>
      <c r="M428" s="13" cm="1">
        <f t="array" ref="M428">(0.125+1.11)</f>
        <v>1.235</v>
      </c>
      <c r="N428" s="11">
        <v>14</v>
      </c>
      <c r="O428" s="20" cm="1">
        <f t="array" ref="O428">K428-I428</f>
        <v>0.015</v>
      </c>
      <c r="P428" t="s" s="16">
        <v>36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ht="13.65" customHeight="1">
      <c r="A429" t="s" s="16">
        <v>33</v>
      </c>
      <c r="B429" s="17">
        <v>45587</v>
      </c>
      <c r="C429" t="s" s="16">
        <v>19</v>
      </c>
      <c r="D429" s="18">
        <v>8</v>
      </c>
      <c r="E429" s="18">
        <v>1</v>
      </c>
      <c r="F429" s="18">
        <v>2</v>
      </c>
      <c r="G429" s="19">
        <v>45580</v>
      </c>
      <c r="H429" s="20">
        <v>1.017</v>
      </c>
      <c r="I429" s="20">
        <v>0.12</v>
      </c>
      <c r="J429" s="20">
        <v>1.153</v>
      </c>
      <c r="K429" s="20" cm="1">
        <f t="array" ref="K429">J429-H429</f>
        <v>0.136</v>
      </c>
      <c r="L429" s="20">
        <v>0.105</v>
      </c>
      <c r="M429" s="20" cm="1">
        <f t="array" ref="M429">(0.125+1.11)</f>
        <v>1.235</v>
      </c>
      <c r="N429" s="18">
        <v>14</v>
      </c>
      <c r="O429" s="20" cm="1">
        <f t="array" ref="O429">K429-I429</f>
        <v>0.016</v>
      </c>
      <c r="P429" t="s" s="16">
        <v>36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ht="13.65" customHeight="1">
      <c r="A430" t="s" s="16">
        <v>33</v>
      </c>
      <c r="B430" s="17">
        <v>45587</v>
      </c>
      <c r="C430" t="s" s="16">
        <v>19</v>
      </c>
      <c r="D430" s="18">
        <v>8</v>
      </c>
      <c r="E430" s="18">
        <v>1</v>
      </c>
      <c r="F430" s="18">
        <v>3</v>
      </c>
      <c r="G430" s="19">
        <v>45580</v>
      </c>
      <c r="H430" s="20">
        <v>1.027</v>
      </c>
      <c r="I430" s="20">
        <v>0.122</v>
      </c>
      <c r="J430" s="20">
        <v>1.162</v>
      </c>
      <c r="K430" s="20" cm="1">
        <f t="array" ref="K430">J430-H430</f>
        <v>0.135</v>
      </c>
      <c r="L430" s="20">
        <v>0.1</v>
      </c>
      <c r="M430" s="20" cm="1">
        <f t="array" ref="M430">(0.125+1.11)</f>
        <v>1.235</v>
      </c>
      <c r="N430" s="18">
        <v>14</v>
      </c>
      <c r="O430" s="20" cm="1">
        <f t="array" ref="O430">K430-I430</f>
        <v>0.013</v>
      </c>
      <c r="P430" t="s" s="16">
        <v>36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ht="13.65" customHeight="1">
      <c r="A431" t="s" s="16">
        <v>33</v>
      </c>
      <c r="B431" s="17">
        <v>45587</v>
      </c>
      <c r="C431" t="s" s="22">
        <v>19</v>
      </c>
      <c r="D431" s="24">
        <v>8</v>
      </c>
      <c r="E431" s="24">
        <v>1</v>
      </c>
      <c r="F431" s="24">
        <v>4</v>
      </c>
      <c r="G431" s="19">
        <v>45580</v>
      </c>
      <c r="H431" s="26">
        <v>0.974</v>
      </c>
      <c r="I431" s="26">
        <v>0.12</v>
      </c>
      <c r="J431" s="26">
        <v>1.109</v>
      </c>
      <c r="K431" s="20" cm="1">
        <f t="array" ref="K431">J431-H431</f>
        <v>0.135</v>
      </c>
      <c r="L431" s="26">
        <v>0.1</v>
      </c>
      <c r="M431" s="26">
        <v>1.235</v>
      </c>
      <c r="N431" s="24">
        <v>14</v>
      </c>
      <c r="O431" s="20" cm="1">
        <f t="array" ref="O431">K431-I431</f>
        <v>0.015</v>
      </c>
      <c r="P431" t="s" s="16">
        <v>36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ht="13.65" customHeight="1">
      <c r="A432" t="s" s="16">
        <v>33</v>
      </c>
      <c r="B432" s="17">
        <v>45587</v>
      </c>
      <c r="C432" t="s" s="9">
        <v>19</v>
      </c>
      <c r="D432" s="11">
        <v>8</v>
      </c>
      <c r="E432" s="11">
        <v>2</v>
      </c>
      <c r="F432" s="11">
        <v>1</v>
      </c>
      <c r="G432" s="19">
        <v>45580</v>
      </c>
      <c r="H432" s="13">
        <v>1.032</v>
      </c>
      <c r="I432" s="13">
        <v>0.122</v>
      </c>
      <c r="J432" s="13">
        <v>1.168</v>
      </c>
      <c r="K432" s="20" cm="1">
        <f t="array" ref="K432">J432-H432</f>
        <v>0.136</v>
      </c>
      <c r="L432" s="13">
        <v>0.105</v>
      </c>
      <c r="M432" s="13">
        <v>1.38</v>
      </c>
      <c r="N432" s="11">
        <v>14</v>
      </c>
      <c r="O432" s="20" cm="1">
        <f t="array" ref="O432">K432-I432</f>
        <v>0.014</v>
      </c>
      <c r="P432" t="s" s="16">
        <v>36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ht="13.65" customHeight="1">
      <c r="A433" t="s" s="16">
        <v>33</v>
      </c>
      <c r="B433" s="17">
        <v>45587</v>
      </c>
      <c r="C433" t="s" s="16">
        <v>19</v>
      </c>
      <c r="D433" s="18">
        <v>8</v>
      </c>
      <c r="E433" s="18">
        <v>2</v>
      </c>
      <c r="F433" s="18">
        <v>2</v>
      </c>
      <c r="G433" s="19">
        <v>45580</v>
      </c>
      <c r="H433" s="20">
        <v>1.042</v>
      </c>
      <c r="I433" s="20">
        <v>0.12</v>
      </c>
      <c r="J433" s="20">
        <v>1.175</v>
      </c>
      <c r="K433" s="20" cm="1">
        <f t="array" ref="K433">J433-H433</f>
        <v>0.133</v>
      </c>
      <c r="L433" s="20">
        <v>0.106</v>
      </c>
      <c r="M433" s="20">
        <v>1.38</v>
      </c>
      <c r="N433" s="18">
        <v>14</v>
      </c>
      <c r="O433" s="20" cm="1">
        <f t="array" ref="O433">K433-I433</f>
        <v>0.013</v>
      </c>
      <c r="P433" t="s" s="16">
        <v>36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ht="13.65" customHeight="1">
      <c r="A434" t="s" s="16">
        <v>33</v>
      </c>
      <c r="B434" s="17">
        <v>45587</v>
      </c>
      <c r="C434" t="s" s="16">
        <v>19</v>
      </c>
      <c r="D434" s="18">
        <v>8</v>
      </c>
      <c r="E434" s="18">
        <v>2</v>
      </c>
      <c r="F434" s="18">
        <v>3</v>
      </c>
      <c r="G434" s="19">
        <v>45580</v>
      </c>
      <c r="H434" s="20">
        <v>1.029</v>
      </c>
      <c r="I434" s="20">
        <v>0.121</v>
      </c>
      <c r="J434" s="20">
        <v>1.164</v>
      </c>
      <c r="K434" s="20" cm="1">
        <f t="array" ref="K434">J434-H434</f>
        <v>0.135</v>
      </c>
      <c r="L434" s="20">
        <v>0.098</v>
      </c>
      <c r="M434" s="20">
        <v>1.38</v>
      </c>
      <c r="N434" s="18">
        <v>14</v>
      </c>
      <c r="O434" s="20" cm="1">
        <f t="array" ref="O434">K434-I434</f>
        <v>0.014</v>
      </c>
      <c r="P434" t="s" s="16">
        <v>37</v>
      </c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ht="13.65" customHeight="1">
      <c r="A435" t="s" s="16">
        <v>33</v>
      </c>
      <c r="B435" s="17">
        <v>45587</v>
      </c>
      <c r="C435" t="s" s="22">
        <v>19</v>
      </c>
      <c r="D435" s="24">
        <v>8</v>
      </c>
      <c r="E435" s="24">
        <v>2</v>
      </c>
      <c r="F435" s="24">
        <v>4</v>
      </c>
      <c r="G435" s="19">
        <v>45580</v>
      </c>
      <c r="H435" s="26">
        <v>1.029</v>
      </c>
      <c r="I435" s="26">
        <v>0.123</v>
      </c>
      <c r="J435" s="26">
        <v>1.167</v>
      </c>
      <c r="K435" s="20" cm="1">
        <f t="array" ref="K435">J435-H435</f>
        <v>0.138</v>
      </c>
      <c r="L435" s="26">
        <v>0.1</v>
      </c>
      <c r="M435" s="26">
        <v>1.38</v>
      </c>
      <c r="N435" s="24">
        <v>14</v>
      </c>
      <c r="O435" s="20" cm="1">
        <f t="array" ref="O435">K435-I435</f>
        <v>0.015</v>
      </c>
      <c r="P435" t="s" s="22">
        <v>36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ht="13.65" customHeight="1">
      <c r="A436" t="s" s="16">
        <v>33</v>
      </c>
      <c r="B436" s="17">
        <v>45587</v>
      </c>
      <c r="C436" t="s" s="9">
        <v>20</v>
      </c>
      <c r="D436" s="11">
        <v>4</v>
      </c>
      <c r="E436" s="11">
        <v>1</v>
      </c>
      <c r="F436" s="11">
        <v>1</v>
      </c>
      <c r="G436" s="19">
        <v>45586</v>
      </c>
      <c r="H436" s="13">
        <v>0.993</v>
      </c>
      <c r="I436" s="13">
        <v>0.122</v>
      </c>
      <c r="J436" s="13">
        <v>1.121</v>
      </c>
      <c r="K436" s="20" cm="1">
        <f t="array" ref="K436">J436-H436</f>
        <v>0.128</v>
      </c>
      <c r="L436" s="13">
        <v>0.11</v>
      </c>
      <c r="M436" s="13" cm="1">
        <f t="array" ref="M436">(1.2+0.125)</f>
        <v>1.325</v>
      </c>
      <c r="N436" s="11">
        <v>14</v>
      </c>
      <c r="O436" s="20" cm="1">
        <f t="array" ref="O436">K436-I436</f>
        <v>0.006</v>
      </c>
      <c r="P436" s="15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ht="13.65" customHeight="1">
      <c r="A437" t="s" s="16">
        <v>33</v>
      </c>
      <c r="B437" s="17">
        <v>45587</v>
      </c>
      <c r="C437" t="s" s="16">
        <v>20</v>
      </c>
      <c r="D437" s="18">
        <v>4</v>
      </c>
      <c r="E437" s="18">
        <v>1</v>
      </c>
      <c r="F437" s="18">
        <v>2</v>
      </c>
      <c r="G437" s="19">
        <v>45586</v>
      </c>
      <c r="H437" s="20">
        <v>0.996</v>
      </c>
      <c r="I437" s="20">
        <v>0.121</v>
      </c>
      <c r="J437" s="20">
        <v>1.126</v>
      </c>
      <c r="K437" s="20" cm="1">
        <f t="array" ref="K437">J437-H437</f>
        <v>0.13</v>
      </c>
      <c r="L437" s="20">
        <v>0.108</v>
      </c>
      <c r="M437" s="20" cm="1">
        <f t="array" ref="M437">(1.2+0.125)</f>
        <v>1.325</v>
      </c>
      <c r="N437" s="18">
        <v>14</v>
      </c>
      <c r="O437" s="20" cm="1">
        <f t="array" ref="O437">K437-I437</f>
        <v>0.008999999999999999</v>
      </c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ht="13.65" customHeight="1">
      <c r="A438" t="s" s="16">
        <v>33</v>
      </c>
      <c r="B438" s="17">
        <v>45587</v>
      </c>
      <c r="C438" t="s" s="16">
        <v>20</v>
      </c>
      <c r="D438" s="18">
        <v>4</v>
      </c>
      <c r="E438" s="18">
        <v>1</v>
      </c>
      <c r="F438" s="18">
        <v>3</v>
      </c>
      <c r="G438" s="19">
        <v>45586</v>
      </c>
      <c r="H438" s="20">
        <v>0.996</v>
      </c>
      <c r="I438" s="20">
        <v>0.122</v>
      </c>
      <c r="J438" s="20">
        <v>1.126</v>
      </c>
      <c r="K438" s="20" cm="1">
        <f t="array" ref="K438">J438-H438</f>
        <v>0.13</v>
      </c>
      <c r="L438" s="20">
        <v>0.112</v>
      </c>
      <c r="M438" s="20" cm="1">
        <f t="array" ref="M438">(1.2+0.125)</f>
        <v>1.325</v>
      </c>
      <c r="N438" s="18">
        <v>14</v>
      </c>
      <c r="O438" s="20" cm="1">
        <f t="array" ref="O438">K438-I438</f>
        <v>0.008</v>
      </c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ht="13.65" customHeight="1">
      <c r="A439" t="s" s="16">
        <v>33</v>
      </c>
      <c r="B439" s="17">
        <v>45587</v>
      </c>
      <c r="C439" t="s" s="22">
        <v>20</v>
      </c>
      <c r="D439" s="24">
        <v>4</v>
      </c>
      <c r="E439" s="24">
        <v>1</v>
      </c>
      <c r="F439" s="24">
        <v>4</v>
      </c>
      <c r="G439" s="19">
        <v>45586</v>
      </c>
      <c r="H439" s="26">
        <v>1.001</v>
      </c>
      <c r="I439" s="26">
        <v>0.119</v>
      </c>
      <c r="J439" s="26">
        <v>1.129</v>
      </c>
      <c r="K439" s="20" cm="1">
        <f t="array" ref="K439">J439-H439</f>
        <v>0.128</v>
      </c>
      <c r="L439" s="26">
        <v>0.112</v>
      </c>
      <c r="M439" s="26" cm="1">
        <f t="array" ref="M439">(1.2+0.125)</f>
        <v>1.325</v>
      </c>
      <c r="N439" s="24">
        <v>14</v>
      </c>
      <c r="O439" s="20" cm="1">
        <f t="array" ref="O439">K439-I439</f>
        <v>0.008999999999999999</v>
      </c>
      <c r="P439" s="6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ht="13.65" customHeight="1">
      <c r="A440" t="s" s="16">
        <v>33</v>
      </c>
      <c r="B440" s="17">
        <v>45587</v>
      </c>
      <c r="C440" t="s" s="9">
        <v>20</v>
      </c>
      <c r="D440" s="11">
        <v>4</v>
      </c>
      <c r="E440" s="11">
        <v>2</v>
      </c>
      <c r="F440" s="11">
        <v>1</v>
      </c>
      <c r="G440" s="19">
        <v>45586</v>
      </c>
      <c r="H440" s="13">
        <v>1.002</v>
      </c>
      <c r="I440" s="13">
        <v>0.122</v>
      </c>
      <c r="J440" s="13">
        <v>1.13</v>
      </c>
      <c r="K440" s="20" cm="1">
        <f t="array" ref="K440">J440-H440</f>
        <v>0.128</v>
      </c>
      <c r="L440" s="13">
        <v>0.108</v>
      </c>
      <c r="M440" s="13">
        <v>1.36</v>
      </c>
      <c r="N440" s="11">
        <v>14</v>
      </c>
      <c r="O440" s="20" cm="1">
        <f t="array" ref="O440">K440-I440</f>
        <v>0.006</v>
      </c>
      <c r="P440" s="15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ht="13.65" customHeight="1">
      <c r="A441" t="s" s="16">
        <v>33</v>
      </c>
      <c r="B441" s="17">
        <v>45587</v>
      </c>
      <c r="C441" t="s" s="16">
        <v>20</v>
      </c>
      <c r="D441" s="18">
        <v>4</v>
      </c>
      <c r="E441" s="18">
        <v>2</v>
      </c>
      <c r="F441" s="18">
        <v>2</v>
      </c>
      <c r="G441" s="19">
        <v>45586</v>
      </c>
      <c r="H441" s="20">
        <v>1.005</v>
      </c>
      <c r="I441" s="20">
        <v>0.124</v>
      </c>
      <c r="J441" s="20">
        <v>1.137</v>
      </c>
      <c r="K441" s="20" cm="1">
        <f t="array" ref="K441">J441-H441</f>
        <v>0.132</v>
      </c>
      <c r="L441" s="20">
        <v>0.11</v>
      </c>
      <c r="M441" s="20">
        <v>1.36</v>
      </c>
      <c r="N441" s="18">
        <v>14</v>
      </c>
      <c r="O441" s="20" cm="1">
        <f t="array" ref="O441">K441-I441</f>
        <v>0.008</v>
      </c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ht="13.65" customHeight="1">
      <c r="A442" t="s" s="16">
        <v>33</v>
      </c>
      <c r="B442" s="17">
        <v>45587</v>
      </c>
      <c r="C442" t="s" s="16">
        <v>20</v>
      </c>
      <c r="D442" s="18">
        <v>4</v>
      </c>
      <c r="E442" s="18">
        <v>2</v>
      </c>
      <c r="F442" s="18">
        <v>3</v>
      </c>
      <c r="G442" s="19">
        <v>45586</v>
      </c>
      <c r="H442" s="20">
        <v>0.995</v>
      </c>
      <c r="I442" s="20">
        <v>0.121</v>
      </c>
      <c r="J442" s="20">
        <v>1.124</v>
      </c>
      <c r="K442" s="20" cm="1">
        <f t="array" ref="K442">J442-H442</f>
        <v>0.129</v>
      </c>
      <c r="L442" s="20">
        <v>0.108</v>
      </c>
      <c r="M442" s="20">
        <v>1.36</v>
      </c>
      <c r="N442" s="18">
        <v>14</v>
      </c>
      <c r="O442" s="20" cm="1">
        <f t="array" ref="O442">K442-I442</f>
        <v>0.008</v>
      </c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ht="13.65" customHeight="1">
      <c r="A443" t="s" s="16">
        <v>33</v>
      </c>
      <c r="B443" s="17">
        <v>45587</v>
      </c>
      <c r="C443" t="s" s="22">
        <v>20</v>
      </c>
      <c r="D443" s="24">
        <v>4</v>
      </c>
      <c r="E443" s="24">
        <v>2</v>
      </c>
      <c r="F443" s="24">
        <v>4</v>
      </c>
      <c r="G443" s="19">
        <v>45586</v>
      </c>
      <c r="H443" s="26">
        <v>0.991</v>
      </c>
      <c r="I443" s="26">
        <v>0.12</v>
      </c>
      <c r="J443" s="26">
        <v>1.118</v>
      </c>
      <c r="K443" s="20" cm="1">
        <f t="array" ref="K443">J443-H443</f>
        <v>0.127</v>
      </c>
      <c r="L443" s="26">
        <v>0.108</v>
      </c>
      <c r="M443" s="26">
        <v>1.36</v>
      </c>
      <c r="N443" s="24">
        <v>14</v>
      </c>
      <c r="O443" s="20" cm="1">
        <f t="array" ref="O443">K443-I443</f>
        <v>0.007</v>
      </c>
      <c r="P443" s="6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ht="13.65" customHeight="1">
      <c r="A444" t="s" s="16">
        <v>33</v>
      </c>
      <c r="B444" s="17">
        <v>45587</v>
      </c>
      <c r="C444" t="s" s="9">
        <v>20</v>
      </c>
      <c r="D444" s="11">
        <v>8</v>
      </c>
      <c r="E444" s="11">
        <v>1</v>
      </c>
      <c r="F444" s="11">
        <v>1</v>
      </c>
      <c r="G444" s="19">
        <v>45586</v>
      </c>
      <c r="H444" s="13">
        <v>1.003</v>
      </c>
      <c r="I444" s="13">
        <v>0.125</v>
      </c>
      <c r="J444" s="13">
        <v>1.145</v>
      </c>
      <c r="K444" s="20" cm="1">
        <f t="array" ref="K444">J444-H444</f>
        <v>0.142</v>
      </c>
      <c r="L444" s="13">
        <v>0.098</v>
      </c>
      <c r="M444" s="13" cm="1">
        <f t="array" ref="M444">(1.25+0.125)</f>
        <v>1.375</v>
      </c>
      <c r="N444" s="11">
        <v>14</v>
      </c>
      <c r="O444" s="20" cm="1">
        <f t="array" ref="O444">K444-I444</f>
        <v>0.017</v>
      </c>
      <c r="P444" s="15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ht="13.65" customHeight="1">
      <c r="A445" t="s" s="16">
        <v>33</v>
      </c>
      <c r="B445" s="17">
        <v>45587</v>
      </c>
      <c r="C445" t="s" s="16">
        <v>20</v>
      </c>
      <c r="D445" s="18">
        <v>8</v>
      </c>
      <c r="E445" s="18">
        <v>1</v>
      </c>
      <c r="F445" s="18">
        <v>2</v>
      </c>
      <c r="G445" s="19">
        <v>45586</v>
      </c>
      <c r="H445" s="20">
        <v>0.995</v>
      </c>
      <c r="I445" s="20">
        <v>0.121</v>
      </c>
      <c r="J445" s="20">
        <v>1.131</v>
      </c>
      <c r="K445" s="20" cm="1">
        <f t="array" ref="K445">J445-H445</f>
        <v>0.136</v>
      </c>
      <c r="L445" s="20">
        <v>0.1</v>
      </c>
      <c r="M445" s="20" cm="1">
        <f t="array" ref="M445">(1.25+0.125)</f>
        <v>1.375</v>
      </c>
      <c r="N445" s="18">
        <v>14</v>
      </c>
      <c r="O445" s="20" cm="1">
        <f t="array" ref="O445">K445-I445</f>
        <v>0.015</v>
      </c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ht="13.65" customHeight="1">
      <c r="A446" t="s" s="16">
        <v>33</v>
      </c>
      <c r="B446" s="17">
        <v>45587</v>
      </c>
      <c r="C446" t="s" s="16">
        <v>20</v>
      </c>
      <c r="D446" s="18">
        <v>8</v>
      </c>
      <c r="E446" s="18">
        <v>1</v>
      </c>
      <c r="F446" s="18">
        <v>3</v>
      </c>
      <c r="G446" s="19">
        <v>45586</v>
      </c>
      <c r="H446" s="20">
        <v>0.992</v>
      </c>
      <c r="I446" s="20">
        <v>0.12</v>
      </c>
      <c r="J446" s="20">
        <v>1.127</v>
      </c>
      <c r="K446" s="20" cm="1">
        <f t="array" ref="K446">J446-H446</f>
        <v>0.135</v>
      </c>
      <c r="L446" s="20">
        <v>0.102</v>
      </c>
      <c r="M446" s="20" cm="1">
        <f t="array" ref="M446">(1.25+0.125)</f>
        <v>1.375</v>
      </c>
      <c r="N446" s="18">
        <v>14</v>
      </c>
      <c r="O446" s="20" cm="1">
        <f t="array" ref="O446">K446-I446</f>
        <v>0.015</v>
      </c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ht="13.65" customHeight="1">
      <c r="A447" t="s" s="16">
        <v>33</v>
      </c>
      <c r="B447" s="17">
        <v>45587</v>
      </c>
      <c r="C447" t="s" s="22">
        <v>20</v>
      </c>
      <c r="D447" s="24">
        <v>8</v>
      </c>
      <c r="E447" s="24">
        <v>1</v>
      </c>
      <c r="F447" s="24">
        <v>4</v>
      </c>
      <c r="G447" s="19">
        <v>45586</v>
      </c>
      <c r="H447" s="26">
        <v>1.005</v>
      </c>
      <c r="I447" s="26">
        <v>0.122</v>
      </c>
      <c r="J447" s="26">
        <v>1.141</v>
      </c>
      <c r="K447" s="20" cm="1">
        <f t="array" ref="K447">J447-H447</f>
        <v>0.136</v>
      </c>
      <c r="L447" s="26">
        <v>0.1</v>
      </c>
      <c r="M447" s="26" cm="1">
        <f t="array" ref="M447">(1.25+0.125)</f>
        <v>1.375</v>
      </c>
      <c r="N447" s="24">
        <v>14</v>
      </c>
      <c r="O447" s="20" cm="1">
        <f t="array" ref="O447">K447-I447</f>
        <v>0.014</v>
      </c>
      <c r="P447" s="6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ht="13.65" customHeight="1">
      <c r="A448" t="s" s="16">
        <v>33</v>
      </c>
      <c r="B448" s="17">
        <v>45587</v>
      </c>
      <c r="C448" t="s" s="9">
        <v>20</v>
      </c>
      <c r="D448" s="11">
        <v>8</v>
      </c>
      <c r="E448" s="11">
        <v>2</v>
      </c>
      <c r="F448" s="11">
        <v>1</v>
      </c>
      <c r="G448" s="19">
        <v>45586</v>
      </c>
      <c r="H448" s="13">
        <v>0.997</v>
      </c>
      <c r="I448" s="13">
        <v>0.12</v>
      </c>
      <c r="J448" s="13">
        <v>1.141</v>
      </c>
      <c r="K448" s="20" cm="1">
        <f t="array" ref="K448">J448-H448</f>
        <v>0.144</v>
      </c>
      <c r="L448" s="13">
        <v>0.1</v>
      </c>
      <c r="M448" s="13">
        <v>1.41</v>
      </c>
      <c r="N448" s="11">
        <v>14</v>
      </c>
      <c r="O448" s="20" cm="1">
        <f t="array" ref="O448">K448-I448</f>
        <v>0.024</v>
      </c>
      <c r="P448" s="15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ht="13.65" customHeight="1">
      <c r="A449" t="s" s="16">
        <v>33</v>
      </c>
      <c r="B449" s="17">
        <v>45587</v>
      </c>
      <c r="C449" t="s" s="16">
        <v>20</v>
      </c>
      <c r="D449" s="18">
        <v>8</v>
      </c>
      <c r="E449" s="18">
        <v>2</v>
      </c>
      <c r="F449" s="18">
        <v>2</v>
      </c>
      <c r="G449" s="19">
        <v>45586</v>
      </c>
      <c r="H449" s="20">
        <v>1.005</v>
      </c>
      <c r="I449" s="20">
        <v>0.12</v>
      </c>
      <c r="J449" s="20">
        <v>1.147</v>
      </c>
      <c r="K449" s="20" cm="1">
        <f t="array" ref="K449">J449-H449</f>
        <v>0.142</v>
      </c>
      <c r="L449" s="20">
        <v>0.102</v>
      </c>
      <c r="M449" s="20">
        <v>1.41</v>
      </c>
      <c r="N449" s="18">
        <v>14</v>
      </c>
      <c r="O449" s="20" cm="1">
        <f t="array" ref="O449">K449-I449</f>
        <v>0.022</v>
      </c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ht="13.65" customHeight="1">
      <c r="A450" t="s" s="16">
        <v>33</v>
      </c>
      <c r="B450" s="17">
        <v>45587</v>
      </c>
      <c r="C450" t="s" s="16">
        <v>20</v>
      </c>
      <c r="D450" s="18">
        <v>8</v>
      </c>
      <c r="E450" s="18">
        <v>2</v>
      </c>
      <c r="F450" s="18">
        <v>3</v>
      </c>
      <c r="G450" s="19">
        <v>45586</v>
      </c>
      <c r="H450" s="20">
        <v>1.031</v>
      </c>
      <c r="I450" s="20">
        <v>0.119</v>
      </c>
      <c r="J450" s="20">
        <v>1.171</v>
      </c>
      <c r="K450" s="20" cm="1">
        <f t="array" ref="K450">J450-H450</f>
        <v>0.14</v>
      </c>
      <c r="L450" s="20">
        <v>0.1</v>
      </c>
      <c r="M450" s="20">
        <v>1.41</v>
      </c>
      <c r="N450" s="18">
        <v>14</v>
      </c>
      <c r="O450" s="20" cm="1">
        <f t="array" ref="O450">K450-I450</f>
        <v>0.021</v>
      </c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ht="13.65" customHeight="1">
      <c r="A451" t="s" s="16">
        <v>33</v>
      </c>
      <c r="B451" s="17">
        <v>45587</v>
      </c>
      <c r="C451" t="s" s="22">
        <v>20</v>
      </c>
      <c r="D451" s="24">
        <v>8</v>
      </c>
      <c r="E451" s="24">
        <v>2</v>
      </c>
      <c r="F451" s="24">
        <v>4</v>
      </c>
      <c r="G451" s="19">
        <v>45586</v>
      </c>
      <c r="H451" s="26">
        <v>1.017</v>
      </c>
      <c r="I451" s="26">
        <v>0.122</v>
      </c>
      <c r="J451" s="26">
        <v>1.161</v>
      </c>
      <c r="K451" s="20" cm="1">
        <f t="array" ref="K451">J451-H451</f>
        <v>0.144</v>
      </c>
      <c r="L451" s="26">
        <v>0.1</v>
      </c>
      <c r="M451" s="26">
        <v>1.41</v>
      </c>
      <c r="N451" s="24">
        <v>14</v>
      </c>
      <c r="O451" s="20" cm="1">
        <f t="array" ref="O451">K451-I451</f>
        <v>0.022</v>
      </c>
      <c r="P451" s="6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ht="13.65" customHeight="1">
      <c r="A452" t="s" s="16">
        <v>33</v>
      </c>
      <c r="B452" s="42">
        <v>45596</v>
      </c>
      <c r="C452" t="s" s="9">
        <v>19</v>
      </c>
      <c r="D452" s="11">
        <v>4</v>
      </c>
      <c r="E452" s="11">
        <v>1</v>
      </c>
      <c r="F452" s="11">
        <v>1</v>
      </c>
      <c r="G452" s="19">
        <v>45594</v>
      </c>
      <c r="H452" s="13">
        <v>1.033</v>
      </c>
      <c r="I452" s="13">
        <v>0.122</v>
      </c>
      <c r="J452" s="13">
        <v>1.162</v>
      </c>
      <c r="K452" s="20" cm="1">
        <f t="array" ref="K452">J452-H452</f>
        <v>0.129</v>
      </c>
      <c r="L452" s="13">
        <v>0.11</v>
      </c>
      <c r="M452" s="13" cm="1">
        <f t="array" ref="M452">(1.21+0.125)</f>
        <v>1.335</v>
      </c>
      <c r="N452" s="11">
        <v>14</v>
      </c>
      <c r="O452" s="20" cm="1">
        <f t="array" ref="O452">K452-I452</f>
        <v>0.007</v>
      </c>
      <c r="P452" s="15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ht="13.65" customHeight="1">
      <c r="A453" t="s" s="43">
        <v>33</v>
      </c>
      <c r="B453" s="44">
        <v>45596</v>
      </c>
      <c r="C453" t="s" s="45">
        <v>19</v>
      </c>
      <c r="D453" s="18">
        <v>4</v>
      </c>
      <c r="E453" s="18">
        <v>1</v>
      </c>
      <c r="F453" s="18">
        <v>2</v>
      </c>
      <c r="G453" s="19">
        <v>45594</v>
      </c>
      <c r="H453" s="20">
        <v>0.998</v>
      </c>
      <c r="I453" s="20">
        <v>0.122</v>
      </c>
      <c r="J453" s="20">
        <v>1.128</v>
      </c>
      <c r="K453" s="20" cm="1">
        <f t="array" ref="K453">J453-H453</f>
        <v>0.13</v>
      </c>
      <c r="L453" s="20">
        <v>0.112</v>
      </c>
      <c r="M453" s="20" cm="1">
        <f t="array" ref="M453">(1.21+0.125)</f>
        <v>1.335</v>
      </c>
      <c r="N453" s="18">
        <v>14</v>
      </c>
      <c r="O453" s="20" cm="1">
        <f t="array" ref="O453">K453-I453</f>
        <v>0.008</v>
      </c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ht="13.65" customHeight="1">
      <c r="A454" t="s" s="43">
        <v>33</v>
      </c>
      <c r="B454" s="44">
        <v>45596</v>
      </c>
      <c r="C454" t="s" s="45">
        <v>19</v>
      </c>
      <c r="D454" s="18">
        <v>4</v>
      </c>
      <c r="E454" s="18">
        <v>1</v>
      </c>
      <c r="F454" s="18">
        <v>3</v>
      </c>
      <c r="G454" s="19">
        <v>45594</v>
      </c>
      <c r="H454" s="20">
        <v>1.003</v>
      </c>
      <c r="I454" s="20">
        <v>0.119</v>
      </c>
      <c r="J454" s="20">
        <v>1.128</v>
      </c>
      <c r="K454" s="20" cm="1">
        <f t="array" ref="K454">J454-H454</f>
        <v>0.125</v>
      </c>
      <c r="L454" s="20">
        <v>0.11</v>
      </c>
      <c r="M454" s="20" cm="1">
        <f t="array" ref="M454">(1.21+0.125)</f>
        <v>1.335</v>
      </c>
      <c r="N454" s="18">
        <v>14</v>
      </c>
      <c r="O454" s="20" cm="1">
        <f t="array" ref="O454">K454-I454</f>
        <v>0.006</v>
      </c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ht="13.65" customHeight="1">
      <c r="A455" t="s" s="43">
        <v>33</v>
      </c>
      <c r="B455" s="44">
        <v>45596</v>
      </c>
      <c r="C455" t="s" s="46">
        <v>19</v>
      </c>
      <c r="D455" s="24">
        <v>4</v>
      </c>
      <c r="E455" s="24">
        <v>1</v>
      </c>
      <c r="F455" s="24">
        <v>4</v>
      </c>
      <c r="G455" s="19">
        <v>45594</v>
      </c>
      <c r="H455" s="26">
        <v>0.992</v>
      </c>
      <c r="I455" s="26">
        <v>0.121</v>
      </c>
      <c r="J455" s="26">
        <v>1.118</v>
      </c>
      <c r="K455" s="20" cm="1">
        <f t="array" ref="K455">J455-H455</f>
        <v>0.126</v>
      </c>
      <c r="L455" s="26">
        <v>0.114</v>
      </c>
      <c r="M455" s="20" cm="1">
        <f t="array" ref="M455">(1.21+0.125)</f>
        <v>1.335</v>
      </c>
      <c r="N455" s="24">
        <v>14</v>
      </c>
      <c r="O455" s="20" cm="1">
        <f t="array" ref="O455">K455-I455</f>
        <v>0.005</v>
      </c>
      <c r="P455" s="6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ht="13.65" customHeight="1">
      <c r="A456" t="s" s="43">
        <v>33</v>
      </c>
      <c r="B456" s="44">
        <v>45596</v>
      </c>
      <c r="C456" t="s" s="47">
        <v>19</v>
      </c>
      <c r="D456" s="11">
        <v>4</v>
      </c>
      <c r="E456" s="11">
        <v>2</v>
      </c>
      <c r="F456" s="11">
        <v>1</v>
      </c>
      <c r="G456" s="19">
        <v>45594</v>
      </c>
      <c r="H456" s="13">
        <v>1.027</v>
      </c>
      <c r="I456" s="13">
        <v>0.122</v>
      </c>
      <c r="J456" s="13">
        <v>1.155</v>
      </c>
      <c r="K456" s="20" cm="1">
        <f t="array" ref="K456">J456-H456</f>
        <v>0.128</v>
      </c>
      <c r="L456" s="13">
        <v>0.112</v>
      </c>
      <c r="M456" s="20">
        <v>1.28</v>
      </c>
      <c r="N456" s="11">
        <v>14</v>
      </c>
      <c r="O456" s="20" cm="1">
        <f t="array" ref="O456">K456-I456</f>
        <v>0.006</v>
      </c>
      <c r="P456" s="15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ht="13.65" customHeight="1">
      <c r="A457" t="s" s="43">
        <v>33</v>
      </c>
      <c r="B457" s="44">
        <v>45596</v>
      </c>
      <c r="C457" t="s" s="45">
        <v>19</v>
      </c>
      <c r="D457" s="18">
        <v>4</v>
      </c>
      <c r="E457" s="18">
        <v>2</v>
      </c>
      <c r="F457" s="18">
        <v>2</v>
      </c>
      <c r="G457" s="19">
        <v>45594</v>
      </c>
      <c r="H457" s="20">
        <v>1.038</v>
      </c>
      <c r="I457" s="20">
        <v>0.123</v>
      </c>
      <c r="J457" s="20">
        <v>1.168</v>
      </c>
      <c r="K457" s="20" cm="1">
        <f t="array" ref="K457">J457-H457</f>
        <v>0.13</v>
      </c>
      <c r="L457" s="20">
        <v>0.114</v>
      </c>
      <c r="M457" s="20">
        <v>1.28</v>
      </c>
      <c r="N457" s="18">
        <v>14</v>
      </c>
      <c r="O457" s="20" cm="1">
        <f t="array" ref="O457">K457-I457</f>
        <v>0.007</v>
      </c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ht="13.65" customHeight="1">
      <c r="A458" t="s" s="43">
        <v>33</v>
      </c>
      <c r="B458" s="44">
        <v>45596</v>
      </c>
      <c r="C458" t="s" s="45">
        <v>19</v>
      </c>
      <c r="D458" s="18">
        <v>4</v>
      </c>
      <c r="E458" s="18">
        <v>2</v>
      </c>
      <c r="F458" s="18">
        <v>3</v>
      </c>
      <c r="G458" s="19">
        <v>45594</v>
      </c>
      <c r="H458" s="20">
        <v>1.03</v>
      </c>
      <c r="I458" s="20">
        <v>0.121</v>
      </c>
      <c r="J458" s="20">
        <v>1.157</v>
      </c>
      <c r="K458" s="20" cm="1">
        <f t="array" ref="K458">J458-H458</f>
        <v>0.127</v>
      </c>
      <c r="L458" s="20">
        <v>0.116</v>
      </c>
      <c r="M458" s="20">
        <v>1.28</v>
      </c>
      <c r="N458" s="18">
        <v>14</v>
      </c>
      <c r="O458" s="20" cm="1">
        <f t="array" ref="O458">K458-I458</f>
        <v>0.006</v>
      </c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ht="13.65" customHeight="1">
      <c r="A459" t="s" s="43">
        <v>33</v>
      </c>
      <c r="B459" s="44">
        <v>45596</v>
      </c>
      <c r="C459" t="s" s="46">
        <v>19</v>
      </c>
      <c r="D459" s="24">
        <v>4</v>
      </c>
      <c r="E459" s="24">
        <v>2</v>
      </c>
      <c r="F459" s="24">
        <v>4</v>
      </c>
      <c r="G459" s="19">
        <v>45594</v>
      </c>
      <c r="H459" s="26">
        <v>1.033</v>
      </c>
      <c r="I459" s="26">
        <v>0.121</v>
      </c>
      <c r="J459" s="26">
        <v>1.161</v>
      </c>
      <c r="K459" s="20" cm="1">
        <f t="array" ref="K459">J459-H459</f>
        <v>0.128</v>
      </c>
      <c r="L459" s="26">
        <v>0.114</v>
      </c>
      <c r="M459" s="20">
        <v>1.28</v>
      </c>
      <c r="N459" s="24">
        <v>14</v>
      </c>
      <c r="O459" s="20" cm="1">
        <f t="array" ref="O459">K459-I459</f>
        <v>0.007</v>
      </c>
      <c r="P459" s="6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ht="13.65" customHeight="1">
      <c r="A460" t="s" s="43">
        <v>33</v>
      </c>
      <c r="B460" s="44">
        <v>45596</v>
      </c>
      <c r="C460" t="s" s="47">
        <v>19</v>
      </c>
      <c r="D460" s="11">
        <v>8</v>
      </c>
      <c r="E460" s="11">
        <v>1</v>
      </c>
      <c r="F460" s="11">
        <v>1</v>
      </c>
      <c r="G460" s="19">
        <v>45594</v>
      </c>
      <c r="H460" s="13">
        <v>1.013</v>
      </c>
      <c r="I460" s="13">
        <v>0.122</v>
      </c>
      <c r="J460" s="13">
        <v>1.149</v>
      </c>
      <c r="K460" s="20" cm="1">
        <f t="array" ref="K460">J460-H460</f>
        <v>0.136</v>
      </c>
      <c r="L460" s="13">
        <v>0.1</v>
      </c>
      <c r="M460" s="20" cm="1">
        <f t="array" ref="M460">(1.25+0.125)</f>
        <v>1.375</v>
      </c>
      <c r="N460" s="11">
        <v>14</v>
      </c>
      <c r="O460" s="20" cm="1">
        <f t="array" ref="O460">K460-I460</f>
        <v>0.014</v>
      </c>
      <c r="P460" s="15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ht="13.65" customHeight="1">
      <c r="A461" t="s" s="43">
        <v>33</v>
      </c>
      <c r="B461" s="44">
        <v>45596</v>
      </c>
      <c r="C461" t="s" s="45">
        <v>19</v>
      </c>
      <c r="D461" s="18">
        <v>8</v>
      </c>
      <c r="E461" s="18">
        <v>1</v>
      </c>
      <c r="F461" s="18">
        <v>2</v>
      </c>
      <c r="G461" s="19">
        <v>45594</v>
      </c>
      <c r="H461" s="20">
        <v>1</v>
      </c>
      <c r="I461" s="20">
        <v>0.121</v>
      </c>
      <c r="J461" s="20">
        <v>1.133</v>
      </c>
      <c r="K461" s="20" cm="1">
        <f t="array" ref="K461">J461-H461</f>
        <v>0.133</v>
      </c>
      <c r="L461" s="20">
        <v>0.1</v>
      </c>
      <c r="M461" s="20" cm="1">
        <f t="array" ref="M461">(1.25+0.125)</f>
        <v>1.375</v>
      </c>
      <c r="N461" s="18">
        <v>14</v>
      </c>
      <c r="O461" s="20" cm="1">
        <f t="array" ref="O461">K461-I461</f>
        <v>0.012</v>
      </c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ht="13.65" customHeight="1">
      <c r="A462" t="s" s="43">
        <v>33</v>
      </c>
      <c r="B462" s="44">
        <v>45596</v>
      </c>
      <c r="C462" t="s" s="45">
        <v>19</v>
      </c>
      <c r="D462" s="18">
        <v>8</v>
      </c>
      <c r="E462" s="18">
        <v>1</v>
      </c>
      <c r="F462" s="18">
        <v>3</v>
      </c>
      <c r="G462" s="19">
        <v>45594</v>
      </c>
      <c r="H462" s="20">
        <v>0.99</v>
      </c>
      <c r="I462" s="20">
        <v>0.122</v>
      </c>
      <c r="J462" s="20">
        <v>1.123</v>
      </c>
      <c r="K462" s="20" cm="1">
        <f t="array" ref="K462">J462-H462</f>
        <v>0.133</v>
      </c>
      <c r="L462" s="20">
        <v>0.098</v>
      </c>
      <c r="M462" s="20" cm="1">
        <f t="array" ref="M462">(1.25+0.125)</f>
        <v>1.375</v>
      </c>
      <c r="N462" s="18">
        <v>14</v>
      </c>
      <c r="O462" s="20" cm="1">
        <f t="array" ref="O462">K462-I462</f>
        <v>0.011</v>
      </c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ht="13.65" customHeight="1">
      <c r="A463" t="s" s="48">
        <v>33</v>
      </c>
      <c r="B463" s="49">
        <v>45596</v>
      </c>
      <c r="C463" t="s" s="46">
        <v>19</v>
      </c>
      <c r="D463" s="24">
        <v>8</v>
      </c>
      <c r="E463" s="24">
        <v>1</v>
      </c>
      <c r="F463" s="24">
        <v>4</v>
      </c>
      <c r="G463" s="25">
        <v>45594</v>
      </c>
      <c r="H463" s="26">
        <v>1.006</v>
      </c>
      <c r="I463" s="26">
        <v>0.123</v>
      </c>
      <c r="J463" s="26">
        <v>1.141</v>
      </c>
      <c r="K463" s="26" cm="1">
        <f t="array" ref="K463">J463-H463</f>
        <v>0.135</v>
      </c>
      <c r="L463" s="26">
        <v>0.1</v>
      </c>
      <c r="M463" s="26" cm="1">
        <f t="array" ref="M463">(1.25+0.125)</f>
        <v>1.375</v>
      </c>
      <c r="N463" s="24">
        <v>14</v>
      </c>
      <c r="O463" s="26" cm="1">
        <f t="array" ref="O463">K463-I463</f>
        <v>0.012</v>
      </c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ht="13.65" customHeight="1">
      <c r="A464" t="s" s="50">
        <v>33</v>
      </c>
      <c r="B464" s="51">
        <v>45596</v>
      </c>
      <c r="C464" t="s" s="47">
        <v>19</v>
      </c>
      <c r="D464" s="11">
        <v>8</v>
      </c>
      <c r="E464" s="11">
        <v>2</v>
      </c>
      <c r="F464" s="11">
        <v>1</v>
      </c>
      <c r="G464" s="12">
        <v>45594</v>
      </c>
      <c r="H464" s="13">
        <v>1.016</v>
      </c>
      <c r="I464" s="13">
        <v>0.121</v>
      </c>
      <c r="J464" s="13">
        <v>1.144</v>
      </c>
      <c r="K464" s="13" cm="1">
        <f t="array" ref="K464">J464-H464</f>
        <v>0.128</v>
      </c>
      <c r="L464" s="13">
        <v>0.1</v>
      </c>
      <c r="M464" s="13">
        <v>1.34</v>
      </c>
      <c r="N464" s="11">
        <v>14</v>
      </c>
      <c r="O464" s="13" cm="1">
        <f t="array" ref="O464">K464-I464</f>
        <v>0.007</v>
      </c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 ht="13.65" customHeight="1">
      <c r="A465" t="s" s="43">
        <v>33</v>
      </c>
      <c r="B465" s="44">
        <v>45596</v>
      </c>
      <c r="C465" t="s" s="45">
        <v>19</v>
      </c>
      <c r="D465" s="18">
        <v>8</v>
      </c>
      <c r="E465" s="18">
        <v>2</v>
      </c>
      <c r="F465" s="18">
        <v>2</v>
      </c>
      <c r="G465" s="19">
        <v>45594</v>
      </c>
      <c r="H465" s="20">
        <v>1.015</v>
      </c>
      <c r="I465" s="20">
        <v>0.12</v>
      </c>
      <c r="J465" s="20">
        <v>1.144</v>
      </c>
      <c r="K465" s="20" cm="1">
        <f t="array" ref="K465">J465-H465</f>
        <v>0.129</v>
      </c>
      <c r="L465" s="20">
        <v>0.1</v>
      </c>
      <c r="M465" s="20">
        <v>1.34</v>
      </c>
      <c r="N465" s="18">
        <v>14</v>
      </c>
      <c r="O465" s="20" cm="1">
        <f t="array" ref="O465">K465-I465</f>
        <v>0.008999999999999999</v>
      </c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ht="13.65" customHeight="1">
      <c r="A466" t="s" s="43">
        <v>33</v>
      </c>
      <c r="B466" s="44">
        <v>45596</v>
      </c>
      <c r="C466" t="s" s="45">
        <v>19</v>
      </c>
      <c r="D466" s="18">
        <v>8</v>
      </c>
      <c r="E466" s="18">
        <v>2</v>
      </c>
      <c r="F466" s="18">
        <v>3</v>
      </c>
      <c r="G466" s="19">
        <v>45594</v>
      </c>
      <c r="H466" s="20">
        <v>0.98</v>
      </c>
      <c r="I466" s="20">
        <v>0.122</v>
      </c>
      <c r="J466" s="20">
        <v>1.111</v>
      </c>
      <c r="K466" s="20" cm="1">
        <f t="array" ref="K466">J466-H466</f>
        <v>0.131</v>
      </c>
      <c r="L466" s="20">
        <v>0.102</v>
      </c>
      <c r="M466" s="20">
        <v>1.34</v>
      </c>
      <c r="N466" s="18">
        <v>14</v>
      </c>
      <c r="O466" s="20" cm="1">
        <f t="array" ref="O466">K466-I466</f>
        <v>0.008999999999999999</v>
      </c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ht="13.65" customHeight="1">
      <c r="A467" t="s" s="48">
        <v>33</v>
      </c>
      <c r="B467" s="49">
        <v>45596</v>
      </c>
      <c r="C467" t="s" s="46">
        <v>19</v>
      </c>
      <c r="D467" s="24">
        <v>8</v>
      </c>
      <c r="E467" s="24">
        <v>2</v>
      </c>
      <c r="F467" s="24">
        <v>4</v>
      </c>
      <c r="G467" s="25">
        <v>45594</v>
      </c>
      <c r="H467" s="26">
        <v>0.992</v>
      </c>
      <c r="I467" s="26">
        <v>0.121</v>
      </c>
      <c r="J467" s="26">
        <v>1.123</v>
      </c>
      <c r="K467" s="26" cm="1">
        <f t="array" ref="K467">J467-H467</f>
        <v>0.131</v>
      </c>
      <c r="L467" s="26">
        <v>0.102</v>
      </c>
      <c r="M467" s="26">
        <v>1.34</v>
      </c>
      <c r="N467" s="24">
        <v>14</v>
      </c>
      <c r="O467" s="26" cm="1">
        <f t="array" ref="O467">K467-I467</f>
        <v>0.01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ht="13.65" customHeight="1">
      <c r="A468" t="s" s="50">
        <v>33</v>
      </c>
      <c r="B468" s="51">
        <v>45601</v>
      </c>
      <c r="C468" t="s" s="47">
        <v>20</v>
      </c>
      <c r="D468" s="11">
        <v>4</v>
      </c>
      <c r="E468" s="11">
        <v>1</v>
      </c>
      <c r="F468" s="11">
        <v>1</v>
      </c>
      <c r="G468" s="12">
        <v>45600</v>
      </c>
      <c r="H468" s="13">
        <v>0.987</v>
      </c>
      <c r="I468" s="13">
        <v>0.119</v>
      </c>
      <c r="J468" s="13">
        <v>1.111</v>
      </c>
      <c r="K468" s="13" cm="1">
        <f t="array" ref="K468">J468-H468</f>
        <v>0.124</v>
      </c>
      <c r="L468" s="13">
        <v>0.1</v>
      </c>
      <c r="M468" s="13" cm="1">
        <f t="array" ref="M468">(1.2+0.125)</f>
        <v>1.325</v>
      </c>
      <c r="N468" s="11">
        <v>14</v>
      </c>
      <c r="O468" s="13" cm="1">
        <f t="array" ref="O468">K468-I468</f>
        <v>0.005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 ht="13.65" customHeight="1">
      <c r="A469" t="s" s="43">
        <v>33</v>
      </c>
      <c r="B469" s="44">
        <v>45601</v>
      </c>
      <c r="C469" t="s" s="45">
        <v>20</v>
      </c>
      <c r="D469" s="18">
        <v>4</v>
      </c>
      <c r="E469" s="18">
        <v>1</v>
      </c>
      <c r="F469" s="18">
        <v>2</v>
      </c>
      <c r="G469" s="19">
        <v>45600</v>
      </c>
      <c r="H469" s="20">
        <v>1.044</v>
      </c>
      <c r="I469" s="20">
        <v>0.124</v>
      </c>
      <c r="J469" s="20">
        <v>1.172</v>
      </c>
      <c r="K469" s="20" cm="1">
        <f t="array" ref="K469">J469-H469</f>
        <v>0.128</v>
      </c>
      <c r="L469" s="20">
        <v>0.112</v>
      </c>
      <c r="M469" s="20" cm="1">
        <f t="array" ref="M469">(1.2+0.125)</f>
        <v>1.325</v>
      </c>
      <c r="N469" s="18">
        <v>14</v>
      </c>
      <c r="O469" s="20" cm="1">
        <f t="array" ref="O469">K469-I469</f>
        <v>0.004</v>
      </c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ht="13.65" customHeight="1">
      <c r="A470" t="s" s="43">
        <v>33</v>
      </c>
      <c r="B470" s="44">
        <v>45601</v>
      </c>
      <c r="C470" t="s" s="45">
        <v>20</v>
      </c>
      <c r="D470" s="18">
        <v>4</v>
      </c>
      <c r="E470" s="18">
        <v>1</v>
      </c>
      <c r="F470" s="18">
        <v>3</v>
      </c>
      <c r="G470" s="19">
        <v>45600</v>
      </c>
      <c r="H470" s="20">
        <v>1.015</v>
      </c>
      <c r="I470" s="20">
        <v>0.121</v>
      </c>
      <c r="J470" s="20">
        <v>1.14</v>
      </c>
      <c r="K470" s="20" cm="1">
        <f t="array" ref="K470">J470-H470</f>
        <v>0.125</v>
      </c>
      <c r="L470" s="20">
        <v>0.1</v>
      </c>
      <c r="M470" s="20" cm="1">
        <f t="array" ref="M470">(1.2+0.125)</f>
        <v>1.325</v>
      </c>
      <c r="N470" s="18">
        <v>14</v>
      </c>
      <c r="O470" s="20" cm="1">
        <f t="array" ref="O470">K470-I470</f>
        <v>0.004</v>
      </c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ht="13.65" customHeight="1">
      <c r="A471" t="s" s="48">
        <v>33</v>
      </c>
      <c r="B471" s="49">
        <v>45601</v>
      </c>
      <c r="C471" t="s" s="46">
        <v>20</v>
      </c>
      <c r="D471" s="24">
        <v>4</v>
      </c>
      <c r="E471" s="24">
        <v>1</v>
      </c>
      <c r="F471" s="24">
        <v>4</v>
      </c>
      <c r="G471" s="25">
        <v>45600</v>
      </c>
      <c r="H471" s="26">
        <v>1.023</v>
      </c>
      <c r="I471" s="26">
        <v>0.12</v>
      </c>
      <c r="J471" s="26">
        <v>1.147</v>
      </c>
      <c r="K471" s="26" cm="1">
        <f t="array" ref="K471">J471-H471</f>
        <v>0.124</v>
      </c>
      <c r="L471" s="26">
        <v>0.112</v>
      </c>
      <c r="M471" s="26" cm="1">
        <f t="array" ref="M471">(1.2+0.125)</f>
        <v>1.325</v>
      </c>
      <c r="N471" s="24">
        <v>14</v>
      </c>
      <c r="O471" s="26" cm="1">
        <f t="array" ref="O471">K471-I471</f>
        <v>0.004</v>
      </c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ht="13.65" customHeight="1">
      <c r="A472" t="s" s="50">
        <v>33</v>
      </c>
      <c r="B472" s="51">
        <v>45601</v>
      </c>
      <c r="C472" t="s" s="47">
        <v>20</v>
      </c>
      <c r="D472" s="11">
        <v>4</v>
      </c>
      <c r="E472" s="11">
        <v>2</v>
      </c>
      <c r="F472" s="11">
        <v>1</v>
      </c>
      <c r="G472" s="12">
        <v>45600</v>
      </c>
      <c r="H472" s="13">
        <v>1.034</v>
      </c>
      <c r="I472" s="13">
        <v>0.125</v>
      </c>
      <c r="J472" s="13">
        <v>1.163</v>
      </c>
      <c r="K472" s="13" cm="1">
        <f t="array" ref="K472">J472-H472</f>
        <v>0.129</v>
      </c>
      <c r="L472" s="13">
        <v>0.1</v>
      </c>
      <c r="M472" s="13">
        <v>1.34</v>
      </c>
      <c r="N472" s="11">
        <v>14</v>
      </c>
      <c r="O472" s="13" cm="1">
        <f t="array" ref="O472">K472-I472</f>
        <v>0.004</v>
      </c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 ht="13.65" customHeight="1">
      <c r="A473" t="s" s="43">
        <v>33</v>
      </c>
      <c r="B473" s="44">
        <v>45601</v>
      </c>
      <c r="C473" t="s" s="45">
        <v>20</v>
      </c>
      <c r="D473" s="18">
        <v>4</v>
      </c>
      <c r="E473" s="18">
        <v>2</v>
      </c>
      <c r="F473" s="18">
        <v>2</v>
      </c>
      <c r="G473" s="19">
        <v>45600</v>
      </c>
      <c r="H473" s="20">
        <v>1.024</v>
      </c>
      <c r="I473" s="20">
        <v>0.121</v>
      </c>
      <c r="J473" s="20">
        <v>1.149</v>
      </c>
      <c r="K473" s="20" cm="1">
        <f t="array" ref="K473">J473-H473</f>
        <v>0.125</v>
      </c>
      <c r="L473" s="20">
        <v>0.112</v>
      </c>
      <c r="M473" s="20">
        <v>1.34</v>
      </c>
      <c r="N473" s="18">
        <v>14</v>
      </c>
      <c r="O473" s="20" cm="1">
        <f t="array" ref="O473">K473-I473</f>
        <v>0.004</v>
      </c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ht="13.65" customHeight="1">
      <c r="A474" t="s" s="43">
        <v>33</v>
      </c>
      <c r="B474" s="44">
        <v>45601</v>
      </c>
      <c r="C474" t="s" s="45">
        <v>20</v>
      </c>
      <c r="D474" s="18">
        <v>4</v>
      </c>
      <c r="E474" s="18">
        <v>2</v>
      </c>
      <c r="F474" s="18">
        <v>3</v>
      </c>
      <c r="G474" s="19">
        <v>45600</v>
      </c>
      <c r="H474" s="20">
        <v>1.022</v>
      </c>
      <c r="I474" s="20">
        <v>0.12</v>
      </c>
      <c r="J474" s="20">
        <v>1.146</v>
      </c>
      <c r="K474" s="20" cm="1">
        <f t="array" ref="K474">J474-H474</f>
        <v>0.124</v>
      </c>
      <c r="L474" s="20">
        <v>0.1</v>
      </c>
      <c r="M474" s="20">
        <v>1.34</v>
      </c>
      <c r="N474" s="18">
        <v>14</v>
      </c>
      <c r="O474" s="20" cm="1">
        <f t="array" ref="O474">K474-I474</f>
        <v>0.004</v>
      </c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ht="13.65" customHeight="1">
      <c r="A475" t="s" s="48">
        <v>33</v>
      </c>
      <c r="B475" s="49">
        <v>45601</v>
      </c>
      <c r="C475" t="s" s="46">
        <v>20</v>
      </c>
      <c r="D475" s="24">
        <v>4</v>
      </c>
      <c r="E475" s="24">
        <v>2</v>
      </c>
      <c r="F475" s="24">
        <v>4</v>
      </c>
      <c r="G475" s="25">
        <v>45600</v>
      </c>
      <c r="H475" s="26">
        <v>1.022</v>
      </c>
      <c r="I475" s="26">
        <v>0.122</v>
      </c>
      <c r="J475" s="26">
        <v>1.147</v>
      </c>
      <c r="K475" s="26" cm="1">
        <f t="array" ref="K475">J475-H475</f>
        <v>0.125</v>
      </c>
      <c r="L475" s="26">
        <v>0.116</v>
      </c>
      <c r="M475" s="26">
        <v>1.34</v>
      </c>
      <c r="N475" s="24">
        <v>14</v>
      </c>
      <c r="O475" s="26" cm="1">
        <f t="array" ref="O475">K475-I475</f>
        <v>0.003</v>
      </c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 ht="13.65" customHeight="1">
      <c r="A476" t="s" s="50">
        <v>33</v>
      </c>
      <c r="B476" s="51">
        <v>45601</v>
      </c>
      <c r="C476" t="s" s="47">
        <v>20</v>
      </c>
      <c r="D476" s="11">
        <v>8</v>
      </c>
      <c r="E476" s="11">
        <v>1</v>
      </c>
      <c r="F476" s="11">
        <v>1</v>
      </c>
      <c r="G476" s="12">
        <v>45600</v>
      </c>
      <c r="H476" s="13">
        <v>0.983</v>
      </c>
      <c r="I476" s="13">
        <v>0.12</v>
      </c>
      <c r="J476" s="13">
        <v>1.116</v>
      </c>
      <c r="K476" s="13" cm="1">
        <f t="array" ref="K476">J476-H476</f>
        <v>0.133</v>
      </c>
      <c r="L476" s="13">
        <v>0.1</v>
      </c>
      <c r="M476" s="13" cm="1">
        <f t="array" ref="M476">1.24+0.125</f>
        <v>1.365</v>
      </c>
      <c r="N476" s="11">
        <v>14</v>
      </c>
      <c r="O476" s="13" cm="1">
        <f t="array" ref="O476">K476-I476</f>
        <v>0.013</v>
      </c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 ht="13.65" customHeight="1">
      <c r="A477" t="s" s="43">
        <v>33</v>
      </c>
      <c r="B477" s="44">
        <v>45601</v>
      </c>
      <c r="C477" t="s" s="45">
        <v>20</v>
      </c>
      <c r="D477" s="18">
        <v>8</v>
      </c>
      <c r="E477" s="18">
        <v>1</v>
      </c>
      <c r="F477" s="18">
        <v>2</v>
      </c>
      <c r="G477" s="19">
        <v>45600</v>
      </c>
      <c r="H477" s="20">
        <v>1.001</v>
      </c>
      <c r="I477" s="20">
        <v>0.12</v>
      </c>
      <c r="J477" s="20">
        <v>1.134</v>
      </c>
      <c r="K477" s="20" cm="1">
        <f t="array" ref="K477">J477-H477</f>
        <v>0.133</v>
      </c>
      <c r="L477" s="20">
        <v>0.098</v>
      </c>
      <c r="M477" s="20" cm="1">
        <f t="array" ref="M477">1.24+0.125</f>
        <v>1.365</v>
      </c>
      <c r="N477" s="18">
        <v>14</v>
      </c>
      <c r="O477" s="20" cm="1">
        <f t="array" ref="O477">K477-I477</f>
        <v>0.013</v>
      </c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ht="13.65" customHeight="1">
      <c r="A478" t="s" s="43">
        <v>33</v>
      </c>
      <c r="B478" s="44">
        <v>45601</v>
      </c>
      <c r="C478" t="s" s="45">
        <v>20</v>
      </c>
      <c r="D478" s="18">
        <v>8</v>
      </c>
      <c r="E478" s="18">
        <v>1</v>
      </c>
      <c r="F478" s="18">
        <v>3</v>
      </c>
      <c r="G478" s="19">
        <v>45600</v>
      </c>
      <c r="H478" s="20">
        <v>1.014</v>
      </c>
      <c r="I478" s="20">
        <v>0.119</v>
      </c>
      <c r="J478" s="20">
        <v>1.146</v>
      </c>
      <c r="K478" s="20" cm="1">
        <f t="array" ref="K478">J478-H478</f>
        <v>0.132</v>
      </c>
      <c r="L478" s="20">
        <v>0.098</v>
      </c>
      <c r="M478" s="20" cm="1">
        <f t="array" ref="M478">1.24+0.125</f>
        <v>1.365</v>
      </c>
      <c r="N478" s="18">
        <v>14</v>
      </c>
      <c r="O478" s="20" cm="1">
        <f t="array" ref="O478">K478-I478</f>
        <v>0.013</v>
      </c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ht="13.65" customHeight="1">
      <c r="A479" t="s" s="48">
        <v>33</v>
      </c>
      <c r="B479" s="49">
        <v>45601</v>
      </c>
      <c r="C479" t="s" s="46">
        <v>20</v>
      </c>
      <c r="D479" s="24">
        <v>8</v>
      </c>
      <c r="E479" s="24">
        <v>1</v>
      </c>
      <c r="F479" s="24">
        <v>4</v>
      </c>
      <c r="G479" s="25">
        <v>45600</v>
      </c>
      <c r="H479" s="26">
        <v>1.009</v>
      </c>
      <c r="I479" s="26">
        <v>0.123</v>
      </c>
      <c r="J479" s="26">
        <v>1.144</v>
      </c>
      <c r="K479" s="26" cm="1">
        <f t="array" ref="K479">J479-H479</f>
        <v>0.135</v>
      </c>
      <c r="L479" s="26">
        <v>0.102</v>
      </c>
      <c r="M479" s="26" cm="1">
        <f t="array" ref="M479">1.24+0.125</f>
        <v>1.365</v>
      </c>
      <c r="N479" s="24">
        <v>14</v>
      </c>
      <c r="O479" s="26" cm="1">
        <f t="array" ref="O479">K479-I479</f>
        <v>0.012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 ht="13.65" customHeight="1">
      <c r="A480" t="s" s="50">
        <v>33</v>
      </c>
      <c r="B480" s="51">
        <v>45601</v>
      </c>
      <c r="C480" t="s" s="47">
        <v>20</v>
      </c>
      <c r="D480" s="11">
        <v>8</v>
      </c>
      <c r="E480" s="11">
        <v>2</v>
      </c>
      <c r="F480" s="11">
        <v>1</v>
      </c>
      <c r="G480" s="12">
        <v>45600</v>
      </c>
      <c r="H480" s="13">
        <v>1.009</v>
      </c>
      <c r="I480" s="13">
        <v>0.121</v>
      </c>
      <c r="J480" s="13">
        <v>1.139</v>
      </c>
      <c r="K480" s="13" cm="1">
        <f t="array" ref="K480">J480-H480</f>
        <v>0.13</v>
      </c>
      <c r="L480" s="13">
        <v>0.102</v>
      </c>
      <c r="M480" s="13">
        <v>1.39</v>
      </c>
      <c r="N480" s="11">
        <v>14</v>
      </c>
      <c r="O480" s="13" cm="1">
        <f t="array" ref="O480">K480-I480</f>
        <v>0.008999999999999999</v>
      </c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 ht="13.65" customHeight="1">
      <c r="A481" t="s" s="43">
        <v>33</v>
      </c>
      <c r="B481" s="44">
        <v>45601</v>
      </c>
      <c r="C481" t="s" s="45">
        <v>20</v>
      </c>
      <c r="D481" s="18">
        <v>8</v>
      </c>
      <c r="E481" s="18">
        <v>2</v>
      </c>
      <c r="F481" s="18">
        <v>2</v>
      </c>
      <c r="G481" s="19">
        <v>45600</v>
      </c>
      <c r="H481" s="20">
        <v>1.009</v>
      </c>
      <c r="I481" s="20">
        <v>0.12</v>
      </c>
      <c r="J481" s="20">
        <v>1.139</v>
      </c>
      <c r="K481" s="20" cm="1">
        <f t="array" ref="K481">J481-H481</f>
        <v>0.13</v>
      </c>
      <c r="L481" s="20">
        <v>0.096</v>
      </c>
      <c r="M481" s="20">
        <v>1.39</v>
      </c>
      <c r="N481" s="18">
        <v>14</v>
      </c>
      <c r="O481" s="20" cm="1">
        <f t="array" ref="O481">K481-I481</f>
        <v>0.01</v>
      </c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ht="13.65" customHeight="1">
      <c r="A482" t="s" s="43">
        <v>33</v>
      </c>
      <c r="B482" s="44">
        <v>45601</v>
      </c>
      <c r="C482" t="s" s="45">
        <v>20</v>
      </c>
      <c r="D482" s="18">
        <v>8</v>
      </c>
      <c r="E482" s="18">
        <v>2</v>
      </c>
      <c r="F482" s="18">
        <v>3</v>
      </c>
      <c r="G482" s="19">
        <v>45600</v>
      </c>
      <c r="H482" s="20">
        <v>1.007</v>
      </c>
      <c r="I482" s="20">
        <v>0.12</v>
      </c>
      <c r="J482" s="20">
        <v>1.138</v>
      </c>
      <c r="K482" s="20" cm="1">
        <f t="array" ref="K482">J482-H482</f>
        <v>0.131</v>
      </c>
      <c r="L482" s="20">
        <v>0.102</v>
      </c>
      <c r="M482" s="20">
        <v>1.39</v>
      </c>
      <c r="N482" s="18">
        <v>14</v>
      </c>
      <c r="O482" s="20" cm="1">
        <f t="array" ref="O482">K482-I482</f>
        <v>0.011</v>
      </c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ht="13.65" customHeight="1">
      <c r="A483" t="s" s="48">
        <v>33</v>
      </c>
      <c r="B483" s="49">
        <v>45601</v>
      </c>
      <c r="C483" t="s" s="46">
        <v>20</v>
      </c>
      <c r="D483" s="24">
        <v>8</v>
      </c>
      <c r="E483" s="24">
        <v>2</v>
      </c>
      <c r="F483" s="24">
        <v>4</v>
      </c>
      <c r="G483" s="25">
        <v>45600</v>
      </c>
      <c r="H483" s="26">
        <v>1.014</v>
      </c>
      <c r="I483" s="26">
        <v>0.12</v>
      </c>
      <c r="J483" s="26">
        <v>1.144</v>
      </c>
      <c r="K483" s="26" cm="1">
        <f t="array" ref="K483">J483-H483</f>
        <v>0.13</v>
      </c>
      <c r="L483" s="26">
        <v>0.096</v>
      </c>
      <c r="M483" s="26">
        <v>1.39</v>
      </c>
      <c r="N483" s="24">
        <v>14</v>
      </c>
      <c r="O483" s="26" cm="1">
        <f t="array" ref="O483">K483-I483</f>
        <v>0.01</v>
      </c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 ht="13.65" customHeight="1">
      <c r="A484" t="s" s="9">
        <v>33</v>
      </c>
      <c r="B484" s="10">
        <v>45618</v>
      </c>
      <c r="C484" t="s" s="9">
        <v>19</v>
      </c>
      <c r="D484" s="11">
        <v>4</v>
      </c>
      <c r="E484" s="11">
        <v>1</v>
      </c>
      <c r="F484" s="11">
        <v>1</v>
      </c>
      <c r="G484" s="12">
        <v>45615</v>
      </c>
      <c r="H484" s="13">
        <v>1.029</v>
      </c>
      <c r="I484" s="13">
        <v>0.12</v>
      </c>
      <c r="J484" s="13">
        <v>1.164</v>
      </c>
      <c r="K484" s="13" cm="1">
        <f t="array" ref="K484">J484-H484</f>
        <v>0.135</v>
      </c>
      <c r="L484" s="13">
        <v>0.116</v>
      </c>
      <c r="M484" s="13" cm="1">
        <f t="array" ref="M484">(1.1+0.125)</f>
        <v>1.225</v>
      </c>
      <c r="N484" s="11">
        <v>21</v>
      </c>
      <c r="O484" s="13" cm="1">
        <f t="array" ref="O484">K484-I484</f>
        <v>0.015</v>
      </c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 ht="13.65" customHeight="1">
      <c r="A485" t="s" s="16">
        <v>33</v>
      </c>
      <c r="B485" s="17">
        <v>45618</v>
      </c>
      <c r="C485" t="s" s="16">
        <v>19</v>
      </c>
      <c r="D485" s="18">
        <v>4</v>
      </c>
      <c r="E485" s="18">
        <v>1</v>
      </c>
      <c r="F485" s="18">
        <v>2</v>
      </c>
      <c r="G485" s="19">
        <v>45615</v>
      </c>
      <c r="H485" s="20">
        <v>1.006</v>
      </c>
      <c r="I485" s="20">
        <v>0.12</v>
      </c>
      <c r="J485" s="20">
        <v>1.143</v>
      </c>
      <c r="K485" s="20" cm="1">
        <f t="array" ref="K485">J485-H485</f>
        <v>0.137</v>
      </c>
      <c r="L485" s="20">
        <v>0.115</v>
      </c>
      <c r="M485" s="20" cm="1">
        <f t="array" ref="M485">(1.1+0.125)</f>
        <v>1.225</v>
      </c>
      <c r="N485" s="18">
        <v>21</v>
      </c>
      <c r="O485" s="20" cm="1">
        <f t="array" ref="O485">K485-I485</f>
        <v>0.017</v>
      </c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ht="13.65" customHeight="1">
      <c r="A486" t="s" s="16">
        <v>33</v>
      </c>
      <c r="B486" s="17">
        <v>45618</v>
      </c>
      <c r="C486" t="s" s="16">
        <v>19</v>
      </c>
      <c r="D486" s="18">
        <v>4</v>
      </c>
      <c r="E486" s="18">
        <v>1</v>
      </c>
      <c r="F486" s="18">
        <v>3</v>
      </c>
      <c r="G486" s="19">
        <v>45615</v>
      </c>
      <c r="H486" s="20">
        <v>1.003</v>
      </c>
      <c r="I486" s="20">
        <v>0.12</v>
      </c>
      <c r="J486" s="20">
        <v>1.138</v>
      </c>
      <c r="K486" s="20" cm="1">
        <f t="array" ref="K486">J486-H486</f>
        <v>0.135</v>
      </c>
      <c r="L486" s="20">
        <v>0.114</v>
      </c>
      <c r="M486" s="20" cm="1">
        <f t="array" ref="M486">(1.1+0.125)</f>
        <v>1.225</v>
      </c>
      <c r="N486" s="18">
        <v>21</v>
      </c>
      <c r="O486" s="20" cm="1">
        <f t="array" ref="O486">K486-I486</f>
        <v>0.015</v>
      </c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ht="13.65" customHeight="1">
      <c r="A487" t="s" s="22">
        <v>33</v>
      </c>
      <c r="B487" s="23">
        <v>45618</v>
      </c>
      <c r="C487" t="s" s="22">
        <v>19</v>
      </c>
      <c r="D487" s="24">
        <v>4</v>
      </c>
      <c r="E487" s="24">
        <v>1</v>
      </c>
      <c r="F487" s="24">
        <v>4</v>
      </c>
      <c r="G487" s="25">
        <v>45615</v>
      </c>
      <c r="H487" s="26">
        <v>1.009</v>
      </c>
      <c r="I487" s="26">
        <v>0.121</v>
      </c>
      <c r="J487" s="26">
        <v>1.147</v>
      </c>
      <c r="K487" s="26" cm="1">
        <f t="array" ref="K487">J487-H487</f>
        <v>0.138</v>
      </c>
      <c r="L487" s="26">
        <v>0.118</v>
      </c>
      <c r="M487" s="26" cm="1">
        <f t="array" ref="M487">(1.1+0.125)</f>
        <v>1.225</v>
      </c>
      <c r="N487" s="24">
        <v>21</v>
      </c>
      <c r="O487" s="26" cm="1">
        <f t="array" ref="O487">K487-I487</f>
        <v>0.017</v>
      </c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 ht="13.65" customHeight="1">
      <c r="A488" t="s" s="9">
        <v>33</v>
      </c>
      <c r="B488" s="10">
        <v>45618</v>
      </c>
      <c r="C488" t="s" s="9">
        <v>19</v>
      </c>
      <c r="D488" s="11">
        <v>4</v>
      </c>
      <c r="E488" s="11">
        <v>2</v>
      </c>
      <c r="F488" s="11">
        <v>1</v>
      </c>
      <c r="G488" s="12">
        <v>45615</v>
      </c>
      <c r="H488" s="13">
        <v>1.017</v>
      </c>
      <c r="I488" s="13">
        <v>0.119</v>
      </c>
      <c r="J488" s="13">
        <v>1.151</v>
      </c>
      <c r="K488" s="13" cm="1">
        <f t="array" ref="K488">J488-H488</f>
        <v>0.134</v>
      </c>
      <c r="L488" s="13">
        <v>0.1</v>
      </c>
      <c r="M488" s="11">
        <v>1.26</v>
      </c>
      <c r="N488" s="11">
        <v>21</v>
      </c>
      <c r="O488" s="13" cm="1">
        <f t="array" ref="O488">K488-I488</f>
        <v>0.015</v>
      </c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 ht="13.65" customHeight="1">
      <c r="A489" t="s" s="16">
        <v>33</v>
      </c>
      <c r="B489" s="17">
        <v>45618</v>
      </c>
      <c r="C489" t="s" s="16">
        <v>19</v>
      </c>
      <c r="D489" s="18">
        <v>4</v>
      </c>
      <c r="E489" s="18">
        <v>2</v>
      </c>
      <c r="F489" s="18">
        <v>2</v>
      </c>
      <c r="G489" s="19">
        <v>45615</v>
      </c>
      <c r="H489" s="20">
        <v>1.019</v>
      </c>
      <c r="I489" s="20">
        <v>0.12</v>
      </c>
      <c r="J489" s="20">
        <v>1.155</v>
      </c>
      <c r="K489" s="20" cm="1">
        <f t="array" ref="K489">J489-H489</f>
        <v>0.136</v>
      </c>
      <c r="L489" s="20">
        <v>0.1</v>
      </c>
      <c r="M489" s="18">
        <v>1.26</v>
      </c>
      <c r="N489" s="18">
        <v>21</v>
      </c>
      <c r="O489" s="20" cm="1">
        <f t="array" ref="O489">K489-I489</f>
        <v>0.016</v>
      </c>
      <c r="P489" t="s" s="16">
        <v>38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ht="13.65" customHeight="1">
      <c r="A490" t="s" s="16">
        <v>33</v>
      </c>
      <c r="B490" s="17">
        <v>45618</v>
      </c>
      <c r="C490" t="s" s="16">
        <v>19</v>
      </c>
      <c r="D490" s="18">
        <v>4</v>
      </c>
      <c r="E490" s="18">
        <v>2</v>
      </c>
      <c r="F490" s="18">
        <v>3</v>
      </c>
      <c r="G490" s="19">
        <v>45615</v>
      </c>
      <c r="H490" s="20">
        <v>1.015</v>
      </c>
      <c r="I490" s="20">
        <v>0.122</v>
      </c>
      <c r="J490" s="20">
        <v>1.154</v>
      </c>
      <c r="K490" s="20" cm="1">
        <f t="array" ref="K490">J490-H490</f>
        <v>0.139</v>
      </c>
      <c r="L490" s="20">
        <v>0.095</v>
      </c>
      <c r="M490" s="18">
        <v>1.26</v>
      </c>
      <c r="N490" s="18">
        <v>21</v>
      </c>
      <c r="O490" s="20" cm="1">
        <f t="array" ref="O490">K490-I490</f>
        <v>0.017</v>
      </c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ht="13.65" customHeight="1">
      <c r="A491" t="s" s="22">
        <v>33</v>
      </c>
      <c r="B491" s="23">
        <v>45618</v>
      </c>
      <c r="C491" t="s" s="22">
        <v>19</v>
      </c>
      <c r="D491" s="24">
        <v>4</v>
      </c>
      <c r="E491" s="24">
        <v>2</v>
      </c>
      <c r="F491" s="24">
        <v>4</v>
      </c>
      <c r="G491" s="25">
        <v>45615</v>
      </c>
      <c r="H491" s="26">
        <v>1.007</v>
      </c>
      <c r="I491" s="26">
        <v>0.12</v>
      </c>
      <c r="J491" s="26">
        <v>1.144</v>
      </c>
      <c r="K491" s="26" cm="1">
        <f t="array" ref="K491">J491-H491</f>
        <v>0.137</v>
      </c>
      <c r="L491" s="26">
        <v>0.096</v>
      </c>
      <c r="M491" s="24">
        <v>1.26</v>
      </c>
      <c r="N491" s="24">
        <v>21</v>
      </c>
      <c r="O491" s="26" cm="1">
        <f t="array" ref="O491">K491-I491</f>
        <v>0.017</v>
      </c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 ht="13.65" customHeight="1">
      <c r="A492" t="s" s="9">
        <v>33</v>
      </c>
      <c r="B492" s="10">
        <v>45618</v>
      </c>
      <c r="C492" t="s" s="9">
        <v>19</v>
      </c>
      <c r="D492" s="11">
        <v>8</v>
      </c>
      <c r="E492" s="11">
        <v>1</v>
      </c>
      <c r="F492" s="11">
        <v>1</v>
      </c>
      <c r="G492" s="12">
        <v>45615</v>
      </c>
      <c r="H492" s="13">
        <v>0.991</v>
      </c>
      <c r="I492" s="13">
        <v>0.12</v>
      </c>
      <c r="J492" s="13">
        <v>1.143</v>
      </c>
      <c r="K492" s="13" cm="1">
        <f t="array" ref="K492">J492-H492</f>
        <v>0.152</v>
      </c>
      <c r="L492" s="13">
        <v>0.097</v>
      </c>
      <c r="M492" s="13" cm="1">
        <f t="array" ref="M492">(1.2+0.125)</f>
        <v>1.325</v>
      </c>
      <c r="N492" s="11">
        <v>21</v>
      </c>
      <c r="O492" s="13" cm="1">
        <f t="array" ref="O492">K492-I492</f>
        <v>0.032</v>
      </c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</row>
    <row r="493" ht="13.65" customHeight="1">
      <c r="A493" t="s" s="16">
        <v>33</v>
      </c>
      <c r="B493" s="17">
        <v>45618</v>
      </c>
      <c r="C493" t="s" s="16">
        <v>19</v>
      </c>
      <c r="D493" s="18">
        <v>8</v>
      </c>
      <c r="E493" s="18">
        <v>1</v>
      </c>
      <c r="F493" s="18">
        <v>2</v>
      </c>
      <c r="G493" s="19">
        <v>45615</v>
      </c>
      <c r="H493" s="20">
        <v>0.995</v>
      </c>
      <c r="I493" s="20">
        <v>0.125</v>
      </c>
      <c r="J493" s="20">
        <v>1.149</v>
      </c>
      <c r="K493" s="20" cm="1">
        <f t="array" ref="K493">J493-H493</f>
        <v>0.154</v>
      </c>
      <c r="L493" s="20">
        <v>0.097</v>
      </c>
      <c r="M493" s="20" cm="1">
        <f t="array" ref="M493">(1.2+0.125)</f>
        <v>1.325</v>
      </c>
      <c r="N493" s="18">
        <v>21</v>
      </c>
      <c r="O493" s="20" cm="1">
        <f t="array" ref="O493">K493-I493</f>
        <v>0.029</v>
      </c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ht="13.65" customHeight="1">
      <c r="A494" t="s" s="16">
        <v>33</v>
      </c>
      <c r="B494" s="17">
        <v>45618</v>
      </c>
      <c r="C494" t="s" s="16">
        <v>19</v>
      </c>
      <c r="D494" s="18">
        <v>8</v>
      </c>
      <c r="E494" s="18">
        <v>1</v>
      </c>
      <c r="F494" s="18">
        <v>3</v>
      </c>
      <c r="G494" s="19">
        <v>45615</v>
      </c>
      <c r="H494" s="20">
        <v>0.998</v>
      </c>
      <c r="I494" s="20">
        <v>0.122</v>
      </c>
      <c r="J494" s="20">
        <v>1.15</v>
      </c>
      <c r="K494" s="20" cm="1">
        <f t="array" ref="K494">J494-H494</f>
        <v>0.152</v>
      </c>
      <c r="L494" s="20">
        <v>0.097</v>
      </c>
      <c r="M494" s="20" cm="1">
        <f t="array" ref="M494">(1.2+0.125)</f>
        <v>1.325</v>
      </c>
      <c r="N494" s="18">
        <v>21</v>
      </c>
      <c r="O494" s="20" cm="1">
        <f t="array" ref="O494">K494-I494</f>
        <v>0.03</v>
      </c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ht="13.65" customHeight="1">
      <c r="A495" t="s" s="22">
        <v>33</v>
      </c>
      <c r="B495" s="23">
        <v>45618</v>
      </c>
      <c r="C495" t="s" s="22">
        <v>19</v>
      </c>
      <c r="D495" s="24">
        <v>8</v>
      </c>
      <c r="E495" s="24">
        <v>1</v>
      </c>
      <c r="F495" s="24">
        <v>4</v>
      </c>
      <c r="G495" s="25">
        <v>45615</v>
      </c>
      <c r="H495" s="26">
        <v>1.003</v>
      </c>
      <c r="I495" s="26">
        <v>0.12</v>
      </c>
      <c r="J495" s="26">
        <v>1.15</v>
      </c>
      <c r="K495" s="26" cm="1">
        <f t="array" ref="K495">J495-H495</f>
        <v>0.147</v>
      </c>
      <c r="L495" s="26">
        <v>0.097</v>
      </c>
      <c r="M495" s="26" cm="1">
        <f t="array" ref="M495">(1.2+0.125)</f>
        <v>1.325</v>
      </c>
      <c r="N495" s="24">
        <v>21</v>
      </c>
      <c r="O495" s="26" cm="1">
        <f t="array" ref="O495">K495-I495</f>
        <v>0.027</v>
      </c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 ht="13.65" customHeight="1">
      <c r="A496" t="s" s="9">
        <v>33</v>
      </c>
      <c r="B496" s="10">
        <v>45618</v>
      </c>
      <c r="C496" t="s" s="9">
        <v>19</v>
      </c>
      <c r="D496" s="11">
        <v>8</v>
      </c>
      <c r="E496" s="11">
        <v>2</v>
      </c>
      <c r="F496" s="11">
        <v>1</v>
      </c>
      <c r="G496" s="12">
        <v>45615</v>
      </c>
      <c r="H496" s="13">
        <v>0.998</v>
      </c>
      <c r="I496" s="13">
        <v>0.124</v>
      </c>
      <c r="J496" s="13">
        <v>1.153</v>
      </c>
      <c r="K496" s="13" cm="1">
        <f t="array" ref="K496">J496-H496</f>
        <v>0.155</v>
      </c>
      <c r="L496" s="13">
        <v>0.098</v>
      </c>
      <c r="M496" s="11">
        <v>1.29</v>
      </c>
      <c r="N496" s="11">
        <v>21</v>
      </c>
      <c r="O496" s="13" cm="1">
        <f t="array" ref="O496">K496-I496</f>
        <v>0.031</v>
      </c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 ht="13.65" customHeight="1">
      <c r="A497" t="s" s="16">
        <v>33</v>
      </c>
      <c r="B497" s="17">
        <v>45618</v>
      </c>
      <c r="C497" t="s" s="16">
        <v>19</v>
      </c>
      <c r="D497" s="18">
        <v>8</v>
      </c>
      <c r="E497" s="18">
        <v>2</v>
      </c>
      <c r="F497" s="18">
        <v>2</v>
      </c>
      <c r="G497" s="19">
        <v>45615</v>
      </c>
      <c r="H497" s="20">
        <v>1.003</v>
      </c>
      <c r="I497" s="20">
        <v>0.122</v>
      </c>
      <c r="J497" s="20">
        <v>1.163</v>
      </c>
      <c r="K497" s="20" cm="1">
        <f t="array" ref="K497">J497-H497</f>
        <v>0.16</v>
      </c>
      <c r="L497" s="20">
        <v>0.096</v>
      </c>
      <c r="M497" s="18">
        <v>1.29</v>
      </c>
      <c r="N497" s="18">
        <v>21</v>
      </c>
      <c r="O497" s="20" cm="1">
        <f t="array" ref="O497">K497-I497</f>
        <v>0.038</v>
      </c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ht="13.65" customHeight="1">
      <c r="A498" t="s" s="16">
        <v>33</v>
      </c>
      <c r="B498" s="17">
        <v>45618</v>
      </c>
      <c r="C498" t="s" s="16">
        <v>19</v>
      </c>
      <c r="D498" s="18">
        <v>8</v>
      </c>
      <c r="E498" s="18">
        <v>2</v>
      </c>
      <c r="F498" s="18">
        <v>3</v>
      </c>
      <c r="G498" s="19">
        <v>45615</v>
      </c>
      <c r="H498" s="20">
        <v>1.013</v>
      </c>
      <c r="I498" s="20">
        <v>0.12</v>
      </c>
      <c r="J498" s="20">
        <v>1.165</v>
      </c>
      <c r="K498" s="20" cm="1">
        <f t="array" ref="K498">J498-H498</f>
        <v>0.152</v>
      </c>
      <c r="L498" s="20">
        <v>0.094</v>
      </c>
      <c r="M498" s="18">
        <v>1.29</v>
      </c>
      <c r="N498" s="18">
        <v>21</v>
      </c>
      <c r="O498" s="20" cm="1">
        <f t="array" ref="O498">K498-I498</f>
        <v>0.032</v>
      </c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ht="13.65" customHeight="1">
      <c r="A499" t="s" s="22">
        <v>33</v>
      </c>
      <c r="B499" s="23">
        <v>45618</v>
      </c>
      <c r="C499" t="s" s="22">
        <v>19</v>
      </c>
      <c r="D499" s="24">
        <v>8</v>
      </c>
      <c r="E499" s="24">
        <v>2</v>
      </c>
      <c r="F499" s="24">
        <v>4</v>
      </c>
      <c r="G499" s="25">
        <v>45615</v>
      </c>
      <c r="H499" s="26">
        <v>1.021</v>
      </c>
      <c r="I499" s="26">
        <v>0.119</v>
      </c>
      <c r="J499" s="26">
        <v>1.178</v>
      </c>
      <c r="K499" s="26" cm="1">
        <f t="array" ref="K499">J499-H499</f>
        <v>0.157</v>
      </c>
      <c r="L499" s="26">
        <v>0.096</v>
      </c>
      <c r="M499" s="24">
        <v>1.29</v>
      </c>
      <c r="N499" s="24">
        <v>21</v>
      </c>
      <c r="O499" s="26" cm="1">
        <f t="array" ref="O499">K499-I499</f>
        <v>0.038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 ht="13.65" customHeight="1">
      <c r="A500" t="s" s="9">
        <v>33</v>
      </c>
      <c r="B500" s="10">
        <v>45618</v>
      </c>
      <c r="C500" t="s" s="9">
        <v>20</v>
      </c>
      <c r="D500" s="11">
        <v>4</v>
      </c>
      <c r="E500" s="11">
        <v>1</v>
      </c>
      <c r="F500" s="11">
        <v>1</v>
      </c>
      <c r="G500" s="12">
        <v>45615</v>
      </c>
      <c r="H500" s="13">
        <v>1.019</v>
      </c>
      <c r="I500" s="13">
        <v>0.122</v>
      </c>
      <c r="J500" s="13">
        <v>1.15</v>
      </c>
      <c r="K500" s="13" cm="1">
        <f t="array" ref="K500">J500-H500</f>
        <v>0.131</v>
      </c>
      <c r="L500" s="11">
        <v>0.095</v>
      </c>
      <c r="M500" s="11" cm="1">
        <f t="array" ref="M500">1.24+0.125</f>
        <v>1.365</v>
      </c>
      <c r="N500" s="11">
        <v>15</v>
      </c>
      <c r="O500" s="13" cm="1">
        <f t="array" ref="O500">K500-I500</f>
        <v>0.008999999999999999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 ht="13.65" customHeight="1">
      <c r="A501" t="s" s="16">
        <v>33</v>
      </c>
      <c r="B501" s="17">
        <v>45618</v>
      </c>
      <c r="C501" t="s" s="16">
        <v>20</v>
      </c>
      <c r="D501" s="18">
        <v>4</v>
      </c>
      <c r="E501" s="18">
        <v>1</v>
      </c>
      <c r="F501" s="18">
        <v>2</v>
      </c>
      <c r="G501" s="19">
        <v>45615</v>
      </c>
      <c r="H501" s="20">
        <v>1.02</v>
      </c>
      <c r="I501" s="20">
        <v>0.124</v>
      </c>
      <c r="J501" s="20">
        <v>1.153</v>
      </c>
      <c r="K501" s="20" cm="1">
        <f t="array" ref="K501">J501-H501</f>
        <v>0.133</v>
      </c>
      <c r="L501" s="20">
        <v>0.095</v>
      </c>
      <c r="M501" s="18" cm="1">
        <f t="array" ref="M501">1.24+0.125</f>
        <v>1.365</v>
      </c>
      <c r="N501" s="18">
        <v>15</v>
      </c>
      <c r="O501" s="20" cm="1">
        <f t="array" ref="O501">K501-I501</f>
        <v>0.008999999999999999</v>
      </c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ht="13.65" customHeight="1">
      <c r="A502" t="s" s="16">
        <v>33</v>
      </c>
      <c r="B502" s="17">
        <v>45618</v>
      </c>
      <c r="C502" t="s" s="16">
        <v>20</v>
      </c>
      <c r="D502" s="18">
        <v>4</v>
      </c>
      <c r="E502" s="18">
        <v>1</v>
      </c>
      <c r="F502" s="18">
        <v>3</v>
      </c>
      <c r="G502" s="19">
        <v>45615</v>
      </c>
      <c r="H502" s="20">
        <v>1.017</v>
      </c>
      <c r="I502" s="20">
        <v>0.118</v>
      </c>
      <c r="J502" s="20">
        <v>1.143</v>
      </c>
      <c r="K502" s="20" cm="1">
        <f t="array" ref="K502">J502-H502</f>
        <v>0.126</v>
      </c>
      <c r="L502" s="20">
        <v>0.096</v>
      </c>
      <c r="M502" s="18" cm="1">
        <f t="array" ref="M502">1.24+0.125</f>
        <v>1.365</v>
      </c>
      <c r="N502" s="18">
        <v>15</v>
      </c>
      <c r="O502" s="20" cm="1">
        <f t="array" ref="O502">K502-I502</f>
        <v>0.008</v>
      </c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ht="13.65" customHeight="1">
      <c r="A503" t="s" s="22">
        <v>33</v>
      </c>
      <c r="B503" s="23">
        <v>45618</v>
      </c>
      <c r="C503" t="s" s="22">
        <v>20</v>
      </c>
      <c r="D503" s="24">
        <v>4</v>
      </c>
      <c r="E503" s="24">
        <v>1</v>
      </c>
      <c r="F503" s="24">
        <v>4</v>
      </c>
      <c r="G503" s="25">
        <v>45615</v>
      </c>
      <c r="H503" s="26">
        <v>0.995</v>
      </c>
      <c r="I503" s="26">
        <v>0.123</v>
      </c>
      <c r="J503" s="26">
        <v>1.128</v>
      </c>
      <c r="K503" s="26" cm="1">
        <f t="array" ref="K503">J503-H503</f>
        <v>0.133</v>
      </c>
      <c r="L503" s="26">
        <v>0.095</v>
      </c>
      <c r="M503" s="24" cm="1">
        <f t="array" ref="M503">1.24+0.125</f>
        <v>1.365</v>
      </c>
      <c r="N503" s="24">
        <v>15</v>
      </c>
      <c r="O503" s="26" cm="1">
        <f t="array" ref="O503">K503-I503</f>
        <v>0.01</v>
      </c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 ht="13.65" customHeight="1">
      <c r="A504" t="s" s="9">
        <v>33</v>
      </c>
      <c r="B504" s="10">
        <v>45618</v>
      </c>
      <c r="C504" t="s" s="9">
        <v>20</v>
      </c>
      <c r="D504" s="11">
        <v>4</v>
      </c>
      <c r="E504" s="11">
        <v>2</v>
      </c>
      <c r="F504" s="11">
        <v>1</v>
      </c>
      <c r="G504" s="12">
        <v>45615</v>
      </c>
      <c r="H504" s="13">
        <v>1.001</v>
      </c>
      <c r="I504" s="13">
        <v>0.121</v>
      </c>
      <c r="J504" s="13">
        <v>1.131</v>
      </c>
      <c r="K504" s="13" cm="1">
        <f t="array" ref="K504">J504-H504</f>
        <v>0.13</v>
      </c>
      <c r="L504" s="13">
        <v>0.097</v>
      </c>
      <c r="M504" s="11">
        <v>1.37</v>
      </c>
      <c r="N504" s="11">
        <v>15</v>
      </c>
      <c r="O504" s="13" cm="1">
        <f t="array" ref="O504">K504-I504</f>
        <v>0.008999999999999999</v>
      </c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 ht="13.65" customHeight="1">
      <c r="A505" t="s" s="16">
        <v>33</v>
      </c>
      <c r="B505" s="17">
        <v>45618</v>
      </c>
      <c r="C505" t="s" s="16">
        <v>20</v>
      </c>
      <c r="D505" s="18">
        <v>4</v>
      </c>
      <c r="E505" s="18">
        <v>2</v>
      </c>
      <c r="F505" s="18">
        <v>2</v>
      </c>
      <c r="G505" s="19">
        <v>45615</v>
      </c>
      <c r="H505" s="20">
        <v>1.007</v>
      </c>
      <c r="I505" s="20">
        <v>0.118</v>
      </c>
      <c r="J505" s="20">
        <v>1.133</v>
      </c>
      <c r="K505" s="20" cm="1">
        <f t="array" ref="K505">J505-H505</f>
        <v>0.126</v>
      </c>
      <c r="L505" s="20">
        <v>0.095</v>
      </c>
      <c r="M505" s="18">
        <v>1.37</v>
      </c>
      <c r="N505" s="18">
        <v>15</v>
      </c>
      <c r="O505" s="20" cm="1">
        <f t="array" ref="O505">K505-I505</f>
        <v>0.008</v>
      </c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ht="13.65" customHeight="1">
      <c r="A506" t="s" s="16">
        <v>33</v>
      </c>
      <c r="B506" s="17">
        <v>45618</v>
      </c>
      <c r="C506" t="s" s="16">
        <v>20</v>
      </c>
      <c r="D506" s="18">
        <v>4</v>
      </c>
      <c r="E506" s="18">
        <v>2</v>
      </c>
      <c r="F506" s="18">
        <v>3</v>
      </c>
      <c r="G506" s="19">
        <v>45615</v>
      </c>
      <c r="H506" s="20">
        <v>1.006</v>
      </c>
      <c r="I506" s="20">
        <v>0.123</v>
      </c>
      <c r="J506" s="20">
        <v>1.136</v>
      </c>
      <c r="K506" s="20" cm="1">
        <f t="array" ref="K506">J506-H506</f>
        <v>0.13</v>
      </c>
      <c r="L506" s="20">
        <v>0.096</v>
      </c>
      <c r="M506" s="18">
        <v>1.37</v>
      </c>
      <c r="N506" s="18">
        <v>15</v>
      </c>
      <c r="O506" s="20" cm="1">
        <f t="array" ref="O506">K506-I506</f>
        <v>0.007</v>
      </c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ht="13.65" customHeight="1">
      <c r="A507" t="s" s="22">
        <v>33</v>
      </c>
      <c r="B507" s="23">
        <v>45618</v>
      </c>
      <c r="C507" t="s" s="22">
        <v>20</v>
      </c>
      <c r="D507" s="24">
        <v>4</v>
      </c>
      <c r="E507" s="24">
        <v>2</v>
      </c>
      <c r="F507" s="24">
        <v>4</v>
      </c>
      <c r="G507" s="25">
        <v>45615</v>
      </c>
      <c r="H507" s="26">
        <v>1.013</v>
      </c>
      <c r="I507" s="26">
        <v>0.119</v>
      </c>
      <c r="J507" s="26">
        <v>1.142</v>
      </c>
      <c r="K507" s="26" cm="1">
        <f t="array" ref="K507">J507-H507</f>
        <v>0.129</v>
      </c>
      <c r="L507" s="26">
        <v>0.094</v>
      </c>
      <c r="M507" s="24">
        <v>1.37</v>
      </c>
      <c r="N507" s="24">
        <v>15</v>
      </c>
      <c r="O507" s="26" cm="1">
        <f t="array" ref="O507">K507-I507</f>
        <v>0.01</v>
      </c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 ht="13.65" customHeight="1">
      <c r="A508" t="s" s="9">
        <v>33</v>
      </c>
      <c r="B508" s="10">
        <v>45618</v>
      </c>
      <c r="C508" t="s" s="9">
        <v>20</v>
      </c>
      <c r="D508" s="11">
        <v>8</v>
      </c>
      <c r="E508" s="11">
        <v>1</v>
      </c>
      <c r="F508" s="11">
        <v>1</v>
      </c>
      <c r="G508" s="12">
        <v>45615</v>
      </c>
      <c r="H508" s="13">
        <v>1.017</v>
      </c>
      <c r="I508" s="13">
        <v>0.122</v>
      </c>
      <c r="J508" s="13">
        <v>1.151</v>
      </c>
      <c r="K508" s="13" cm="1">
        <f t="array" ref="K508">J508-H508</f>
        <v>0.134</v>
      </c>
      <c r="L508" s="13">
        <v>0.095</v>
      </c>
      <c r="M508" s="11" cm="1">
        <f t="array" ref="M508">(1.22+0.125)</f>
        <v>1.345</v>
      </c>
      <c r="N508" s="11">
        <v>15</v>
      </c>
      <c r="O508" s="13" cm="1">
        <f t="array" ref="O508">K508-I508</f>
        <v>0.012</v>
      </c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 ht="13.65" customHeight="1">
      <c r="A509" t="s" s="16">
        <v>33</v>
      </c>
      <c r="B509" s="17">
        <v>45618</v>
      </c>
      <c r="C509" t="s" s="16">
        <v>20</v>
      </c>
      <c r="D509" s="18">
        <v>8</v>
      </c>
      <c r="E509" s="18">
        <v>1</v>
      </c>
      <c r="F509" s="18">
        <v>2</v>
      </c>
      <c r="G509" s="19">
        <v>45615</v>
      </c>
      <c r="H509" s="20">
        <v>1.006</v>
      </c>
      <c r="I509" s="20">
        <v>0.122</v>
      </c>
      <c r="J509" s="20">
        <v>1.142</v>
      </c>
      <c r="K509" s="20" cm="1">
        <f t="array" ref="K509">J509-H509</f>
        <v>0.136</v>
      </c>
      <c r="L509" s="20">
        <v>0.097</v>
      </c>
      <c r="M509" s="18" cm="1">
        <f t="array" ref="M509">(1.22+0.125)</f>
        <v>1.345</v>
      </c>
      <c r="N509" s="18">
        <v>15</v>
      </c>
      <c r="O509" s="20" cm="1">
        <f t="array" ref="O509">K509-I509</f>
        <v>0.014</v>
      </c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ht="13.65" customHeight="1">
      <c r="A510" t="s" s="16">
        <v>33</v>
      </c>
      <c r="B510" s="17">
        <v>45618</v>
      </c>
      <c r="C510" t="s" s="16">
        <v>20</v>
      </c>
      <c r="D510" s="18">
        <v>8</v>
      </c>
      <c r="E510" s="18">
        <v>1</v>
      </c>
      <c r="F510" s="18">
        <v>3</v>
      </c>
      <c r="G510" s="19">
        <v>45615</v>
      </c>
      <c r="H510" s="20">
        <v>1.015</v>
      </c>
      <c r="I510" s="20">
        <v>0.121</v>
      </c>
      <c r="J510" s="20">
        <v>1.151</v>
      </c>
      <c r="K510" s="20" cm="1">
        <f t="array" ref="K510">J510-H510</f>
        <v>0.136</v>
      </c>
      <c r="L510" s="20">
        <v>0.096</v>
      </c>
      <c r="M510" s="18" cm="1">
        <f t="array" ref="M510">(1.22+0.125)</f>
        <v>1.345</v>
      </c>
      <c r="N510" s="18">
        <v>15</v>
      </c>
      <c r="O510" s="20" cm="1">
        <f t="array" ref="O510">K510-I510</f>
        <v>0.015</v>
      </c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ht="13.65" customHeight="1">
      <c r="A511" t="s" s="22">
        <v>33</v>
      </c>
      <c r="B511" s="23">
        <v>45618</v>
      </c>
      <c r="C511" t="s" s="22">
        <v>20</v>
      </c>
      <c r="D511" s="24">
        <v>8</v>
      </c>
      <c r="E511" s="24">
        <v>1</v>
      </c>
      <c r="F511" s="24">
        <v>4</v>
      </c>
      <c r="G511" s="25">
        <v>45615</v>
      </c>
      <c r="H511" s="26">
        <v>1.021</v>
      </c>
      <c r="I511" s="26">
        <v>0.124</v>
      </c>
      <c r="J511" s="26">
        <v>1.16</v>
      </c>
      <c r="K511" s="26" cm="1">
        <f t="array" ref="K511">J511-H511</f>
        <v>0.139</v>
      </c>
      <c r="L511" s="26">
        <v>0.094</v>
      </c>
      <c r="M511" s="24" cm="1">
        <f t="array" ref="M511">(1.22+0.125)</f>
        <v>1.345</v>
      </c>
      <c r="N511" s="24">
        <v>15</v>
      </c>
      <c r="O511" s="26" cm="1">
        <f t="array" ref="O511">K511-I511</f>
        <v>0.015</v>
      </c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 ht="13.65" customHeight="1">
      <c r="A512" t="s" s="9">
        <v>33</v>
      </c>
      <c r="B512" s="10">
        <v>45618</v>
      </c>
      <c r="C512" t="s" s="9">
        <v>20</v>
      </c>
      <c r="D512" s="11">
        <v>8</v>
      </c>
      <c r="E512" s="11">
        <v>2</v>
      </c>
      <c r="F512" s="11">
        <v>1</v>
      </c>
      <c r="G512" s="12">
        <v>45615</v>
      </c>
      <c r="H512" s="13">
        <v>1.018</v>
      </c>
      <c r="I512" s="13">
        <v>0.119</v>
      </c>
      <c r="J512" s="13">
        <v>1.147</v>
      </c>
      <c r="K512" s="13" cm="1">
        <f t="array" ref="K512">J512-H512</f>
        <v>0.129</v>
      </c>
      <c r="L512" s="13">
        <v>0.096</v>
      </c>
      <c r="M512" s="11">
        <v>1.39</v>
      </c>
      <c r="N512" s="11">
        <v>15</v>
      </c>
      <c r="O512" s="13" cm="1">
        <f t="array" ref="O512">K512-I512</f>
        <v>0.01</v>
      </c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 ht="13.65" customHeight="1">
      <c r="A513" t="s" s="16">
        <v>33</v>
      </c>
      <c r="B513" s="17">
        <v>45618</v>
      </c>
      <c r="C513" t="s" s="16">
        <v>20</v>
      </c>
      <c r="D513" s="18">
        <v>8</v>
      </c>
      <c r="E513" s="18">
        <v>2</v>
      </c>
      <c r="F513" s="18">
        <v>2</v>
      </c>
      <c r="G513" s="19">
        <v>45615</v>
      </c>
      <c r="H513" s="20">
        <v>1.017</v>
      </c>
      <c r="I513" s="20">
        <v>0.121</v>
      </c>
      <c r="J513" s="20">
        <v>1.149</v>
      </c>
      <c r="K513" s="20" cm="1">
        <f t="array" ref="K513">J513-H513</f>
        <v>0.132</v>
      </c>
      <c r="L513" s="20">
        <v>0.097</v>
      </c>
      <c r="M513" s="18">
        <v>1.39</v>
      </c>
      <c r="N513" s="18">
        <v>15</v>
      </c>
      <c r="O513" s="20" cm="1">
        <f t="array" ref="O513">K513-I513</f>
        <v>0.011</v>
      </c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ht="13.65" customHeight="1">
      <c r="A514" t="s" s="16">
        <v>33</v>
      </c>
      <c r="B514" s="17">
        <v>45618</v>
      </c>
      <c r="C514" t="s" s="16">
        <v>20</v>
      </c>
      <c r="D514" s="18">
        <v>8</v>
      </c>
      <c r="E514" s="18">
        <v>2</v>
      </c>
      <c r="F514" s="18">
        <v>3</v>
      </c>
      <c r="G514" s="19">
        <v>45615</v>
      </c>
      <c r="H514" s="20">
        <v>0.992</v>
      </c>
      <c r="I514" s="20">
        <v>0.12</v>
      </c>
      <c r="J514" s="20">
        <v>1.128</v>
      </c>
      <c r="K514" s="20" cm="1">
        <f t="array" ref="K514">J514-H514</f>
        <v>0.136</v>
      </c>
      <c r="L514" s="20">
        <v>0.097</v>
      </c>
      <c r="M514" s="18">
        <v>1.39</v>
      </c>
      <c r="N514" s="18">
        <v>15</v>
      </c>
      <c r="O514" s="20" cm="1">
        <f t="array" ref="O514">K514-I514</f>
        <v>0.016</v>
      </c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ht="13.65" customHeight="1">
      <c r="A515" t="s" s="22">
        <v>33</v>
      </c>
      <c r="B515" s="23">
        <v>45618</v>
      </c>
      <c r="C515" t="s" s="22">
        <v>20</v>
      </c>
      <c r="D515" s="24">
        <v>8</v>
      </c>
      <c r="E515" s="24">
        <v>2</v>
      </c>
      <c r="F515" s="24">
        <v>4</v>
      </c>
      <c r="G515" s="25">
        <v>45615</v>
      </c>
      <c r="H515" s="26">
        <v>1.004</v>
      </c>
      <c r="I515" s="26">
        <v>0.121</v>
      </c>
      <c r="J515" s="26">
        <v>1.139</v>
      </c>
      <c r="K515" s="26" cm="1">
        <f t="array" ref="K515">J515-H515</f>
        <v>0.135</v>
      </c>
      <c r="L515" s="26">
        <v>0.095</v>
      </c>
      <c r="M515" s="24">
        <v>1.39</v>
      </c>
      <c r="N515" s="24">
        <v>15</v>
      </c>
      <c r="O515" s="26" cm="1">
        <f t="array" ref="O515">K515-I515</f>
        <v>0.014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 ht="13.65" customHeight="1">
      <c r="A516" t="s" s="9">
        <v>35</v>
      </c>
      <c r="B516" s="10">
        <v>45630</v>
      </c>
      <c r="C516" t="s" s="9">
        <v>19</v>
      </c>
      <c r="D516" s="11">
        <v>4</v>
      </c>
      <c r="E516" s="11">
        <v>1</v>
      </c>
      <c r="F516" s="11">
        <v>1</v>
      </c>
      <c r="G516" s="12">
        <v>45629</v>
      </c>
      <c r="H516" s="13">
        <v>1.011</v>
      </c>
      <c r="I516" s="13">
        <v>0.118</v>
      </c>
      <c r="J516" s="13">
        <v>1.154</v>
      </c>
      <c r="K516" s="38" cm="1">
        <f t="array" ref="K516">J516-H516</f>
        <v>0.143</v>
      </c>
      <c r="L516" s="13">
        <v>0.096</v>
      </c>
      <c r="M516" s="13">
        <v>1.29</v>
      </c>
      <c r="N516" s="11">
        <v>14</v>
      </c>
      <c r="O516" s="38" cm="1">
        <f t="array" ref="O516">K516-I516</f>
        <v>0.025</v>
      </c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 ht="13.65" customHeight="1">
      <c r="A517" t="s" s="16">
        <v>35</v>
      </c>
      <c r="B517" s="17">
        <v>45630</v>
      </c>
      <c r="C517" t="s" s="16">
        <v>19</v>
      </c>
      <c r="D517" s="18">
        <v>4</v>
      </c>
      <c r="E517" s="18">
        <v>1</v>
      </c>
      <c r="F517" s="18">
        <v>2</v>
      </c>
      <c r="G517" s="19">
        <v>45629</v>
      </c>
      <c r="H517" s="20">
        <v>0.994</v>
      </c>
      <c r="I517" s="20">
        <v>0.121</v>
      </c>
      <c r="J517" s="20">
        <v>1.138</v>
      </c>
      <c r="K517" s="38" cm="1">
        <f t="array" ref="K517">J517-H517</f>
        <v>0.144</v>
      </c>
      <c r="L517" s="20">
        <v>0.097</v>
      </c>
      <c r="M517" s="20">
        <v>1.29</v>
      </c>
      <c r="N517" s="18">
        <v>14</v>
      </c>
      <c r="O517" s="38" cm="1">
        <f t="array" ref="O517">K517-I517</f>
        <v>0.023</v>
      </c>
      <c r="P517" t="s" s="16">
        <v>39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ht="13.65" customHeight="1">
      <c r="A518" t="s" s="16">
        <v>35</v>
      </c>
      <c r="B518" s="17">
        <v>45630</v>
      </c>
      <c r="C518" t="s" s="16">
        <v>19</v>
      </c>
      <c r="D518" s="18">
        <v>4</v>
      </c>
      <c r="E518" s="18">
        <v>1</v>
      </c>
      <c r="F518" s="18">
        <v>3</v>
      </c>
      <c r="G518" s="19">
        <v>45629</v>
      </c>
      <c r="H518" s="20">
        <v>1.001</v>
      </c>
      <c r="I518" s="20">
        <v>0.12</v>
      </c>
      <c r="J518" s="20">
        <v>1.145</v>
      </c>
      <c r="K518" s="38" cm="1">
        <f t="array" ref="K518">J518-H518</f>
        <v>0.144</v>
      </c>
      <c r="L518" s="20">
        <v>0.098</v>
      </c>
      <c r="M518" s="20">
        <v>1.29</v>
      </c>
      <c r="N518" s="18">
        <v>14</v>
      </c>
      <c r="O518" s="38" cm="1">
        <f t="array" ref="O518">K518-I518</f>
        <v>0.024</v>
      </c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ht="13.65" customHeight="1">
      <c r="A519" t="s" s="22">
        <v>35</v>
      </c>
      <c r="B519" s="23">
        <v>45630</v>
      </c>
      <c r="C519" t="s" s="22">
        <v>19</v>
      </c>
      <c r="D519" s="24">
        <v>4</v>
      </c>
      <c r="E519" s="24">
        <v>1</v>
      </c>
      <c r="F519" s="24">
        <v>4</v>
      </c>
      <c r="G519" s="25">
        <v>45629</v>
      </c>
      <c r="H519" s="26">
        <v>1</v>
      </c>
      <c r="I519" s="26">
        <v>0.122</v>
      </c>
      <c r="J519" s="26">
        <v>1.145</v>
      </c>
      <c r="K519" s="38" cm="1">
        <f t="array" ref="K519">J519-H519</f>
        <v>0.145</v>
      </c>
      <c r="L519" s="26">
        <v>0.097</v>
      </c>
      <c r="M519" s="26">
        <v>1.29</v>
      </c>
      <c r="N519" s="24">
        <v>14</v>
      </c>
      <c r="O519" s="38" cm="1">
        <f t="array" ref="O519">K519-I519</f>
        <v>0.023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 ht="13.65" customHeight="1">
      <c r="A520" t="s" s="9">
        <v>35</v>
      </c>
      <c r="B520" s="10">
        <v>45630</v>
      </c>
      <c r="C520" t="s" s="9">
        <v>19</v>
      </c>
      <c r="D520" s="11">
        <v>4</v>
      </c>
      <c r="E520" s="11">
        <v>2</v>
      </c>
      <c r="F520" s="11">
        <v>1</v>
      </c>
      <c r="G520" s="12">
        <v>45629</v>
      </c>
      <c r="H520" s="13">
        <v>1.004</v>
      </c>
      <c r="I520" s="13">
        <v>0.124</v>
      </c>
      <c r="J520" s="13">
        <v>1.152</v>
      </c>
      <c r="K520" s="38" cm="1">
        <f t="array" ref="K520">J520-H520</f>
        <v>0.148</v>
      </c>
      <c r="L520" s="13">
        <v>0.094</v>
      </c>
      <c r="M520" s="13">
        <v>1.33</v>
      </c>
      <c r="N520" s="11">
        <v>14</v>
      </c>
      <c r="O520" s="38" cm="1">
        <f t="array" ref="O520">K520-I520</f>
        <v>0.024</v>
      </c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 ht="13.65" customHeight="1">
      <c r="A521" t="s" s="16">
        <v>35</v>
      </c>
      <c r="B521" s="17">
        <v>45630</v>
      </c>
      <c r="C521" t="s" s="16">
        <v>19</v>
      </c>
      <c r="D521" s="18">
        <v>4</v>
      </c>
      <c r="E521" s="18">
        <v>2</v>
      </c>
      <c r="F521" s="18">
        <v>2</v>
      </c>
      <c r="G521" s="19">
        <v>45629</v>
      </c>
      <c r="H521" s="20">
        <v>1.024</v>
      </c>
      <c r="I521" s="20">
        <v>0.122</v>
      </c>
      <c r="J521" s="18">
        <v>1.173</v>
      </c>
      <c r="K521" s="38" cm="1">
        <f t="array" ref="K521">J521-H521</f>
        <v>0.149</v>
      </c>
      <c r="L521" s="20">
        <v>0.095</v>
      </c>
      <c r="M521" s="20">
        <v>1.33</v>
      </c>
      <c r="N521" s="18">
        <v>14</v>
      </c>
      <c r="O521" s="38" cm="1">
        <f t="array" ref="O521">K521-I521</f>
        <v>0.027</v>
      </c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ht="13.65" customHeight="1">
      <c r="A522" t="s" s="16">
        <v>35</v>
      </c>
      <c r="B522" s="17">
        <v>45630</v>
      </c>
      <c r="C522" t="s" s="16">
        <v>19</v>
      </c>
      <c r="D522" s="18">
        <v>4</v>
      </c>
      <c r="E522" s="18">
        <v>2</v>
      </c>
      <c r="F522" s="18">
        <v>3</v>
      </c>
      <c r="G522" s="19">
        <v>45629</v>
      </c>
      <c r="H522" s="20">
        <v>1.009</v>
      </c>
      <c r="I522" s="20">
        <v>0.121</v>
      </c>
      <c r="J522" s="20">
        <v>1.152</v>
      </c>
      <c r="K522" s="38" cm="1">
        <f t="array" ref="K522">J522-H522</f>
        <v>0.143</v>
      </c>
      <c r="L522" s="20">
        <v>0.081</v>
      </c>
      <c r="M522" s="20">
        <v>1.33</v>
      </c>
      <c r="N522" s="18">
        <v>14</v>
      </c>
      <c r="O522" s="38" cm="1">
        <f t="array" ref="O522">K522-I522</f>
        <v>0.022</v>
      </c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ht="13.65" customHeight="1">
      <c r="A523" t="s" s="22">
        <v>33</v>
      </c>
      <c r="B523" s="23">
        <v>45631</v>
      </c>
      <c r="C523" t="s" s="22">
        <v>19</v>
      </c>
      <c r="D523" s="24">
        <v>4</v>
      </c>
      <c r="E523" s="24">
        <v>2</v>
      </c>
      <c r="F523" s="24">
        <v>4</v>
      </c>
      <c r="G523" s="25">
        <v>45629</v>
      </c>
      <c r="H523" s="26">
        <v>1.017</v>
      </c>
      <c r="I523" s="26">
        <v>0.123</v>
      </c>
      <c r="J523" s="26">
        <v>1.162</v>
      </c>
      <c r="K523" s="38" cm="1">
        <f t="array" ref="K523">J523-H523</f>
        <v>0.145</v>
      </c>
      <c r="L523" s="26">
        <v>0.097</v>
      </c>
      <c r="M523" s="26">
        <v>1.33</v>
      </c>
      <c r="N523" s="24">
        <v>14</v>
      </c>
      <c r="O523" s="38" cm="1">
        <f t="array" ref="O523">K523-I523</f>
        <v>0.022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 ht="13.65" customHeight="1">
      <c r="A524" t="s" s="9">
        <v>33</v>
      </c>
      <c r="B524" s="10">
        <v>45631</v>
      </c>
      <c r="C524" t="s" s="9">
        <v>19</v>
      </c>
      <c r="D524" s="11">
        <v>8</v>
      </c>
      <c r="E524" s="11">
        <v>1</v>
      </c>
      <c r="F524" s="11">
        <v>1</v>
      </c>
      <c r="G524" s="12">
        <v>45629</v>
      </c>
      <c r="H524" s="13">
        <v>1.018</v>
      </c>
      <c r="I524" s="13">
        <v>0.121</v>
      </c>
      <c r="J524" s="13">
        <v>1.175</v>
      </c>
      <c r="K524" s="38" cm="1">
        <f t="array" ref="K524">J524-H524</f>
        <v>0.157</v>
      </c>
      <c r="L524" s="13">
        <v>0.098</v>
      </c>
      <c r="M524" s="13" cm="1">
        <f t="array" ref="M524">1.16+0.125</f>
        <v>1.285</v>
      </c>
      <c r="N524" s="11">
        <v>14</v>
      </c>
      <c r="O524" s="38" cm="1">
        <f t="array" ref="O524">K524-I524</f>
        <v>0.036</v>
      </c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 ht="13.65" customHeight="1">
      <c r="A525" t="s" s="16">
        <v>33</v>
      </c>
      <c r="B525" s="17">
        <v>45631</v>
      </c>
      <c r="C525" t="s" s="16">
        <v>19</v>
      </c>
      <c r="D525" s="18">
        <v>8</v>
      </c>
      <c r="E525" s="18">
        <v>1</v>
      </c>
      <c r="F525" s="18">
        <v>2</v>
      </c>
      <c r="G525" s="19">
        <v>45629</v>
      </c>
      <c r="H525" s="20">
        <v>1.003</v>
      </c>
      <c r="I525" s="20">
        <v>0.121</v>
      </c>
      <c r="J525" s="20">
        <v>1.159</v>
      </c>
      <c r="K525" s="38" cm="1">
        <f t="array" ref="K525">J525-H525</f>
        <v>0.156</v>
      </c>
      <c r="L525" s="20">
        <v>0.097</v>
      </c>
      <c r="M525" s="20" cm="1">
        <f t="array" ref="M525">1.16+0.125</f>
        <v>1.285</v>
      </c>
      <c r="N525" s="18">
        <v>14</v>
      </c>
      <c r="O525" s="38" cm="1">
        <f t="array" ref="O525">K525-I525</f>
        <v>0.035</v>
      </c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ht="13.65" customHeight="1">
      <c r="A526" t="s" s="16">
        <v>33</v>
      </c>
      <c r="B526" s="17">
        <v>45631</v>
      </c>
      <c r="C526" t="s" s="16">
        <v>19</v>
      </c>
      <c r="D526" s="18">
        <v>8</v>
      </c>
      <c r="E526" s="18">
        <v>1</v>
      </c>
      <c r="F526" s="18">
        <v>3</v>
      </c>
      <c r="G526" s="19">
        <v>45629</v>
      </c>
      <c r="H526" s="20">
        <v>1.021</v>
      </c>
      <c r="I526" s="20">
        <v>0.121</v>
      </c>
      <c r="J526" s="20">
        <v>1.175</v>
      </c>
      <c r="K526" s="38" cm="1">
        <f t="array" ref="K526">J526-H526</f>
        <v>0.154</v>
      </c>
      <c r="L526" s="20">
        <v>0.098</v>
      </c>
      <c r="M526" s="20" cm="1">
        <f t="array" ref="M526">1.16+0.125</f>
        <v>1.285</v>
      </c>
      <c r="N526" s="18">
        <v>14</v>
      </c>
      <c r="O526" s="38" cm="1">
        <f t="array" ref="O526">K526-I526</f>
        <v>0.033</v>
      </c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ht="13.65" customHeight="1">
      <c r="A527" t="s" s="22">
        <v>33</v>
      </c>
      <c r="B527" s="23">
        <v>45631</v>
      </c>
      <c r="C527" t="s" s="22">
        <v>19</v>
      </c>
      <c r="D527" s="24">
        <v>8</v>
      </c>
      <c r="E527" s="24">
        <v>1</v>
      </c>
      <c r="F527" s="24">
        <v>4</v>
      </c>
      <c r="G527" s="25">
        <v>45629</v>
      </c>
      <c r="H527" s="26">
        <v>1.023</v>
      </c>
      <c r="I527" s="26">
        <v>0.12</v>
      </c>
      <c r="J527" s="26">
        <v>1.18</v>
      </c>
      <c r="K527" s="38" cm="1">
        <f t="array" ref="K527">J527-H527</f>
        <v>0.157</v>
      </c>
      <c r="L527" s="26">
        <v>0.098</v>
      </c>
      <c r="M527" s="24">
        <v>1.285</v>
      </c>
      <c r="N527" s="24">
        <v>14</v>
      </c>
      <c r="O527" s="38" cm="1">
        <f t="array" ref="O527">K527-I527</f>
        <v>0.037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 ht="13.65" customHeight="1">
      <c r="A528" t="s" s="9">
        <v>33</v>
      </c>
      <c r="B528" s="10">
        <v>45631</v>
      </c>
      <c r="C528" t="s" s="9">
        <v>19</v>
      </c>
      <c r="D528" s="11">
        <v>8</v>
      </c>
      <c r="E528" s="11">
        <v>2</v>
      </c>
      <c r="F528" s="11">
        <v>1</v>
      </c>
      <c r="G528" s="12">
        <v>45629</v>
      </c>
      <c r="H528" s="13">
        <v>0.992</v>
      </c>
      <c r="I528" s="13">
        <v>0.121</v>
      </c>
      <c r="J528" s="13">
        <v>1.148</v>
      </c>
      <c r="K528" s="38" cm="1">
        <f t="array" ref="K528">J528-H528</f>
        <v>0.156</v>
      </c>
      <c r="L528" s="13">
        <v>0.099</v>
      </c>
      <c r="M528" s="13">
        <v>1.26</v>
      </c>
      <c r="N528" s="11">
        <v>14</v>
      </c>
      <c r="O528" s="38" cm="1">
        <f t="array" ref="O528">K528-I528</f>
        <v>0.035</v>
      </c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 ht="13.65" customHeight="1">
      <c r="A529" t="s" s="16">
        <v>33</v>
      </c>
      <c r="B529" s="17">
        <v>45631</v>
      </c>
      <c r="C529" t="s" s="16">
        <v>19</v>
      </c>
      <c r="D529" s="18">
        <v>8</v>
      </c>
      <c r="E529" s="18">
        <v>2</v>
      </c>
      <c r="F529" s="18">
        <v>2</v>
      </c>
      <c r="G529" s="19">
        <v>45629</v>
      </c>
      <c r="H529" s="20">
        <v>0.997</v>
      </c>
      <c r="I529" s="20">
        <v>0.122</v>
      </c>
      <c r="J529" s="20">
        <v>1.157</v>
      </c>
      <c r="K529" s="38" cm="1">
        <f t="array" ref="K529">J529-H529</f>
        <v>0.16</v>
      </c>
      <c r="L529" s="20">
        <v>0.1</v>
      </c>
      <c r="M529" s="20">
        <v>1.26</v>
      </c>
      <c r="N529" s="18">
        <v>14</v>
      </c>
      <c r="O529" s="38" cm="1">
        <f t="array" ref="O529">K529-I529</f>
        <v>0.038</v>
      </c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ht="13.65" customHeight="1">
      <c r="A530" t="s" s="16">
        <v>33</v>
      </c>
      <c r="B530" s="17">
        <v>45631</v>
      </c>
      <c r="C530" t="s" s="16">
        <v>19</v>
      </c>
      <c r="D530" s="18">
        <v>8</v>
      </c>
      <c r="E530" s="18">
        <v>2</v>
      </c>
      <c r="F530" s="18">
        <v>3</v>
      </c>
      <c r="G530" s="19">
        <v>45629</v>
      </c>
      <c r="H530" s="20">
        <v>1.004</v>
      </c>
      <c r="I530" s="20">
        <v>0.12</v>
      </c>
      <c r="J530" s="20">
        <v>1.161</v>
      </c>
      <c r="K530" s="38" cm="1">
        <f t="array" ref="K530">J530-H530</f>
        <v>0.157</v>
      </c>
      <c r="L530" s="20">
        <v>0.096</v>
      </c>
      <c r="M530" s="20">
        <v>1.26</v>
      </c>
      <c r="N530" s="18">
        <v>14</v>
      </c>
      <c r="O530" s="38" cm="1">
        <f t="array" ref="O530">K530-I530</f>
        <v>0.037</v>
      </c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ht="13.65" customHeight="1">
      <c r="A531" t="s" s="22">
        <v>33</v>
      </c>
      <c r="B531" s="23">
        <v>45631</v>
      </c>
      <c r="C531" t="s" s="22">
        <v>19</v>
      </c>
      <c r="D531" s="24">
        <v>8</v>
      </c>
      <c r="E531" s="24">
        <v>2</v>
      </c>
      <c r="F531" s="24">
        <v>4</v>
      </c>
      <c r="G531" s="25">
        <v>45629</v>
      </c>
      <c r="H531" s="26">
        <v>1.033</v>
      </c>
      <c r="I531" s="26">
        <v>0.12</v>
      </c>
      <c r="J531" s="26">
        <v>1.188</v>
      </c>
      <c r="K531" s="38" cm="1">
        <f t="array" ref="K531">J531-H531</f>
        <v>0.155</v>
      </c>
      <c r="L531" s="26">
        <v>0.099</v>
      </c>
      <c r="M531" s="26">
        <v>1.26</v>
      </c>
      <c r="N531" s="24">
        <v>14</v>
      </c>
      <c r="O531" s="38" cm="1">
        <f t="array" ref="O531">K531-I531</f>
        <v>0.035</v>
      </c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 ht="13.65" customHeight="1">
      <c r="A532" t="s" s="9">
        <v>33</v>
      </c>
      <c r="B532" s="10">
        <v>45631</v>
      </c>
      <c r="C532" t="s" s="9">
        <v>20</v>
      </c>
      <c r="D532" s="11">
        <v>4</v>
      </c>
      <c r="E532" s="11">
        <v>1</v>
      </c>
      <c r="F532" s="11">
        <v>1</v>
      </c>
      <c r="G532" s="12">
        <v>45629</v>
      </c>
      <c r="H532" s="13">
        <v>1.001</v>
      </c>
      <c r="I532" s="13">
        <v>0.121</v>
      </c>
      <c r="J532" s="13">
        <v>1.132</v>
      </c>
      <c r="K532" s="38" cm="1">
        <f t="array" ref="K532">J532-H532</f>
        <v>0.131</v>
      </c>
      <c r="L532" s="13">
        <v>0.1</v>
      </c>
      <c r="M532" s="13" cm="1">
        <f t="array" ref="M532">1.24+0.125</f>
        <v>1.365</v>
      </c>
      <c r="N532" s="11">
        <v>14</v>
      </c>
      <c r="O532" s="38" cm="1">
        <f t="array" ref="O532">K532-I532</f>
        <v>0.01</v>
      </c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 ht="13.65" customHeight="1">
      <c r="A533" t="s" s="16">
        <v>33</v>
      </c>
      <c r="B533" s="17">
        <v>45631</v>
      </c>
      <c r="C533" t="s" s="16">
        <v>20</v>
      </c>
      <c r="D533" s="18">
        <v>4</v>
      </c>
      <c r="E533" s="18">
        <v>1</v>
      </c>
      <c r="F533" s="18">
        <v>2</v>
      </c>
      <c r="G533" s="19">
        <v>45629</v>
      </c>
      <c r="H533" s="20">
        <v>1.023</v>
      </c>
      <c r="I533" s="20">
        <v>0.124</v>
      </c>
      <c r="J533" s="20">
        <v>1.156</v>
      </c>
      <c r="K533" s="38" cm="1">
        <f t="array" ref="K533">J533-H533</f>
        <v>0.133</v>
      </c>
      <c r="L533" s="20">
        <v>0.1</v>
      </c>
      <c r="M533" s="20" cm="1">
        <f t="array" ref="M533">1.24+0.125</f>
        <v>1.365</v>
      </c>
      <c r="N533" s="18">
        <v>14</v>
      </c>
      <c r="O533" s="38" cm="1">
        <f t="array" ref="O533">K533-I533</f>
        <v>0.008999999999999999</v>
      </c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ht="13.65" customHeight="1">
      <c r="A534" t="s" s="16">
        <v>33</v>
      </c>
      <c r="B534" s="17">
        <v>45631</v>
      </c>
      <c r="C534" t="s" s="16">
        <v>20</v>
      </c>
      <c r="D534" s="18">
        <v>4</v>
      </c>
      <c r="E534" s="18">
        <v>1</v>
      </c>
      <c r="F534" s="18">
        <v>3</v>
      </c>
      <c r="G534" s="19">
        <v>45629</v>
      </c>
      <c r="H534" s="20">
        <v>1.031</v>
      </c>
      <c r="I534" s="20">
        <v>0.121</v>
      </c>
      <c r="J534" s="20">
        <v>1.164</v>
      </c>
      <c r="K534" s="38" cm="1">
        <f t="array" ref="K534">J534-H534</f>
        <v>0.133</v>
      </c>
      <c r="L534" s="20">
        <v>0.1</v>
      </c>
      <c r="M534" s="20" cm="1">
        <f t="array" ref="M534">1.24+0.125</f>
        <v>1.365</v>
      </c>
      <c r="N534" s="18">
        <v>14</v>
      </c>
      <c r="O534" s="38" cm="1">
        <f t="array" ref="O534">K534-I534</f>
        <v>0.012</v>
      </c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ht="13.65" customHeight="1">
      <c r="A535" t="s" s="22">
        <v>33</v>
      </c>
      <c r="B535" s="23">
        <v>45631</v>
      </c>
      <c r="C535" t="s" s="22">
        <v>20</v>
      </c>
      <c r="D535" s="24">
        <v>4</v>
      </c>
      <c r="E535" s="24">
        <v>1</v>
      </c>
      <c r="F535" s="24">
        <v>4</v>
      </c>
      <c r="G535" s="25">
        <v>45629</v>
      </c>
      <c r="H535" s="26">
        <v>1.002</v>
      </c>
      <c r="I535" s="26">
        <v>0.123</v>
      </c>
      <c r="J535" s="26">
        <v>1.136</v>
      </c>
      <c r="K535" s="38" cm="1">
        <f t="array" ref="K535">J535-H535</f>
        <v>0.134</v>
      </c>
      <c r="L535" s="26">
        <v>0.1</v>
      </c>
      <c r="M535" s="26" cm="1">
        <f t="array" ref="M535">1.24+0.125</f>
        <v>1.365</v>
      </c>
      <c r="N535" s="24">
        <v>14</v>
      </c>
      <c r="O535" s="38" cm="1">
        <f t="array" ref="O535">K535-I535</f>
        <v>0.011</v>
      </c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 ht="13.65" customHeight="1">
      <c r="A536" t="s" s="9">
        <v>33</v>
      </c>
      <c r="B536" s="10">
        <v>45631</v>
      </c>
      <c r="C536" t="s" s="9">
        <v>20</v>
      </c>
      <c r="D536" s="11">
        <v>4</v>
      </c>
      <c r="E536" s="11">
        <v>2</v>
      </c>
      <c r="F536" s="11">
        <v>1</v>
      </c>
      <c r="G536" s="12">
        <v>45629</v>
      </c>
      <c r="H536" s="13">
        <v>0.986</v>
      </c>
      <c r="I536" s="13">
        <v>0.12</v>
      </c>
      <c r="J536" s="13">
        <v>1.117</v>
      </c>
      <c r="K536" s="38" cm="1">
        <f t="array" ref="K536">J536-H536</f>
        <v>0.131</v>
      </c>
      <c r="L536" s="13">
        <v>0.1</v>
      </c>
      <c r="M536" s="13">
        <v>1.36</v>
      </c>
      <c r="N536" s="11">
        <v>14</v>
      </c>
      <c r="O536" s="38" cm="1">
        <f t="array" ref="O536">K536-I536</f>
        <v>0.011</v>
      </c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 ht="13.65" customHeight="1">
      <c r="A537" t="s" s="16">
        <v>33</v>
      </c>
      <c r="B537" s="17">
        <v>45631</v>
      </c>
      <c r="C537" t="s" s="16">
        <v>20</v>
      </c>
      <c r="D537" s="18">
        <v>4</v>
      </c>
      <c r="E537" s="18">
        <v>2</v>
      </c>
      <c r="F537" s="18">
        <v>2</v>
      </c>
      <c r="G537" s="19">
        <v>45629</v>
      </c>
      <c r="H537" s="20">
        <v>1.018</v>
      </c>
      <c r="I537" s="20">
        <v>0.122</v>
      </c>
      <c r="J537" s="20">
        <v>1.15</v>
      </c>
      <c r="K537" s="38" cm="1">
        <f t="array" ref="K537">J537-H537</f>
        <v>0.132</v>
      </c>
      <c r="L537" s="20">
        <v>0.099</v>
      </c>
      <c r="M537" s="20">
        <v>1.36</v>
      </c>
      <c r="N537" s="18">
        <v>14</v>
      </c>
      <c r="O537" s="38" cm="1">
        <f t="array" ref="O537">K537-I537</f>
        <v>0.01</v>
      </c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ht="13.65" customHeight="1">
      <c r="A538" t="s" s="16">
        <v>33</v>
      </c>
      <c r="B538" s="17">
        <v>45631</v>
      </c>
      <c r="C538" t="s" s="16">
        <v>20</v>
      </c>
      <c r="D538" s="18">
        <v>4</v>
      </c>
      <c r="E538" s="18">
        <v>2</v>
      </c>
      <c r="F538" s="18">
        <v>3</v>
      </c>
      <c r="G538" s="19">
        <v>45629</v>
      </c>
      <c r="H538" s="20">
        <v>1.011</v>
      </c>
      <c r="I538" s="20">
        <v>0.119</v>
      </c>
      <c r="J538" s="20">
        <v>1.14</v>
      </c>
      <c r="K538" s="38" cm="1">
        <f t="array" ref="K538">J538-H538</f>
        <v>0.129</v>
      </c>
      <c r="L538" s="20">
        <v>0.097</v>
      </c>
      <c r="M538" s="20">
        <v>1.36</v>
      </c>
      <c r="N538" s="18">
        <v>14</v>
      </c>
      <c r="O538" s="38" cm="1">
        <f t="array" ref="O538">K538-I538</f>
        <v>0.01</v>
      </c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ht="13.65" customHeight="1">
      <c r="A539" t="s" s="22">
        <v>33</v>
      </c>
      <c r="B539" s="23">
        <v>45631</v>
      </c>
      <c r="C539" t="s" s="22">
        <v>20</v>
      </c>
      <c r="D539" s="24">
        <v>4</v>
      </c>
      <c r="E539" s="24">
        <v>2</v>
      </c>
      <c r="F539" s="24">
        <v>4</v>
      </c>
      <c r="G539" s="25">
        <v>45629</v>
      </c>
      <c r="H539" s="26">
        <v>1.007</v>
      </c>
      <c r="I539" s="26">
        <v>0.119</v>
      </c>
      <c r="J539" s="26">
        <v>1.137</v>
      </c>
      <c r="K539" s="38" cm="1">
        <f t="array" ref="K539">J539-H539</f>
        <v>0.13</v>
      </c>
      <c r="L539" s="26">
        <v>0.099</v>
      </c>
      <c r="M539" s="26">
        <v>1.36</v>
      </c>
      <c r="N539" s="24">
        <v>14</v>
      </c>
      <c r="O539" s="38" cm="1">
        <f t="array" ref="O539">K539-I539</f>
        <v>0.011</v>
      </c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 ht="13.65" customHeight="1">
      <c r="A540" t="s" s="9">
        <v>33</v>
      </c>
      <c r="B540" s="10">
        <v>45631</v>
      </c>
      <c r="C540" t="s" s="9">
        <v>20</v>
      </c>
      <c r="D540" s="11">
        <v>8</v>
      </c>
      <c r="E540" s="11">
        <v>1</v>
      </c>
      <c r="F540" s="11">
        <v>1</v>
      </c>
      <c r="G540" s="12">
        <v>45629</v>
      </c>
      <c r="H540" s="13">
        <v>1.008</v>
      </c>
      <c r="I540" s="13">
        <v>0.121</v>
      </c>
      <c r="J540" s="13">
        <v>1.138</v>
      </c>
      <c r="K540" s="38" cm="1">
        <f t="array" ref="K540">J540-H540</f>
        <v>0.13</v>
      </c>
      <c r="L540" s="13">
        <v>0.1</v>
      </c>
      <c r="M540" s="13">
        <v>1.325</v>
      </c>
      <c r="N540" s="11">
        <v>14</v>
      </c>
      <c r="O540" s="38" cm="1">
        <f t="array" ref="O540">K540-I540</f>
        <v>0.008999999999999999</v>
      </c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 ht="13.65" customHeight="1">
      <c r="A541" t="s" s="16">
        <v>33</v>
      </c>
      <c r="B541" s="17">
        <v>45631</v>
      </c>
      <c r="C541" t="s" s="16">
        <v>20</v>
      </c>
      <c r="D541" s="18">
        <v>8</v>
      </c>
      <c r="E541" s="18">
        <v>1</v>
      </c>
      <c r="F541" s="18">
        <v>2</v>
      </c>
      <c r="G541" s="19">
        <v>45629</v>
      </c>
      <c r="H541" s="20">
        <v>1.024</v>
      </c>
      <c r="I541" s="20">
        <v>0.119</v>
      </c>
      <c r="J541" s="20">
        <v>1.155</v>
      </c>
      <c r="K541" s="38" cm="1">
        <f t="array" ref="K541">J541-H541</f>
        <v>0.131</v>
      </c>
      <c r="L541" s="20">
        <v>0.099</v>
      </c>
      <c r="M541" s="20">
        <v>1.325</v>
      </c>
      <c r="N541" s="18">
        <v>14</v>
      </c>
      <c r="O541" s="38" cm="1">
        <f t="array" ref="O541">K541-I541</f>
        <v>0.012</v>
      </c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ht="13.65" customHeight="1">
      <c r="A542" t="s" s="16">
        <v>33</v>
      </c>
      <c r="B542" s="17">
        <v>45631</v>
      </c>
      <c r="C542" t="s" s="16">
        <v>20</v>
      </c>
      <c r="D542" s="18">
        <v>8</v>
      </c>
      <c r="E542" s="18">
        <v>1</v>
      </c>
      <c r="F542" s="18">
        <v>3</v>
      </c>
      <c r="G542" s="19">
        <v>45629</v>
      </c>
      <c r="H542" s="20">
        <v>0.991</v>
      </c>
      <c r="I542" s="20">
        <v>0.12</v>
      </c>
      <c r="J542" s="20">
        <v>1.125</v>
      </c>
      <c r="K542" s="38" cm="1">
        <f t="array" ref="K542">J542-H542</f>
        <v>0.134</v>
      </c>
      <c r="L542" s="20">
        <v>0.1</v>
      </c>
      <c r="M542" s="20">
        <v>1.325</v>
      </c>
      <c r="N542" s="18">
        <v>14</v>
      </c>
      <c r="O542" s="38" cm="1">
        <f t="array" ref="O542">K542-I542</f>
        <v>0.014</v>
      </c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ht="13.65" customHeight="1">
      <c r="A543" t="s" s="22">
        <v>33</v>
      </c>
      <c r="B543" s="23">
        <v>45631</v>
      </c>
      <c r="C543" t="s" s="22">
        <v>20</v>
      </c>
      <c r="D543" s="24">
        <v>8</v>
      </c>
      <c r="E543" s="24">
        <v>1</v>
      </c>
      <c r="F543" s="24">
        <v>4</v>
      </c>
      <c r="G543" s="25">
        <v>45629</v>
      </c>
      <c r="H543" s="26">
        <v>1.005</v>
      </c>
      <c r="I543" s="26">
        <v>0.12</v>
      </c>
      <c r="J543" s="26">
        <v>1.139</v>
      </c>
      <c r="K543" s="38" cm="1">
        <f t="array" ref="K543">J543-H543</f>
        <v>0.134</v>
      </c>
      <c r="L543" s="26">
        <v>0.1</v>
      </c>
      <c r="M543" s="26">
        <v>1.325</v>
      </c>
      <c r="N543" s="24">
        <v>14</v>
      </c>
      <c r="O543" s="38" cm="1">
        <f t="array" ref="O543">K543-I543</f>
        <v>0.014</v>
      </c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 ht="13.65" customHeight="1">
      <c r="A544" t="s" s="9">
        <v>33</v>
      </c>
      <c r="B544" s="10">
        <v>45631</v>
      </c>
      <c r="C544" t="s" s="9">
        <v>20</v>
      </c>
      <c r="D544" s="11">
        <v>8</v>
      </c>
      <c r="E544" s="11">
        <v>2</v>
      </c>
      <c r="F544" s="11">
        <v>1</v>
      </c>
      <c r="G544" s="12">
        <v>45629</v>
      </c>
      <c r="H544" s="13">
        <v>1.017</v>
      </c>
      <c r="I544" s="13">
        <v>0.119</v>
      </c>
      <c r="J544" s="13">
        <v>1.148</v>
      </c>
      <c r="K544" s="38" cm="1">
        <f t="array" ref="K544">J544-H544</f>
        <v>0.131</v>
      </c>
      <c r="L544" s="13">
        <v>0.1</v>
      </c>
      <c r="M544" s="13">
        <v>1.34</v>
      </c>
      <c r="N544" s="11">
        <v>14</v>
      </c>
      <c r="O544" s="38" cm="1">
        <f t="array" ref="O544">K544-I544</f>
        <v>0.012</v>
      </c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 ht="13.65" customHeight="1">
      <c r="A545" t="s" s="16">
        <v>33</v>
      </c>
      <c r="B545" s="17">
        <v>45631</v>
      </c>
      <c r="C545" t="s" s="16">
        <v>20</v>
      </c>
      <c r="D545" s="18">
        <v>8</v>
      </c>
      <c r="E545" s="18">
        <v>2</v>
      </c>
      <c r="F545" s="18">
        <v>2</v>
      </c>
      <c r="G545" s="19">
        <v>45629</v>
      </c>
      <c r="H545" s="20">
        <v>1.014</v>
      </c>
      <c r="I545" s="20">
        <v>0.12</v>
      </c>
      <c r="J545" s="20">
        <v>1.147</v>
      </c>
      <c r="K545" s="38" cm="1">
        <f t="array" ref="K545">J545-H545</f>
        <v>0.133</v>
      </c>
      <c r="L545" s="20">
        <v>0.099</v>
      </c>
      <c r="M545" s="20">
        <v>1.34</v>
      </c>
      <c r="N545" s="18">
        <v>14</v>
      </c>
      <c r="O545" s="38" cm="1">
        <f t="array" ref="O545">K545-I545</f>
        <v>0.013</v>
      </c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ht="13.65" customHeight="1">
      <c r="A546" t="s" s="16">
        <v>33</v>
      </c>
      <c r="B546" s="17">
        <v>45631</v>
      </c>
      <c r="C546" t="s" s="16">
        <v>20</v>
      </c>
      <c r="D546" s="18">
        <v>8</v>
      </c>
      <c r="E546" s="18">
        <v>2</v>
      </c>
      <c r="F546" s="18">
        <v>3</v>
      </c>
      <c r="G546" s="19">
        <v>45629</v>
      </c>
      <c r="H546" s="20">
        <v>0.988</v>
      </c>
      <c r="I546" s="20">
        <v>0.121</v>
      </c>
      <c r="J546" s="20">
        <v>1.123</v>
      </c>
      <c r="K546" s="38" cm="1">
        <f t="array" ref="K546">J546-H546</f>
        <v>0.135</v>
      </c>
      <c r="L546" s="20">
        <v>0.099</v>
      </c>
      <c r="M546" s="20">
        <v>1.34</v>
      </c>
      <c r="N546" s="18">
        <v>14</v>
      </c>
      <c r="O546" s="38" cm="1">
        <f t="array" ref="O546">K546-I546</f>
        <v>0.014</v>
      </c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ht="13.65" customHeight="1">
      <c r="A547" t="s" s="22">
        <v>33</v>
      </c>
      <c r="B547" s="23">
        <v>45631</v>
      </c>
      <c r="C547" t="s" s="22">
        <v>20</v>
      </c>
      <c r="D547" s="24">
        <v>8</v>
      </c>
      <c r="E547" s="24">
        <v>2</v>
      </c>
      <c r="F547" s="24">
        <v>4</v>
      </c>
      <c r="G547" s="25">
        <v>45629</v>
      </c>
      <c r="H547" s="26">
        <v>1.021</v>
      </c>
      <c r="I547" s="26">
        <v>0.12</v>
      </c>
      <c r="J547" s="26">
        <v>1.154</v>
      </c>
      <c r="K547" s="38" cm="1">
        <f t="array" ref="K547">J547-H547</f>
        <v>0.133</v>
      </c>
      <c r="L547" s="26">
        <v>0.1</v>
      </c>
      <c r="M547" s="26">
        <v>1.34</v>
      </c>
      <c r="N547" s="24">
        <v>14</v>
      </c>
      <c r="O547" s="38" cm="1">
        <f t="array" ref="O547">K547-I547</f>
        <v>0.013</v>
      </c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 ht="13.65" customHeight="1">
      <c r="A548" t="s" s="9">
        <v>40</v>
      </c>
      <c r="B548" s="12">
        <v>45643</v>
      </c>
      <c r="C548" t="s" s="9">
        <v>19</v>
      </c>
      <c r="D548" s="11">
        <v>4</v>
      </c>
      <c r="E548" s="11">
        <v>1</v>
      </c>
      <c r="F548" s="11">
        <v>1</v>
      </c>
      <c r="G548" s="12">
        <v>45642</v>
      </c>
      <c r="H548" s="11">
        <v>0.996</v>
      </c>
      <c r="I548" s="11">
        <v>0.12</v>
      </c>
      <c r="J548" s="11">
        <v>1.125</v>
      </c>
      <c r="K548" s="38" cm="1">
        <f t="array" ref="K548">J548-H548</f>
        <v>0.129</v>
      </c>
      <c r="L548" s="11">
        <v>0.099</v>
      </c>
      <c r="M548" s="11" cm="1">
        <f t="array" ref="M548">1+0.22+0.125</f>
        <v>1.345</v>
      </c>
      <c r="N548" s="11">
        <v>13</v>
      </c>
      <c r="O548" s="38" cm="1">
        <f t="array" ref="O548">K548-I548</f>
        <v>0.008999999999999999</v>
      </c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 ht="13.65" customHeight="1">
      <c r="A549" t="s" s="16">
        <v>40</v>
      </c>
      <c r="B549" s="19">
        <v>45643</v>
      </c>
      <c r="C549" t="s" s="16">
        <v>19</v>
      </c>
      <c r="D549" s="18">
        <v>4</v>
      </c>
      <c r="E549" s="18">
        <v>1</v>
      </c>
      <c r="F549" s="18">
        <v>2</v>
      </c>
      <c r="G549" s="19">
        <v>45642</v>
      </c>
      <c r="H549" s="18">
        <v>1.011</v>
      </c>
      <c r="I549" s="18">
        <v>0.119</v>
      </c>
      <c r="J549" s="18">
        <v>1.138</v>
      </c>
      <c r="K549" s="38" cm="1">
        <f t="array" ref="K549">J549-H549</f>
        <v>0.127</v>
      </c>
      <c r="L549" s="18">
        <v>0.099</v>
      </c>
      <c r="M549" s="18" cm="1">
        <f t="array" ref="M549">1+0.22+0.125</f>
        <v>1.345</v>
      </c>
      <c r="N549" s="18">
        <v>13</v>
      </c>
      <c r="O549" s="38" cm="1">
        <f t="array" ref="O549">K549-I549</f>
        <v>0.008</v>
      </c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ht="13.65" customHeight="1">
      <c r="A550" t="s" s="16">
        <v>40</v>
      </c>
      <c r="B550" s="19">
        <v>45643</v>
      </c>
      <c r="C550" t="s" s="16">
        <v>19</v>
      </c>
      <c r="D550" s="18">
        <v>4</v>
      </c>
      <c r="E550" s="18">
        <v>1</v>
      </c>
      <c r="F550" s="18">
        <v>3</v>
      </c>
      <c r="G550" s="19">
        <v>45642</v>
      </c>
      <c r="H550" s="18">
        <v>0.993</v>
      </c>
      <c r="I550" s="18">
        <v>0.119</v>
      </c>
      <c r="J550" s="18">
        <v>1.119</v>
      </c>
      <c r="K550" s="38" cm="1">
        <f t="array" ref="K550">J550-H550</f>
        <v>0.126</v>
      </c>
      <c r="L550" s="18">
        <v>0.1</v>
      </c>
      <c r="M550" s="18" cm="1">
        <f t="array" ref="M550">1+0.22+0.125</f>
        <v>1.345</v>
      </c>
      <c r="N550" s="18">
        <v>13</v>
      </c>
      <c r="O550" s="38" cm="1">
        <f t="array" ref="O550">K550-I550</f>
        <v>0.007</v>
      </c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ht="13.65" customHeight="1">
      <c r="A551" t="s" s="22">
        <v>40</v>
      </c>
      <c r="B551" s="25">
        <v>45643</v>
      </c>
      <c r="C551" t="s" s="22">
        <v>19</v>
      </c>
      <c r="D551" s="24">
        <v>4</v>
      </c>
      <c r="E551" s="24">
        <v>1</v>
      </c>
      <c r="F551" s="24">
        <v>4</v>
      </c>
      <c r="G551" s="25">
        <v>45642</v>
      </c>
      <c r="H551" s="24">
        <v>0.999</v>
      </c>
      <c r="I551" s="24">
        <v>0.12</v>
      </c>
      <c r="J551" s="24">
        <v>1.128</v>
      </c>
      <c r="K551" s="38" cm="1">
        <f t="array" ref="K551">J551-H551</f>
        <v>0.129</v>
      </c>
      <c r="L551" s="24">
        <v>0.099</v>
      </c>
      <c r="M551" s="18" cm="1">
        <f t="array" ref="M551">1+0.22+0.125</f>
        <v>1.345</v>
      </c>
      <c r="N551" s="24">
        <v>13</v>
      </c>
      <c r="O551" s="38" cm="1">
        <f t="array" ref="O551">K551-I551</f>
        <v>0.008999999999999999</v>
      </c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 ht="13.65" customHeight="1">
      <c r="A552" t="s" s="9">
        <v>40</v>
      </c>
      <c r="B552" s="12">
        <v>45643</v>
      </c>
      <c r="C552" t="s" s="9">
        <v>19</v>
      </c>
      <c r="D552" s="11">
        <v>4</v>
      </c>
      <c r="E552" s="11">
        <v>2</v>
      </c>
      <c r="F552" s="11">
        <v>1</v>
      </c>
      <c r="G552" s="12">
        <v>45642</v>
      </c>
      <c r="H552" s="11">
        <v>1.021</v>
      </c>
      <c r="I552" s="11">
        <v>0.12</v>
      </c>
      <c r="J552" s="11">
        <v>1.148</v>
      </c>
      <c r="K552" s="38" cm="1">
        <f t="array" ref="K552">J552-H552</f>
        <v>0.127</v>
      </c>
      <c r="L552" s="11">
        <v>0.098</v>
      </c>
      <c r="M552" s="18">
        <v>1.38</v>
      </c>
      <c r="N552" s="11">
        <v>13</v>
      </c>
      <c r="O552" s="38" cm="1">
        <f t="array" ref="O552">K552-I552</f>
        <v>0.007</v>
      </c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 ht="13.65" customHeight="1">
      <c r="A553" t="s" s="16">
        <v>40</v>
      </c>
      <c r="B553" s="19">
        <v>45643</v>
      </c>
      <c r="C553" t="s" s="16">
        <v>19</v>
      </c>
      <c r="D553" s="18">
        <v>4</v>
      </c>
      <c r="E553" s="18">
        <v>2</v>
      </c>
      <c r="F553" s="18">
        <v>2</v>
      </c>
      <c r="G553" s="19">
        <v>45642</v>
      </c>
      <c r="H553" s="18">
        <v>1.012</v>
      </c>
      <c r="I553" s="18">
        <v>0.12</v>
      </c>
      <c r="J553" s="18">
        <v>1.138</v>
      </c>
      <c r="K553" s="38" cm="1">
        <f t="array" ref="K553">J553-H553</f>
        <v>0.126</v>
      </c>
      <c r="L553" s="18">
        <v>0.099</v>
      </c>
      <c r="M553" s="18">
        <v>1.38</v>
      </c>
      <c r="N553" s="18">
        <v>13</v>
      </c>
      <c r="O553" s="38" cm="1">
        <f t="array" ref="O553">K553-I553</f>
        <v>0.006</v>
      </c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ht="13.65" customHeight="1">
      <c r="A554" t="s" s="16">
        <v>40</v>
      </c>
      <c r="B554" s="19">
        <v>45643</v>
      </c>
      <c r="C554" t="s" s="16">
        <v>19</v>
      </c>
      <c r="D554" s="18">
        <v>4</v>
      </c>
      <c r="E554" s="18">
        <v>2</v>
      </c>
      <c r="F554" s="18">
        <v>3</v>
      </c>
      <c r="G554" s="19">
        <v>45642</v>
      </c>
      <c r="H554" s="18">
        <v>1.021</v>
      </c>
      <c r="I554" s="18">
        <v>0.121</v>
      </c>
      <c r="J554" s="18">
        <v>1.148</v>
      </c>
      <c r="K554" s="38" cm="1">
        <f t="array" ref="K554">J554-H554</f>
        <v>0.127</v>
      </c>
      <c r="L554" s="18">
        <v>0.098</v>
      </c>
      <c r="M554" s="18">
        <v>1.38</v>
      </c>
      <c r="N554" s="18">
        <v>13</v>
      </c>
      <c r="O554" s="38" cm="1">
        <f t="array" ref="O554">K554-I554</f>
        <v>0.006</v>
      </c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ht="13.65" customHeight="1">
      <c r="A555" t="s" s="22">
        <v>40</v>
      </c>
      <c r="B555" s="25">
        <v>45643</v>
      </c>
      <c r="C555" t="s" s="22">
        <v>19</v>
      </c>
      <c r="D555" s="24">
        <v>4</v>
      </c>
      <c r="E555" s="24">
        <v>2</v>
      </c>
      <c r="F555" s="24">
        <v>4</v>
      </c>
      <c r="G555" s="25">
        <v>45642</v>
      </c>
      <c r="H555" s="24">
        <v>1.011</v>
      </c>
      <c r="I555" s="24">
        <v>0.119</v>
      </c>
      <c r="J555" s="24">
        <v>1.137</v>
      </c>
      <c r="K555" s="38" cm="1">
        <f t="array" ref="K555">J555-H555</f>
        <v>0.126</v>
      </c>
      <c r="L555" s="24">
        <v>0.098</v>
      </c>
      <c r="M555" s="18">
        <v>1.38</v>
      </c>
      <c r="N555" s="24">
        <v>13</v>
      </c>
      <c r="O555" s="38" cm="1">
        <f t="array" ref="O555">K555-I555</f>
        <v>0.007</v>
      </c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 ht="13.65" customHeight="1">
      <c r="A556" t="s" s="9">
        <v>40</v>
      </c>
      <c r="B556" s="12">
        <v>45643</v>
      </c>
      <c r="C556" t="s" s="9">
        <v>19</v>
      </c>
      <c r="D556" s="11">
        <v>8</v>
      </c>
      <c r="E556" s="11">
        <v>1</v>
      </c>
      <c r="F556" s="11">
        <v>1</v>
      </c>
      <c r="G556" s="12">
        <v>45642</v>
      </c>
      <c r="H556" s="11">
        <v>1.024</v>
      </c>
      <c r="I556" s="11">
        <v>0.12</v>
      </c>
      <c r="J556" s="11">
        <v>1.15</v>
      </c>
      <c r="K556" s="38" cm="1">
        <f t="array" ref="K556">J556-H556</f>
        <v>0.126</v>
      </c>
      <c r="L556" s="11">
        <v>0.08</v>
      </c>
      <c r="M556" s="18">
        <v>1.395</v>
      </c>
      <c r="N556" s="11">
        <v>13</v>
      </c>
      <c r="O556" s="38" cm="1">
        <f t="array" ref="O556">K556-I556</f>
        <v>0.006</v>
      </c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 ht="13.65" customHeight="1">
      <c r="A557" t="s" s="16">
        <v>40</v>
      </c>
      <c r="B557" s="19">
        <v>45643</v>
      </c>
      <c r="C557" t="s" s="16">
        <v>19</v>
      </c>
      <c r="D557" s="18">
        <v>8</v>
      </c>
      <c r="E557" s="18">
        <v>1</v>
      </c>
      <c r="F557" s="18">
        <v>2</v>
      </c>
      <c r="G557" s="19">
        <v>45642</v>
      </c>
      <c r="H557" s="18">
        <v>1.004</v>
      </c>
      <c r="I557" s="18">
        <v>0.122</v>
      </c>
      <c r="J557" s="18">
        <v>1.132</v>
      </c>
      <c r="K557" s="38" cm="1">
        <f t="array" ref="K557">J557-H557</f>
        <v>0.128</v>
      </c>
      <c r="L557" s="18">
        <v>0.08</v>
      </c>
      <c r="M557" s="18">
        <v>1.395</v>
      </c>
      <c r="N557" s="18">
        <v>13</v>
      </c>
      <c r="O557" s="38" cm="1">
        <f t="array" ref="O557">K557-I557</f>
        <v>0.006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ht="13.65" customHeight="1">
      <c r="A558" t="s" s="16">
        <v>40</v>
      </c>
      <c r="B558" s="19">
        <v>45643</v>
      </c>
      <c r="C558" t="s" s="16">
        <v>19</v>
      </c>
      <c r="D558" s="18">
        <v>8</v>
      </c>
      <c r="E558" s="18">
        <v>1</v>
      </c>
      <c r="F558" s="18">
        <v>3</v>
      </c>
      <c r="G558" s="19">
        <v>45642</v>
      </c>
      <c r="H558" s="18">
        <v>1.013</v>
      </c>
      <c r="I558" s="18">
        <v>0.12</v>
      </c>
      <c r="J558" s="18">
        <v>1.138</v>
      </c>
      <c r="K558" s="38" cm="1">
        <f t="array" ref="K558">J558-H558</f>
        <v>0.125</v>
      </c>
      <c r="L558" s="18">
        <v>0.081</v>
      </c>
      <c r="M558" s="18">
        <v>1.395</v>
      </c>
      <c r="N558" s="18">
        <v>13</v>
      </c>
      <c r="O558" s="38" cm="1">
        <f t="array" ref="O558">K558-I558</f>
        <v>0.005</v>
      </c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ht="13.65" customHeight="1">
      <c r="A559" t="s" s="22">
        <v>40</v>
      </c>
      <c r="B559" s="25">
        <v>45643</v>
      </c>
      <c r="C559" t="s" s="22">
        <v>19</v>
      </c>
      <c r="D559" s="24">
        <v>8</v>
      </c>
      <c r="E559" s="24">
        <v>1</v>
      </c>
      <c r="F559" s="24">
        <v>4</v>
      </c>
      <c r="G559" s="25">
        <v>45642</v>
      </c>
      <c r="H559" s="24">
        <v>1.005</v>
      </c>
      <c r="I559" s="24">
        <v>0.122</v>
      </c>
      <c r="J559" s="24">
        <v>1.133</v>
      </c>
      <c r="K559" s="38" cm="1">
        <f t="array" ref="K559">J559-H559</f>
        <v>0.128</v>
      </c>
      <c r="L559" s="24">
        <v>0.08</v>
      </c>
      <c r="M559" s="18">
        <v>1.395</v>
      </c>
      <c r="N559" s="24">
        <v>13</v>
      </c>
      <c r="O559" s="38" cm="1">
        <f t="array" ref="O559">K559-I559</f>
        <v>0.006</v>
      </c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 ht="13.65" customHeight="1">
      <c r="A560" t="s" s="9">
        <v>40</v>
      </c>
      <c r="B560" s="12">
        <v>45643</v>
      </c>
      <c r="C560" t="s" s="9">
        <v>19</v>
      </c>
      <c r="D560" s="11">
        <v>8</v>
      </c>
      <c r="E560" s="11">
        <v>2</v>
      </c>
      <c r="F560" s="11">
        <v>1</v>
      </c>
      <c r="G560" s="12">
        <v>45642</v>
      </c>
      <c r="H560" s="11">
        <v>1.013</v>
      </c>
      <c r="I560" s="11">
        <v>0.122</v>
      </c>
      <c r="J560" s="11">
        <v>1.142</v>
      </c>
      <c r="K560" s="38" cm="1">
        <f t="array" ref="K560">J560-H560</f>
        <v>0.129</v>
      </c>
      <c r="L560" s="11">
        <v>0.081</v>
      </c>
      <c r="M560" s="18">
        <v>1.44</v>
      </c>
      <c r="N560" s="11">
        <v>13</v>
      </c>
      <c r="O560" s="38" cm="1">
        <f t="array" ref="O560">K560-I560</f>
        <v>0.007</v>
      </c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 ht="13.65" customHeight="1">
      <c r="A561" t="s" s="16">
        <v>40</v>
      </c>
      <c r="B561" s="19">
        <v>45643</v>
      </c>
      <c r="C561" t="s" s="16">
        <v>19</v>
      </c>
      <c r="D561" s="18">
        <v>8</v>
      </c>
      <c r="E561" s="18">
        <v>2</v>
      </c>
      <c r="F561" s="18">
        <v>2</v>
      </c>
      <c r="G561" s="19">
        <v>45642</v>
      </c>
      <c r="H561" s="18">
        <v>1</v>
      </c>
      <c r="I561" s="18">
        <v>0.122</v>
      </c>
      <c r="J561" s="18">
        <v>1.128</v>
      </c>
      <c r="K561" s="38" cm="1">
        <f t="array" ref="K561">J561-H561</f>
        <v>0.128</v>
      </c>
      <c r="L561" s="18">
        <v>0.081</v>
      </c>
      <c r="M561" s="18">
        <v>1.44</v>
      </c>
      <c r="N561" s="18">
        <v>13</v>
      </c>
      <c r="O561" s="38" cm="1">
        <f t="array" ref="O561">K561-I561</f>
        <v>0.006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ht="13.65" customHeight="1">
      <c r="A562" t="s" s="16">
        <v>40</v>
      </c>
      <c r="B562" s="19">
        <v>45643</v>
      </c>
      <c r="C562" t="s" s="16">
        <v>19</v>
      </c>
      <c r="D562" s="18">
        <v>8</v>
      </c>
      <c r="E562" s="18">
        <v>2</v>
      </c>
      <c r="F562" s="18">
        <v>3</v>
      </c>
      <c r="G562" s="19">
        <v>45642</v>
      </c>
      <c r="H562" s="18">
        <v>1</v>
      </c>
      <c r="I562" s="18">
        <v>0.12</v>
      </c>
      <c r="J562" s="18">
        <v>1.126</v>
      </c>
      <c r="K562" s="38" cm="1">
        <f t="array" ref="K562">J562-H562</f>
        <v>0.126</v>
      </c>
      <c r="L562" s="18">
        <v>0.081</v>
      </c>
      <c r="M562" s="18">
        <v>1.44</v>
      </c>
      <c r="N562" s="18">
        <v>13</v>
      </c>
      <c r="O562" s="38" cm="1">
        <f t="array" ref="O562">K562-I562</f>
        <v>0.006</v>
      </c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ht="13.65" customHeight="1">
      <c r="A563" t="s" s="22">
        <v>40</v>
      </c>
      <c r="B563" s="25">
        <v>45643</v>
      </c>
      <c r="C563" t="s" s="22">
        <v>19</v>
      </c>
      <c r="D563" s="24">
        <v>8</v>
      </c>
      <c r="E563" s="24">
        <v>2</v>
      </c>
      <c r="F563" s="24">
        <v>4</v>
      </c>
      <c r="G563" s="25">
        <v>45642</v>
      </c>
      <c r="H563" s="24">
        <v>1.016</v>
      </c>
      <c r="I563" s="24">
        <v>0.122</v>
      </c>
      <c r="J563" s="24">
        <v>1.144</v>
      </c>
      <c r="K563" s="38" cm="1">
        <f t="array" ref="K563">J563-H563</f>
        <v>0.128</v>
      </c>
      <c r="L563" s="24">
        <v>0.081</v>
      </c>
      <c r="M563" s="24">
        <v>1.44</v>
      </c>
      <c r="N563" s="24">
        <v>13</v>
      </c>
      <c r="O563" s="38" cm="1">
        <f t="array" ref="O563">K563-I563</f>
        <v>0.006</v>
      </c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 ht="13.65" customHeight="1">
      <c r="A564" t="s" s="9">
        <v>40</v>
      </c>
      <c r="B564" s="12">
        <v>45643</v>
      </c>
      <c r="C564" t="s" s="9">
        <v>20</v>
      </c>
      <c r="D564" s="11">
        <v>4</v>
      </c>
      <c r="E564" s="11">
        <v>1</v>
      </c>
      <c r="F564" s="11">
        <v>1</v>
      </c>
      <c r="G564" s="12">
        <v>45642</v>
      </c>
      <c r="H564" s="11">
        <v>1.027</v>
      </c>
      <c r="I564" s="11">
        <v>0.123</v>
      </c>
      <c r="J564" s="11">
        <v>1.154</v>
      </c>
      <c r="K564" s="38" cm="1">
        <f t="array" ref="K564">J564-H564</f>
        <v>0.127</v>
      </c>
      <c r="L564" s="11">
        <v>0.1</v>
      </c>
      <c r="M564" s="52">
        <v>1.375</v>
      </c>
      <c r="N564" s="11">
        <v>13</v>
      </c>
      <c r="O564" s="38" cm="1">
        <f t="array" ref="O564">K564-I564</f>
        <v>0.004</v>
      </c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 ht="13.65" customHeight="1">
      <c r="A565" t="s" s="16">
        <v>40</v>
      </c>
      <c r="B565" s="19">
        <v>45643</v>
      </c>
      <c r="C565" t="s" s="16">
        <v>20</v>
      </c>
      <c r="D565" s="18">
        <v>4</v>
      </c>
      <c r="E565" s="18">
        <v>1</v>
      </c>
      <c r="F565" s="18">
        <v>2</v>
      </c>
      <c r="G565" s="19">
        <v>45642</v>
      </c>
      <c r="H565" s="18">
        <v>1.006</v>
      </c>
      <c r="I565" s="18">
        <v>0.122</v>
      </c>
      <c r="J565" s="18">
        <v>1.133</v>
      </c>
      <c r="K565" s="38" cm="1">
        <f t="array" ref="K565">J565-H565</f>
        <v>0.127</v>
      </c>
      <c r="L565" s="18">
        <v>0.096</v>
      </c>
      <c r="M565" s="52">
        <v>1.375</v>
      </c>
      <c r="N565" s="18">
        <v>13</v>
      </c>
      <c r="O565" s="38" cm="1">
        <f t="array" ref="O565">K565-I565</f>
        <v>0.005</v>
      </c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ht="13.65" customHeight="1">
      <c r="A566" t="s" s="16">
        <v>40</v>
      </c>
      <c r="B566" s="19">
        <v>45643</v>
      </c>
      <c r="C566" t="s" s="16">
        <v>20</v>
      </c>
      <c r="D566" s="18">
        <v>4</v>
      </c>
      <c r="E566" s="18">
        <v>1</v>
      </c>
      <c r="F566" s="18">
        <v>3</v>
      </c>
      <c r="G566" s="19">
        <v>45642</v>
      </c>
      <c r="H566" s="18">
        <v>1.008</v>
      </c>
      <c r="I566" s="18">
        <v>0.121</v>
      </c>
      <c r="J566" s="18">
        <v>1.133</v>
      </c>
      <c r="K566" s="38" cm="1">
        <f t="array" ref="K566">J566-H566</f>
        <v>0.125</v>
      </c>
      <c r="L566" s="18">
        <v>0.09</v>
      </c>
      <c r="M566" s="52">
        <v>1.375</v>
      </c>
      <c r="N566" s="18">
        <v>13</v>
      </c>
      <c r="O566" s="38" cm="1">
        <f t="array" ref="O566">K566-I566</f>
        <v>0.004</v>
      </c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ht="13.65" customHeight="1">
      <c r="A567" t="s" s="22">
        <v>40</v>
      </c>
      <c r="B567" s="25">
        <v>45643</v>
      </c>
      <c r="C567" t="s" s="22">
        <v>20</v>
      </c>
      <c r="D567" s="24">
        <v>4</v>
      </c>
      <c r="E567" s="24">
        <v>1</v>
      </c>
      <c r="F567" s="24">
        <v>4</v>
      </c>
      <c r="G567" s="25">
        <v>45642</v>
      </c>
      <c r="H567" s="24">
        <v>1.009</v>
      </c>
      <c r="I567" s="24">
        <v>0.122</v>
      </c>
      <c r="J567" s="24">
        <v>1.135</v>
      </c>
      <c r="K567" s="38" cm="1">
        <f t="array" ref="K567">J567-H567</f>
        <v>0.126</v>
      </c>
      <c r="L567" s="24">
        <v>0.092</v>
      </c>
      <c r="M567" s="11">
        <v>1.375</v>
      </c>
      <c r="N567" s="24">
        <v>13</v>
      </c>
      <c r="O567" s="38" cm="1">
        <f t="array" ref="O567">K567-I567</f>
        <v>0.004</v>
      </c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 ht="13.65" customHeight="1">
      <c r="A568" t="s" s="9">
        <v>40</v>
      </c>
      <c r="B568" s="12">
        <v>45643</v>
      </c>
      <c r="C568" t="s" s="9">
        <v>20</v>
      </c>
      <c r="D568" s="11">
        <v>4</v>
      </c>
      <c r="E568" s="11">
        <v>2</v>
      </c>
      <c r="F568" s="11">
        <v>1</v>
      </c>
      <c r="G568" s="12">
        <v>45642</v>
      </c>
      <c r="H568" s="11">
        <v>1.01</v>
      </c>
      <c r="I568" s="11">
        <v>0.119</v>
      </c>
      <c r="J568" s="11">
        <v>1.134</v>
      </c>
      <c r="K568" s="38" cm="1">
        <f t="array" ref="K568">J568-H568</f>
        <v>0.124</v>
      </c>
      <c r="L568" s="11">
        <v>0.082</v>
      </c>
      <c r="M568" s="18">
        <v>1.41</v>
      </c>
      <c r="N568" s="11">
        <v>13</v>
      </c>
      <c r="O568" s="38" cm="1">
        <f t="array" ref="O568">K568-I568</f>
        <v>0.005</v>
      </c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 ht="13.65" customHeight="1">
      <c r="A569" t="s" s="16">
        <v>40</v>
      </c>
      <c r="B569" s="19">
        <v>45643</v>
      </c>
      <c r="C569" t="s" s="16">
        <v>20</v>
      </c>
      <c r="D569" s="18">
        <v>4</v>
      </c>
      <c r="E569" s="18">
        <v>2</v>
      </c>
      <c r="F569" s="18">
        <v>2</v>
      </c>
      <c r="G569" s="19">
        <v>45642</v>
      </c>
      <c r="H569" s="18">
        <v>1.002</v>
      </c>
      <c r="I569" s="18">
        <v>0.119</v>
      </c>
      <c r="J569" s="18">
        <v>1.126</v>
      </c>
      <c r="K569" s="38" cm="1">
        <f t="array" ref="K569">J569-H569</f>
        <v>0.124</v>
      </c>
      <c r="L569" s="18">
        <v>0.08</v>
      </c>
      <c r="M569" s="18">
        <v>1.41</v>
      </c>
      <c r="N569" s="18">
        <v>13</v>
      </c>
      <c r="O569" s="38" cm="1">
        <f t="array" ref="O569">K569-I569</f>
        <v>0.005</v>
      </c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ht="13.65" customHeight="1">
      <c r="A570" t="s" s="16">
        <v>40</v>
      </c>
      <c r="B570" s="19">
        <v>45643</v>
      </c>
      <c r="C570" t="s" s="16">
        <v>20</v>
      </c>
      <c r="D570" s="18">
        <v>4</v>
      </c>
      <c r="E570" s="18">
        <v>2</v>
      </c>
      <c r="F570" s="18">
        <v>3</v>
      </c>
      <c r="G570" s="19">
        <v>45642</v>
      </c>
      <c r="H570" s="18">
        <v>1.003</v>
      </c>
      <c r="I570" s="18">
        <v>0.121</v>
      </c>
      <c r="J570" s="18">
        <v>1.13</v>
      </c>
      <c r="K570" s="38" cm="1">
        <f t="array" ref="K570">J570-H570</f>
        <v>0.127</v>
      </c>
      <c r="L570" s="18">
        <v>0.08799999999999999</v>
      </c>
      <c r="M570" s="18">
        <v>1.41</v>
      </c>
      <c r="N570" s="18">
        <v>13</v>
      </c>
      <c r="O570" s="38" cm="1">
        <f t="array" ref="O570">K570-I570</f>
        <v>0.006</v>
      </c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ht="13.65" customHeight="1">
      <c r="A571" t="s" s="22">
        <v>40</v>
      </c>
      <c r="B571" s="25">
        <v>45643</v>
      </c>
      <c r="C571" t="s" s="22">
        <v>20</v>
      </c>
      <c r="D571" s="24">
        <v>4</v>
      </c>
      <c r="E571" s="24">
        <v>2</v>
      </c>
      <c r="F571" s="24">
        <v>4</v>
      </c>
      <c r="G571" s="25">
        <v>45642</v>
      </c>
      <c r="H571" s="24">
        <v>1.012</v>
      </c>
      <c r="I571" s="24">
        <v>0.121</v>
      </c>
      <c r="J571" s="24">
        <v>1.139</v>
      </c>
      <c r="K571" s="38" cm="1">
        <f t="array" ref="K571">J571-H571</f>
        <v>0.127</v>
      </c>
      <c r="L571" s="24">
        <v>0.08</v>
      </c>
      <c r="M571" s="18">
        <v>1.41</v>
      </c>
      <c r="N571" s="24">
        <v>13</v>
      </c>
      <c r="O571" s="38" cm="1">
        <f t="array" ref="O571">K571-I571</f>
        <v>0.006</v>
      </c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 ht="13.65" customHeight="1">
      <c r="A572" t="s" s="9">
        <v>40</v>
      </c>
      <c r="B572" s="12">
        <v>45643</v>
      </c>
      <c r="C572" t="s" s="9">
        <v>20</v>
      </c>
      <c r="D572" s="11">
        <v>8</v>
      </c>
      <c r="E572" s="11">
        <v>1</v>
      </c>
      <c r="F572" s="11">
        <v>1</v>
      </c>
      <c r="G572" s="12">
        <v>45642</v>
      </c>
      <c r="H572" s="11">
        <v>1.002</v>
      </c>
      <c r="I572" s="11">
        <v>0.12</v>
      </c>
      <c r="J572" s="11">
        <v>1.127</v>
      </c>
      <c r="K572" s="38" cm="1">
        <f t="array" ref="K572">J572-H572</f>
        <v>0.125</v>
      </c>
      <c r="L572" s="11">
        <v>0.081</v>
      </c>
      <c r="M572" s="18" cm="1">
        <f t="array" ref="M572">1+0.125+0.3</f>
        <v>1.425</v>
      </c>
      <c r="N572" s="11">
        <v>13</v>
      </c>
      <c r="O572" s="38" cm="1">
        <f t="array" ref="O572">K572-I572</f>
        <v>0.005</v>
      </c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 ht="13.65" customHeight="1">
      <c r="A573" t="s" s="16">
        <v>40</v>
      </c>
      <c r="B573" s="19">
        <v>45643</v>
      </c>
      <c r="C573" t="s" s="16">
        <v>20</v>
      </c>
      <c r="D573" s="18">
        <v>8</v>
      </c>
      <c r="E573" s="18">
        <v>1</v>
      </c>
      <c r="F573" s="18">
        <v>2</v>
      </c>
      <c r="G573" s="19">
        <v>45642</v>
      </c>
      <c r="H573" s="18">
        <v>1.002</v>
      </c>
      <c r="I573" s="18">
        <v>0.119</v>
      </c>
      <c r="J573" s="18">
        <v>1.126</v>
      </c>
      <c r="K573" s="38" cm="1">
        <f t="array" ref="K573">J573-H573</f>
        <v>0.124</v>
      </c>
      <c r="L573" s="18">
        <v>0.074</v>
      </c>
      <c r="M573" s="18" cm="1">
        <f t="array" ref="M573">1+0.125+0.3</f>
        <v>1.425</v>
      </c>
      <c r="N573" s="18">
        <v>13</v>
      </c>
      <c r="O573" s="38" cm="1">
        <f t="array" ref="O573">K573-I573</f>
        <v>0.005</v>
      </c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ht="13.65" customHeight="1">
      <c r="A574" t="s" s="16">
        <v>40</v>
      </c>
      <c r="B574" s="19">
        <v>45643</v>
      </c>
      <c r="C574" t="s" s="16">
        <v>20</v>
      </c>
      <c r="D574" s="18">
        <v>8</v>
      </c>
      <c r="E574" s="18">
        <v>1</v>
      </c>
      <c r="F574" s="18">
        <v>3</v>
      </c>
      <c r="G574" s="19">
        <v>45642</v>
      </c>
      <c r="H574" s="18">
        <v>1.011</v>
      </c>
      <c r="I574" s="18">
        <v>0.122</v>
      </c>
      <c r="J574" s="18">
        <v>1.135</v>
      </c>
      <c r="K574" s="38" cm="1">
        <f t="array" ref="K574">J574-H574</f>
        <v>0.124</v>
      </c>
      <c r="L574" s="18">
        <v>0.074</v>
      </c>
      <c r="M574" s="18" cm="1">
        <f t="array" ref="M574">1+0.125+0.3</f>
        <v>1.425</v>
      </c>
      <c r="N574" s="18">
        <v>13</v>
      </c>
      <c r="O574" s="38" cm="1">
        <f t="array" ref="O574">K574-I574</f>
        <v>0.002</v>
      </c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ht="13.65" customHeight="1">
      <c r="A575" t="s" s="22">
        <v>40</v>
      </c>
      <c r="B575" s="25">
        <v>45643</v>
      </c>
      <c r="C575" t="s" s="22">
        <v>20</v>
      </c>
      <c r="D575" s="24">
        <v>8</v>
      </c>
      <c r="E575" s="24">
        <v>1</v>
      </c>
      <c r="F575" s="24">
        <v>4</v>
      </c>
      <c r="G575" s="25">
        <v>45642</v>
      </c>
      <c r="H575" s="24">
        <v>1.025</v>
      </c>
      <c r="I575" s="24">
        <v>0.121</v>
      </c>
      <c r="J575" s="24">
        <v>1.151</v>
      </c>
      <c r="K575" s="38" cm="1">
        <f t="array" ref="K575">J575-H575</f>
        <v>0.126</v>
      </c>
      <c r="L575" s="24">
        <v>0.073</v>
      </c>
      <c r="M575" s="18" cm="1">
        <f t="array" ref="M575">1+0.125+0.3</f>
        <v>1.425</v>
      </c>
      <c r="N575" s="24">
        <v>13</v>
      </c>
      <c r="O575" s="38" cm="1">
        <f t="array" ref="O575">K575-I575</f>
        <v>0.005</v>
      </c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 ht="13.65" customHeight="1">
      <c r="A576" t="s" s="9">
        <v>40</v>
      </c>
      <c r="B576" s="12">
        <v>45643</v>
      </c>
      <c r="C576" t="s" s="9">
        <v>20</v>
      </c>
      <c r="D576" s="11">
        <v>8</v>
      </c>
      <c r="E576" s="11">
        <v>2</v>
      </c>
      <c r="F576" s="11">
        <v>1</v>
      </c>
      <c r="G576" s="12">
        <v>45642</v>
      </c>
      <c r="H576" s="11">
        <v>1.014</v>
      </c>
      <c r="I576" s="11">
        <v>0.119</v>
      </c>
      <c r="J576" s="11">
        <v>1.137</v>
      </c>
      <c r="K576" s="38" cm="1">
        <f t="array" ref="K576">J576-H576</f>
        <v>0.123</v>
      </c>
      <c r="L576" s="11">
        <v>0.078</v>
      </c>
      <c r="M576" s="18">
        <v>1.36</v>
      </c>
      <c r="N576" s="11">
        <v>13</v>
      </c>
      <c r="O576" s="38" cm="1">
        <f t="array" ref="O576">K576-I576</f>
        <v>0.004</v>
      </c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 ht="13.65" customHeight="1">
      <c r="A577" t="s" s="16">
        <v>40</v>
      </c>
      <c r="B577" s="19">
        <v>45643</v>
      </c>
      <c r="C577" t="s" s="16">
        <v>20</v>
      </c>
      <c r="D577" s="18">
        <v>8</v>
      </c>
      <c r="E577" s="18">
        <v>2</v>
      </c>
      <c r="F577" s="18">
        <v>2</v>
      </c>
      <c r="G577" s="19">
        <v>45642</v>
      </c>
      <c r="H577" s="18">
        <v>1.034</v>
      </c>
      <c r="I577" s="18">
        <v>0.121</v>
      </c>
      <c r="J577" s="18">
        <v>1.158</v>
      </c>
      <c r="K577" s="38" cm="1">
        <f t="array" ref="K577">J577-H577</f>
        <v>0.124</v>
      </c>
      <c r="L577" s="18">
        <v>0.074</v>
      </c>
      <c r="M577" s="18">
        <v>1.36</v>
      </c>
      <c r="N577" s="18">
        <v>13</v>
      </c>
      <c r="O577" s="38" cm="1">
        <f t="array" ref="O577">K577-I577</f>
        <v>0.003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ht="13.65" customHeight="1">
      <c r="A578" t="s" s="16">
        <v>40</v>
      </c>
      <c r="B578" s="19">
        <v>45643</v>
      </c>
      <c r="C578" t="s" s="16">
        <v>20</v>
      </c>
      <c r="D578" s="18">
        <v>8</v>
      </c>
      <c r="E578" s="18">
        <v>2</v>
      </c>
      <c r="F578" s="18">
        <v>3</v>
      </c>
      <c r="G578" s="19">
        <v>45642</v>
      </c>
      <c r="H578" s="18">
        <v>1.006</v>
      </c>
      <c r="I578" s="18">
        <v>0.122</v>
      </c>
      <c r="J578" s="18">
        <v>1.131</v>
      </c>
      <c r="K578" s="38" cm="1">
        <f t="array" ref="K578">J578-H578</f>
        <v>0.125</v>
      </c>
      <c r="L578" s="18">
        <v>0.077</v>
      </c>
      <c r="M578" s="18">
        <v>1.36</v>
      </c>
      <c r="N578" s="18">
        <v>13</v>
      </c>
      <c r="O578" s="38" cm="1">
        <f t="array" ref="O578">K578-I578</f>
        <v>0.003</v>
      </c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ht="13.65" customHeight="1">
      <c r="A579" t="s" s="16">
        <v>40</v>
      </c>
      <c r="B579" s="19">
        <v>45643</v>
      </c>
      <c r="C579" t="s" s="16">
        <v>20</v>
      </c>
      <c r="D579" s="18">
        <v>8</v>
      </c>
      <c r="E579" s="18">
        <v>2</v>
      </c>
      <c r="F579" s="18">
        <v>4</v>
      </c>
      <c r="G579" s="19">
        <v>45642</v>
      </c>
      <c r="H579" s="18">
        <v>1.027</v>
      </c>
      <c r="I579" s="18">
        <v>0.124</v>
      </c>
      <c r="J579" s="18">
        <v>1.152</v>
      </c>
      <c r="K579" s="13" cm="1">
        <f t="array" ref="K579">J579-H579</f>
        <v>0.125</v>
      </c>
      <c r="L579" s="18">
        <v>0.079</v>
      </c>
      <c r="M579" s="18">
        <v>1.36</v>
      </c>
      <c r="N579" s="24">
        <v>13</v>
      </c>
      <c r="O579" s="13" cm="1">
        <f t="array" ref="O579">K579-I579</f>
        <v>0.001</v>
      </c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</sheetData>
  <dataValidations count="1">
    <dataValidation type="list" allowBlank="1" showInputMessage="1" showErrorMessage="1" sqref="F5 F21">
      <formula1>"B_sed_4m_R1_F1,B_sed_4m_R1_F2,2"</formula1>
    </dataValidation>
  </dataValidation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